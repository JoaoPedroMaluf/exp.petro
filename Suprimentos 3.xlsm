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a7d0e1e54e9648/Área de Trabalho/"/>
    </mc:Choice>
  </mc:AlternateContent>
  <xr:revisionPtr revIDLastSave="0" documentId="8_{6023A738-C35D-4840-BDB8-44D21C51758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Navio" sheetId="32" r:id="rId1"/>
    <sheet name="GPC" sheetId="44" r:id="rId2"/>
    <sheet name="CombVisita" sheetId="7" r:id="rId3"/>
    <sheet name="PC" sheetId="31" r:id="rId4"/>
    <sheet name="Resumo" sheetId="51" r:id="rId5"/>
    <sheet name="Planilha1" sheetId="52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51" l="1"/>
  <c r="U3" i="51"/>
  <c r="U4" i="51"/>
  <c r="U5" i="51"/>
  <c r="U6" i="51"/>
  <c r="U7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36" i="51"/>
  <c r="U37" i="51"/>
  <c r="U38" i="51"/>
  <c r="U39" i="51"/>
  <c r="U40" i="51"/>
  <c r="U41" i="51"/>
  <c r="U42" i="51"/>
  <c r="U43" i="51"/>
  <c r="U44" i="51"/>
  <c r="U45" i="51"/>
  <c r="U46" i="51"/>
  <c r="U47" i="51"/>
  <c r="U48" i="51"/>
  <c r="U49" i="51"/>
  <c r="U50" i="51"/>
  <c r="U51" i="51"/>
  <c r="U52" i="51"/>
  <c r="U53" i="51"/>
  <c r="U54" i="51"/>
  <c r="U55" i="51"/>
  <c r="U56" i="51"/>
  <c r="U57" i="51"/>
  <c r="U58" i="51"/>
  <c r="U59" i="51"/>
  <c r="U60" i="51"/>
  <c r="U61" i="51"/>
  <c r="U62" i="51"/>
  <c r="U63" i="51"/>
  <c r="U64" i="51"/>
  <c r="U65" i="51"/>
  <c r="U66" i="51"/>
  <c r="U67" i="51"/>
  <c r="U68" i="51"/>
  <c r="U69" i="51"/>
  <c r="U70" i="51"/>
  <c r="U71" i="51"/>
  <c r="U72" i="51"/>
  <c r="U73" i="51"/>
  <c r="U74" i="51"/>
  <c r="U75" i="51"/>
  <c r="U76" i="51"/>
  <c r="U77" i="51"/>
  <c r="U78" i="51"/>
  <c r="U79" i="51"/>
  <c r="U80" i="51"/>
  <c r="U81" i="51"/>
  <c r="U82" i="51"/>
  <c r="U83" i="51"/>
  <c r="U84" i="51"/>
  <c r="U85" i="51"/>
  <c r="U86" i="51"/>
  <c r="U87" i="51"/>
  <c r="U88" i="51"/>
  <c r="U89" i="51"/>
  <c r="U90" i="51"/>
  <c r="U91" i="51"/>
  <c r="U92" i="51"/>
  <c r="U93" i="51"/>
  <c r="U94" i="51"/>
  <c r="U95" i="51"/>
  <c r="U96" i="51"/>
  <c r="U97" i="51"/>
  <c r="U98" i="51"/>
  <c r="U99" i="51"/>
  <c r="U100" i="51"/>
  <c r="U101" i="51"/>
  <c r="U102" i="51"/>
  <c r="U103" i="51"/>
  <c r="U104" i="51"/>
  <c r="U105" i="51"/>
  <c r="U106" i="51"/>
  <c r="U107" i="51"/>
  <c r="U108" i="51"/>
  <c r="U109" i="51"/>
  <c r="U110" i="51"/>
  <c r="U111" i="51"/>
  <c r="U112" i="51"/>
  <c r="U113" i="51"/>
  <c r="U114" i="51"/>
  <c r="U115" i="51"/>
  <c r="U116" i="51"/>
  <c r="U117" i="51"/>
  <c r="U118" i="51"/>
  <c r="U119" i="51"/>
  <c r="U120" i="51"/>
  <c r="U121" i="51"/>
  <c r="U122" i="51"/>
  <c r="U123" i="51"/>
  <c r="U124" i="51"/>
  <c r="U125" i="51"/>
  <c r="U126" i="51"/>
  <c r="U127" i="51"/>
  <c r="U128" i="51"/>
  <c r="U129" i="51"/>
  <c r="U130" i="51"/>
  <c r="U131" i="51"/>
  <c r="U132" i="51"/>
  <c r="U133" i="51"/>
  <c r="U134" i="51"/>
  <c r="U135" i="51"/>
  <c r="U136" i="51"/>
  <c r="U137" i="51"/>
  <c r="U138" i="51"/>
  <c r="U139" i="51"/>
  <c r="U140" i="51"/>
  <c r="U141" i="51"/>
  <c r="U142" i="51"/>
  <c r="U143" i="51"/>
  <c r="U144" i="51"/>
  <c r="U145" i="51"/>
  <c r="U146" i="51"/>
  <c r="U147" i="51"/>
  <c r="U148" i="51"/>
  <c r="U149" i="51"/>
  <c r="U150" i="51"/>
  <c r="U151" i="51"/>
  <c r="U152" i="51"/>
  <c r="U153" i="51"/>
  <c r="U154" i="51"/>
  <c r="U155" i="51"/>
  <c r="U156" i="51"/>
  <c r="U157" i="51"/>
  <c r="U158" i="51"/>
  <c r="U159" i="51"/>
  <c r="U160" i="51"/>
  <c r="U161" i="51"/>
  <c r="U162" i="51"/>
  <c r="U163" i="51"/>
  <c r="U164" i="51"/>
  <c r="U165" i="51"/>
  <c r="U166" i="51"/>
  <c r="U167" i="51"/>
  <c r="U168" i="51"/>
  <c r="U169" i="51"/>
  <c r="U170" i="51"/>
  <c r="U171" i="51"/>
  <c r="U172" i="51"/>
  <c r="U173" i="51"/>
  <c r="U174" i="51"/>
  <c r="U175" i="51"/>
  <c r="U176" i="51"/>
  <c r="U177" i="51"/>
  <c r="U178" i="51"/>
  <c r="U179" i="51"/>
  <c r="U180" i="51"/>
  <c r="U181" i="51"/>
  <c r="U182" i="51"/>
  <c r="U183" i="51"/>
  <c r="U184" i="51"/>
  <c r="U185" i="51"/>
  <c r="U186" i="51"/>
  <c r="U187" i="51"/>
  <c r="U188" i="51"/>
  <c r="U189" i="51"/>
  <c r="U190" i="51"/>
  <c r="U191" i="51"/>
  <c r="U192" i="51"/>
  <c r="U193" i="51"/>
  <c r="U194" i="51"/>
  <c r="U195" i="51"/>
  <c r="U196" i="51"/>
  <c r="U197" i="51"/>
  <c r="U198" i="51"/>
  <c r="U199" i="51"/>
  <c r="U200" i="51"/>
  <c r="U201" i="51"/>
  <c r="U202" i="51"/>
  <c r="U203" i="51"/>
  <c r="U204" i="51"/>
  <c r="U205" i="51"/>
  <c r="U206" i="51"/>
  <c r="U207" i="51"/>
  <c r="U208" i="51"/>
  <c r="U209" i="51"/>
  <c r="U210" i="51"/>
  <c r="U211" i="51"/>
  <c r="U212" i="51"/>
  <c r="U213" i="51"/>
  <c r="U214" i="51"/>
  <c r="U215" i="51"/>
  <c r="U216" i="51"/>
  <c r="U217" i="51"/>
  <c r="U218" i="51"/>
  <c r="U219" i="51"/>
  <c r="U220" i="51"/>
  <c r="U221" i="51"/>
  <c r="U222" i="51"/>
  <c r="U223" i="51"/>
  <c r="U224" i="51"/>
  <c r="U225" i="51"/>
  <c r="U226" i="51"/>
  <c r="U227" i="51"/>
  <c r="U228" i="51"/>
  <c r="U229" i="51"/>
  <c r="U230" i="51"/>
  <c r="U231" i="51"/>
  <c r="U232" i="51"/>
  <c r="U233" i="51"/>
  <c r="U234" i="51"/>
  <c r="U235" i="51"/>
  <c r="U236" i="51"/>
  <c r="U237" i="51"/>
  <c r="U238" i="51"/>
  <c r="U239" i="51"/>
  <c r="U240" i="51"/>
  <c r="U241" i="51"/>
  <c r="U242" i="51"/>
  <c r="U243" i="51"/>
  <c r="U244" i="51"/>
  <c r="U245" i="51"/>
  <c r="U246" i="51"/>
  <c r="U247" i="51"/>
  <c r="U248" i="51"/>
  <c r="U249" i="51"/>
  <c r="U250" i="51"/>
  <c r="U251" i="51"/>
  <c r="U252" i="51"/>
  <c r="U253" i="51"/>
  <c r="U254" i="51"/>
  <c r="U255" i="51"/>
  <c r="U256" i="51"/>
  <c r="U257" i="51"/>
  <c r="U258" i="51"/>
  <c r="U259" i="51"/>
  <c r="U260" i="51"/>
  <c r="U261" i="51"/>
  <c r="U262" i="51"/>
  <c r="U263" i="51"/>
  <c r="U264" i="51"/>
  <c r="U265" i="51"/>
  <c r="U266" i="51"/>
  <c r="U267" i="51"/>
  <c r="U268" i="51"/>
  <c r="U269" i="51"/>
  <c r="U270" i="51"/>
  <c r="U271" i="51"/>
  <c r="U272" i="51"/>
  <c r="U273" i="51"/>
  <c r="U274" i="51"/>
  <c r="U275" i="51"/>
  <c r="U276" i="51"/>
  <c r="U277" i="51"/>
  <c r="U278" i="51"/>
  <c r="U279" i="51"/>
  <c r="U280" i="51"/>
  <c r="U281" i="51"/>
  <c r="U282" i="51"/>
  <c r="U283" i="51"/>
  <c r="U284" i="51"/>
  <c r="U285" i="51"/>
  <c r="U286" i="51"/>
  <c r="U287" i="51"/>
  <c r="U288" i="51"/>
  <c r="U289" i="51"/>
  <c r="U290" i="51"/>
  <c r="U291" i="51"/>
  <c r="U292" i="51"/>
  <c r="U293" i="51"/>
  <c r="U294" i="51"/>
  <c r="U295" i="51"/>
  <c r="U296" i="51"/>
  <c r="U297" i="51"/>
  <c r="U298" i="51"/>
  <c r="U299" i="51"/>
  <c r="U300" i="51"/>
  <c r="U301" i="51"/>
  <c r="U302" i="51"/>
  <c r="U303" i="51"/>
  <c r="U304" i="51"/>
  <c r="U305" i="51"/>
  <c r="U306" i="51"/>
  <c r="U307" i="51"/>
  <c r="U308" i="51"/>
  <c r="U309" i="51"/>
  <c r="U310" i="51"/>
  <c r="U311" i="51"/>
  <c r="U312" i="51"/>
  <c r="U313" i="51"/>
  <c r="U314" i="51"/>
  <c r="U315" i="51"/>
  <c r="U316" i="51"/>
  <c r="U317" i="51"/>
  <c r="U318" i="51"/>
  <c r="U319" i="51"/>
  <c r="U320" i="51"/>
  <c r="U321" i="51"/>
  <c r="U322" i="51"/>
  <c r="U323" i="51"/>
  <c r="U324" i="51"/>
  <c r="U325" i="51"/>
  <c r="U326" i="51"/>
  <c r="U327" i="51"/>
  <c r="U328" i="51"/>
  <c r="U329" i="51"/>
  <c r="U330" i="51"/>
  <c r="U331" i="51"/>
  <c r="U332" i="51"/>
  <c r="U333" i="51"/>
  <c r="U334" i="51"/>
  <c r="U335" i="51"/>
  <c r="U336" i="51"/>
  <c r="U337" i="51"/>
  <c r="U338" i="51"/>
  <c r="U339" i="51"/>
  <c r="U340" i="51"/>
  <c r="U341" i="51"/>
  <c r="U342" i="51"/>
  <c r="U343" i="51"/>
  <c r="U344" i="51"/>
  <c r="U345" i="51"/>
  <c r="U346" i="51"/>
  <c r="U347" i="51"/>
  <c r="U348" i="51"/>
  <c r="U349" i="51"/>
  <c r="U350" i="51"/>
  <c r="U351" i="51"/>
  <c r="U352" i="51"/>
  <c r="U353" i="51"/>
  <c r="U354" i="51"/>
  <c r="U355" i="51"/>
  <c r="U356" i="51"/>
  <c r="U357" i="51"/>
  <c r="U358" i="51"/>
  <c r="U359" i="51"/>
  <c r="U360" i="51"/>
  <c r="U361" i="51"/>
  <c r="U362" i="51"/>
  <c r="U363" i="51"/>
  <c r="U364" i="51"/>
  <c r="U365" i="51"/>
  <c r="U366" i="51"/>
  <c r="U367" i="51"/>
  <c r="U368" i="51"/>
  <c r="U369" i="51"/>
  <c r="U370" i="51"/>
  <c r="U371" i="51"/>
  <c r="U372" i="51"/>
  <c r="U373" i="51"/>
  <c r="U374" i="51"/>
  <c r="U375" i="51"/>
  <c r="U376" i="51"/>
  <c r="U377" i="51"/>
  <c r="U378" i="51"/>
  <c r="U379" i="51"/>
  <c r="U380" i="51"/>
  <c r="U381" i="51"/>
  <c r="U382" i="51"/>
  <c r="U383" i="51"/>
  <c r="U384" i="51"/>
  <c r="U385" i="51"/>
  <c r="U386" i="51"/>
  <c r="U387" i="51"/>
  <c r="U388" i="51"/>
  <c r="U389" i="51"/>
  <c r="U390" i="51"/>
  <c r="U391" i="51"/>
  <c r="U392" i="51"/>
  <c r="U393" i="51"/>
  <c r="U394" i="51"/>
  <c r="U395" i="51"/>
  <c r="U396" i="51"/>
  <c r="U397" i="51"/>
  <c r="U398" i="51"/>
  <c r="U399" i="51"/>
  <c r="U400" i="51"/>
  <c r="U401" i="51"/>
  <c r="U402" i="51"/>
  <c r="U403" i="51"/>
  <c r="U404" i="51"/>
  <c r="U405" i="51"/>
  <c r="U406" i="51"/>
  <c r="U407" i="51"/>
  <c r="U408" i="51"/>
  <c r="U409" i="51"/>
  <c r="U410" i="51"/>
  <c r="U411" i="51"/>
  <c r="U412" i="51"/>
  <c r="U413" i="51"/>
  <c r="U414" i="51"/>
  <c r="U415" i="51"/>
  <c r="U416" i="51"/>
  <c r="U417" i="51"/>
  <c r="U418" i="51"/>
  <c r="U419" i="51"/>
  <c r="U420" i="51"/>
  <c r="U421" i="51"/>
  <c r="U422" i="51"/>
  <c r="U423" i="51"/>
  <c r="U424" i="51"/>
  <c r="U425" i="51"/>
  <c r="U426" i="51"/>
  <c r="U427" i="51"/>
  <c r="U428" i="51"/>
  <c r="U429" i="51"/>
  <c r="U430" i="51"/>
  <c r="U431" i="51"/>
  <c r="U432" i="51"/>
  <c r="U433" i="51"/>
  <c r="U434" i="51"/>
  <c r="U435" i="51"/>
  <c r="U436" i="51"/>
  <c r="U437" i="51"/>
  <c r="U438" i="51"/>
  <c r="U439" i="51"/>
  <c r="U440" i="51"/>
  <c r="U441" i="51"/>
  <c r="U442" i="51"/>
  <c r="U443" i="51"/>
  <c r="U444" i="51"/>
  <c r="U445" i="51"/>
  <c r="U446" i="51"/>
  <c r="U447" i="51"/>
  <c r="U448" i="51"/>
  <c r="U449" i="51"/>
  <c r="U450" i="51"/>
  <c r="U451" i="51"/>
  <c r="U452" i="51"/>
  <c r="U453" i="51"/>
  <c r="U454" i="51"/>
  <c r="U455" i="51"/>
  <c r="U456" i="51"/>
  <c r="U457" i="51"/>
  <c r="U458" i="51"/>
  <c r="U459" i="51"/>
  <c r="U460" i="51"/>
  <c r="U461" i="51"/>
  <c r="U462" i="51"/>
  <c r="U463" i="51"/>
  <c r="U464" i="51"/>
  <c r="U465" i="51"/>
  <c r="U466" i="51"/>
  <c r="U467" i="51"/>
  <c r="U468" i="51"/>
  <c r="U469" i="51"/>
  <c r="U470" i="51"/>
  <c r="U471" i="51"/>
  <c r="U472" i="51"/>
  <c r="U473" i="51"/>
  <c r="U474" i="51"/>
  <c r="U475" i="51"/>
  <c r="U476" i="51"/>
  <c r="U477" i="51"/>
  <c r="U478" i="51"/>
  <c r="U479" i="51"/>
  <c r="U480" i="51"/>
  <c r="U481" i="51"/>
  <c r="U482" i="51"/>
  <c r="U483" i="51"/>
  <c r="U484" i="51"/>
  <c r="U485" i="51"/>
  <c r="U486" i="51"/>
  <c r="U487" i="51"/>
  <c r="U488" i="51"/>
  <c r="U489" i="51"/>
  <c r="U490" i="51"/>
  <c r="U491" i="51"/>
  <c r="U492" i="51"/>
  <c r="U493" i="51"/>
  <c r="U494" i="51"/>
  <c r="U495" i="51"/>
  <c r="U496" i="51"/>
  <c r="U497" i="51"/>
  <c r="U498" i="51"/>
  <c r="U499" i="51"/>
  <c r="U500" i="51"/>
  <c r="U501" i="51"/>
  <c r="U502" i="51"/>
  <c r="U503" i="51"/>
  <c r="U504" i="51"/>
  <c r="U505" i="51"/>
  <c r="U506" i="51"/>
  <c r="U507" i="51"/>
  <c r="U508" i="51"/>
  <c r="U509" i="51"/>
  <c r="U510" i="51"/>
  <c r="U511" i="51"/>
  <c r="U512" i="51"/>
  <c r="U513" i="51"/>
  <c r="U514" i="51"/>
  <c r="U515" i="51"/>
  <c r="U516" i="51"/>
  <c r="U517" i="51"/>
  <c r="U518" i="51"/>
  <c r="U519" i="51"/>
  <c r="U520" i="51"/>
  <c r="U521" i="51"/>
  <c r="U522" i="51"/>
  <c r="U523" i="51"/>
  <c r="U524" i="51"/>
  <c r="U525" i="51"/>
  <c r="U526" i="51"/>
  <c r="U527" i="51"/>
  <c r="U528" i="51"/>
  <c r="U529" i="51"/>
  <c r="U530" i="51"/>
  <c r="U531" i="51"/>
  <c r="U532" i="51"/>
  <c r="U533" i="51"/>
  <c r="U534" i="51"/>
  <c r="U535" i="51"/>
  <c r="U536" i="51"/>
  <c r="U537" i="51"/>
  <c r="U538" i="51"/>
  <c r="U539" i="51"/>
  <c r="U540" i="51"/>
  <c r="U541" i="51"/>
  <c r="U542" i="51"/>
  <c r="U543" i="51"/>
  <c r="U544" i="51"/>
  <c r="U545" i="51"/>
  <c r="U546" i="51"/>
  <c r="U547" i="51"/>
  <c r="U548" i="51"/>
  <c r="U549" i="51"/>
  <c r="U550" i="51"/>
  <c r="U551" i="51"/>
  <c r="U552" i="51"/>
  <c r="U553" i="51"/>
  <c r="U554" i="51"/>
  <c r="U555" i="51"/>
  <c r="U556" i="51"/>
  <c r="U557" i="51"/>
  <c r="U558" i="51"/>
  <c r="U559" i="51"/>
  <c r="U560" i="51"/>
  <c r="U561" i="51"/>
  <c r="U562" i="51"/>
  <c r="U563" i="51"/>
  <c r="U564" i="51"/>
  <c r="U565" i="51"/>
  <c r="U566" i="51"/>
  <c r="U567" i="51"/>
  <c r="U568" i="51"/>
  <c r="U569" i="51"/>
  <c r="U570" i="51"/>
  <c r="U571" i="51"/>
  <c r="U572" i="51"/>
  <c r="U573" i="51"/>
  <c r="U574" i="51"/>
  <c r="U575" i="51"/>
  <c r="U576" i="51"/>
  <c r="U577" i="51"/>
  <c r="U578" i="51"/>
  <c r="U579" i="51"/>
  <c r="U580" i="51"/>
  <c r="U581" i="51"/>
  <c r="U582" i="51"/>
  <c r="U583" i="51"/>
  <c r="U584" i="51"/>
  <c r="U585" i="51"/>
  <c r="U586" i="51"/>
  <c r="U587" i="51"/>
  <c r="U588" i="51"/>
  <c r="U589" i="51"/>
  <c r="U590" i="51"/>
  <c r="U591" i="51"/>
  <c r="U592" i="51"/>
  <c r="U593" i="51"/>
  <c r="U594" i="51"/>
  <c r="U595" i="51"/>
  <c r="U596" i="51"/>
  <c r="U597" i="51"/>
  <c r="U598" i="51"/>
  <c r="U599" i="51"/>
  <c r="U600" i="51"/>
  <c r="U601" i="51"/>
  <c r="U602" i="51"/>
  <c r="U603" i="51"/>
  <c r="U604" i="51"/>
  <c r="U605" i="51"/>
  <c r="U606" i="51"/>
  <c r="U607" i="51"/>
  <c r="U608" i="51"/>
  <c r="U609" i="51"/>
  <c r="U610" i="51"/>
  <c r="U611" i="51"/>
  <c r="U612" i="51"/>
  <c r="U613" i="51"/>
  <c r="U614" i="51"/>
  <c r="U615" i="51"/>
  <c r="U616" i="51"/>
  <c r="U617" i="51"/>
  <c r="U618" i="51"/>
  <c r="U619" i="51"/>
  <c r="U620" i="51"/>
  <c r="U621" i="51"/>
  <c r="U622" i="51"/>
  <c r="U623" i="51"/>
  <c r="U624" i="51"/>
  <c r="U625" i="51"/>
  <c r="U626" i="51"/>
  <c r="U627" i="51"/>
  <c r="U628" i="51"/>
  <c r="U629" i="51"/>
  <c r="U630" i="51"/>
  <c r="U631" i="51"/>
  <c r="U632" i="51"/>
  <c r="U633" i="51"/>
  <c r="U634" i="51"/>
  <c r="U635" i="51"/>
  <c r="U636" i="51"/>
  <c r="U637" i="51"/>
  <c r="U638" i="51"/>
  <c r="U639" i="51"/>
  <c r="U640" i="51"/>
  <c r="U641" i="51"/>
  <c r="U642" i="51"/>
  <c r="U643" i="51"/>
  <c r="U644" i="51"/>
  <c r="U645" i="51"/>
  <c r="U646" i="51"/>
  <c r="U647" i="51"/>
  <c r="U648" i="51"/>
  <c r="U649" i="51"/>
  <c r="U650" i="51"/>
  <c r="U651" i="51"/>
  <c r="U652" i="51"/>
  <c r="U653" i="51"/>
  <c r="U654" i="51"/>
  <c r="U655" i="51"/>
  <c r="U656" i="51"/>
  <c r="U657" i="51"/>
  <c r="U658" i="51"/>
  <c r="U659" i="51"/>
  <c r="U660" i="51"/>
  <c r="U661" i="51"/>
  <c r="U662" i="51"/>
  <c r="U663" i="51"/>
  <c r="U664" i="51"/>
  <c r="U665" i="51"/>
  <c r="U666" i="51"/>
  <c r="U667" i="51"/>
  <c r="U668" i="51"/>
  <c r="U669" i="51"/>
  <c r="U670" i="51"/>
  <c r="U671" i="51"/>
  <c r="U672" i="51"/>
  <c r="U673" i="51"/>
  <c r="U674" i="51"/>
  <c r="U675" i="51"/>
  <c r="U676" i="51"/>
  <c r="U677" i="51"/>
  <c r="U678" i="51"/>
  <c r="U679" i="51"/>
  <c r="U680" i="51"/>
  <c r="U681" i="51"/>
  <c r="U682" i="51"/>
  <c r="U683" i="51"/>
  <c r="U684" i="51"/>
  <c r="U685" i="51"/>
  <c r="U686" i="51"/>
  <c r="U687" i="51"/>
  <c r="U688" i="51"/>
  <c r="U689" i="51"/>
  <c r="U690" i="51"/>
  <c r="U691" i="51"/>
  <c r="U692" i="51"/>
  <c r="U693" i="51"/>
  <c r="U694" i="51"/>
  <c r="U695" i="51"/>
  <c r="U696" i="51"/>
  <c r="U697" i="51"/>
  <c r="U698" i="51"/>
  <c r="U699" i="51"/>
  <c r="U700" i="51"/>
  <c r="U701" i="51"/>
  <c r="U702" i="51"/>
  <c r="U703" i="51"/>
  <c r="U704" i="51"/>
  <c r="U705" i="51"/>
  <c r="U706" i="51"/>
  <c r="U707" i="51"/>
  <c r="U708" i="51"/>
  <c r="U709" i="51"/>
  <c r="U710" i="51"/>
  <c r="U711" i="51"/>
  <c r="U712" i="51"/>
  <c r="U713" i="51"/>
  <c r="U714" i="51"/>
  <c r="U715" i="51"/>
  <c r="U716" i="51"/>
  <c r="U717" i="51"/>
  <c r="U718" i="51"/>
  <c r="U719" i="51"/>
  <c r="U720" i="51"/>
  <c r="U721" i="51"/>
  <c r="U722" i="51"/>
  <c r="U723" i="51"/>
  <c r="U724" i="51"/>
  <c r="U725" i="51"/>
  <c r="U726" i="51"/>
  <c r="U727" i="51"/>
  <c r="U728" i="51"/>
  <c r="U729" i="51"/>
  <c r="U730" i="51"/>
  <c r="U731" i="51"/>
  <c r="U732" i="51"/>
  <c r="U733" i="51"/>
  <c r="U734" i="51"/>
  <c r="U735" i="51"/>
  <c r="U736" i="51"/>
  <c r="U737" i="51"/>
  <c r="U738" i="51"/>
  <c r="U739" i="51"/>
  <c r="U740" i="51"/>
  <c r="U741" i="51"/>
  <c r="U742" i="51"/>
  <c r="U743" i="51"/>
  <c r="U744" i="51"/>
  <c r="U745" i="51"/>
  <c r="U746" i="51"/>
  <c r="U747" i="51"/>
  <c r="U748" i="51"/>
  <c r="U749" i="51"/>
  <c r="U750" i="51"/>
  <c r="U751" i="51"/>
  <c r="U752" i="51"/>
  <c r="U753" i="51"/>
  <c r="U754" i="51"/>
  <c r="U755" i="51"/>
  <c r="U756" i="51"/>
  <c r="U757" i="51"/>
  <c r="U758" i="51"/>
  <c r="U759" i="51"/>
  <c r="U760" i="51"/>
  <c r="U761" i="51"/>
  <c r="U762" i="51"/>
  <c r="U763" i="51"/>
  <c r="U764" i="51"/>
  <c r="U765" i="51"/>
  <c r="U766" i="51"/>
  <c r="U767" i="51"/>
  <c r="U768" i="51"/>
  <c r="U769" i="51"/>
  <c r="U770" i="51"/>
  <c r="U771" i="51"/>
  <c r="U772" i="51"/>
  <c r="U773" i="51"/>
  <c r="U774" i="51"/>
  <c r="U775" i="51"/>
  <c r="U776" i="51"/>
  <c r="U777" i="51"/>
  <c r="U778" i="51"/>
  <c r="U779" i="51"/>
  <c r="U780" i="51"/>
  <c r="U781" i="51"/>
  <c r="U782" i="51"/>
  <c r="U783" i="51"/>
  <c r="U784" i="51"/>
  <c r="U785" i="51"/>
  <c r="U786" i="51"/>
  <c r="U787" i="51"/>
  <c r="U788" i="51"/>
  <c r="U789" i="51"/>
  <c r="U790" i="51"/>
  <c r="U791" i="51"/>
  <c r="U792" i="51"/>
  <c r="U793" i="51"/>
  <c r="U794" i="51"/>
  <c r="U795" i="51"/>
  <c r="U796" i="51"/>
  <c r="U797" i="51"/>
  <c r="U798" i="51"/>
  <c r="U799" i="51"/>
  <c r="U800" i="51"/>
  <c r="U801" i="51"/>
  <c r="U802" i="51"/>
  <c r="U803" i="51"/>
  <c r="U804" i="51"/>
  <c r="U805" i="51"/>
  <c r="U806" i="51"/>
  <c r="U807" i="51"/>
  <c r="U808" i="51"/>
  <c r="U809" i="51"/>
  <c r="U810" i="51"/>
  <c r="U811" i="51"/>
  <c r="U812" i="51"/>
  <c r="U813" i="51"/>
  <c r="U814" i="51"/>
  <c r="U815" i="51"/>
  <c r="U816" i="51"/>
  <c r="U817" i="51"/>
  <c r="U818" i="51"/>
  <c r="U819" i="51"/>
  <c r="U820" i="51"/>
  <c r="U821" i="51"/>
  <c r="U822" i="51"/>
  <c r="U823" i="51"/>
  <c r="U824" i="51"/>
  <c r="U825" i="51"/>
  <c r="U826" i="51"/>
  <c r="U827" i="51"/>
  <c r="U828" i="51"/>
  <c r="U829" i="51"/>
  <c r="U830" i="51"/>
  <c r="U831" i="51"/>
  <c r="U832" i="51"/>
  <c r="U833" i="51"/>
  <c r="U834" i="51"/>
  <c r="U835" i="51"/>
  <c r="U836" i="51"/>
  <c r="U837" i="51"/>
  <c r="U838" i="51"/>
  <c r="U839" i="51"/>
  <c r="U840" i="51"/>
  <c r="U841" i="51"/>
  <c r="U842" i="51"/>
  <c r="U843" i="51"/>
  <c r="U844" i="51"/>
  <c r="U845" i="51"/>
  <c r="U846" i="51"/>
  <c r="U847" i="51"/>
  <c r="U848" i="51"/>
  <c r="U849" i="51"/>
  <c r="U850" i="51"/>
  <c r="U851" i="51"/>
  <c r="U852" i="51"/>
  <c r="U853" i="51"/>
  <c r="U854" i="51"/>
  <c r="U855" i="51"/>
  <c r="U856" i="51"/>
  <c r="U857" i="51"/>
  <c r="U858" i="51"/>
  <c r="U859" i="51"/>
  <c r="U860" i="51"/>
  <c r="U861" i="51"/>
  <c r="U862" i="51"/>
  <c r="U863" i="51"/>
  <c r="U864" i="51"/>
  <c r="U865" i="51"/>
  <c r="U866" i="51"/>
  <c r="U867" i="51"/>
  <c r="U868" i="51"/>
  <c r="U869" i="51"/>
  <c r="U870" i="51"/>
  <c r="U871" i="51"/>
  <c r="U872" i="51"/>
  <c r="U873" i="51"/>
  <c r="U874" i="51"/>
  <c r="U875" i="51"/>
  <c r="U876" i="51"/>
  <c r="U877" i="51"/>
  <c r="U878" i="51"/>
  <c r="U879" i="51"/>
  <c r="U880" i="51"/>
  <c r="U881" i="51"/>
  <c r="U882" i="51"/>
  <c r="U883" i="51"/>
  <c r="U884" i="51"/>
  <c r="U885" i="51"/>
  <c r="U886" i="51"/>
  <c r="U887" i="51"/>
  <c r="U888" i="51"/>
  <c r="U889" i="51"/>
  <c r="U890" i="51"/>
  <c r="U891" i="51"/>
  <c r="U892" i="51"/>
  <c r="U893" i="51"/>
  <c r="U894" i="51"/>
  <c r="U895" i="51"/>
  <c r="U896" i="51"/>
  <c r="U897" i="51"/>
  <c r="U898" i="51"/>
  <c r="U899" i="51"/>
  <c r="U900" i="51"/>
  <c r="U901" i="51"/>
  <c r="U902" i="51"/>
  <c r="U903" i="51"/>
  <c r="U904" i="51"/>
  <c r="U905" i="51"/>
  <c r="U906" i="51"/>
  <c r="U907" i="51"/>
  <c r="U908" i="51"/>
  <c r="U909" i="51"/>
  <c r="U910" i="51"/>
  <c r="U911" i="51"/>
  <c r="U912" i="51"/>
  <c r="U913" i="51"/>
  <c r="U914" i="51"/>
  <c r="U915" i="51"/>
  <c r="U916" i="51"/>
  <c r="U917" i="51"/>
  <c r="U918" i="51"/>
  <c r="U919" i="51"/>
  <c r="U920" i="51"/>
  <c r="U921" i="51"/>
  <c r="U922" i="51"/>
  <c r="U923" i="51"/>
  <c r="U924" i="51"/>
  <c r="U925" i="51"/>
  <c r="U926" i="51"/>
  <c r="U927" i="51"/>
  <c r="U928" i="51"/>
  <c r="U929" i="51"/>
  <c r="U930" i="51"/>
  <c r="U931" i="51"/>
  <c r="U932" i="51"/>
  <c r="U933" i="51"/>
  <c r="U934" i="51"/>
  <c r="U935" i="51"/>
  <c r="U936" i="51"/>
  <c r="U937" i="51"/>
  <c r="U938" i="51"/>
  <c r="U939" i="51"/>
  <c r="U940" i="51"/>
  <c r="U941" i="51"/>
  <c r="U942" i="51"/>
  <c r="U943" i="51"/>
  <c r="U944" i="51"/>
  <c r="U945" i="51"/>
  <c r="U946" i="51"/>
  <c r="U947" i="51"/>
  <c r="U948" i="51"/>
  <c r="U949" i="51"/>
  <c r="U950" i="51"/>
  <c r="U951" i="51"/>
  <c r="U952" i="51"/>
  <c r="U953" i="51"/>
  <c r="U954" i="51"/>
  <c r="U955" i="51"/>
  <c r="U956" i="51"/>
  <c r="U957" i="51"/>
  <c r="U958" i="51"/>
  <c r="U959" i="51"/>
  <c r="U960" i="51"/>
  <c r="U961" i="51"/>
  <c r="U962" i="51"/>
  <c r="U963" i="51"/>
  <c r="U964" i="51"/>
  <c r="U965" i="51"/>
  <c r="U966" i="51"/>
  <c r="U967" i="51"/>
  <c r="U968" i="51"/>
  <c r="U969" i="51"/>
  <c r="U970" i="51"/>
  <c r="U971" i="51"/>
  <c r="U972" i="51"/>
  <c r="U973" i="51"/>
  <c r="U974" i="51"/>
  <c r="U975" i="51"/>
  <c r="U976" i="51"/>
  <c r="U977" i="51"/>
  <c r="U978" i="51"/>
  <c r="U979" i="51"/>
  <c r="U980" i="51"/>
  <c r="U981" i="51"/>
  <c r="U982" i="51"/>
  <c r="U983" i="51"/>
  <c r="U984" i="51"/>
  <c r="U985" i="51"/>
  <c r="U986" i="51"/>
  <c r="U987" i="51"/>
  <c r="U988" i="51"/>
  <c r="U989" i="51"/>
  <c r="U990" i="51"/>
  <c r="U991" i="51"/>
  <c r="U992" i="51"/>
  <c r="U993" i="51"/>
  <c r="U994" i="51"/>
  <c r="U995" i="51"/>
  <c r="U996" i="51"/>
  <c r="U997" i="51"/>
  <c r="U998" i="51"/>
  <c r="U999" i="51"/>
  <c r="U1000" i="51"/>
  <c r="U1001" i="51"/>
  <c r="U1002" i="51"/>
  <c r="U1003" i="51"/>
  <c r="U1004" i="51"/>
  <c r="U1005" i="51"/>
  <c r="U1006" i="51"/>
  <c r="U1007" i="51"/>
  <c r="U1008" i="51"/>
  <c r="U1009" i="51"/>
  <c r="U1010" i="51"/>
  <c r="U1011" i="51"/>
  <c r="U1012" i="51"/>
  <c r="U1013" i="51"/>
  <c r="U1014" i="51"/>
  <c r="U1015" i="51"/>
  <c r="U1016" i="51"/>
  <c r="U1017" i="51"/>
  <c r="U1018" i="51"/>
  <c r="U1019" i="51"/>
  <c r="U1020" i="51"/>
  <c r="U1021" i="51"/>
  <c r="U1022" i="51"/>
  <c r="U1023" i="51"/>
  <c r="U1024" i="51"/>
  <c r="U1025" i="51"/>
  <c r="U1026" i="51"/>
  <c r="U1027" i="51"/>
  <c r="U1028" i="51"/>
  <c r="U1029" i="51"/>
  <c r="U1030" i="51"/>
  <c r="U1031" i="51"/>
  <c r="U1032" i="51"/>
  <c r="U1033" i="51"/>
  <c r="U1034" i="51"/>
  <c r="U1035" i="51"/>
  <c r="U1036" i="51"/>
  <c r="U1037" i="51"/>
  <c r="U1038" i="51"/>
  <c r="U1039" i="51"/>
  <c r="U1040" i="51"/>
  <c r="U1041" i="51"/>
  <c r="U1042" i="51"/>
  <c r="U1043" i="51"/>
  <c r="U1044" i="51"/>
  <c r="U1045" i="51"/>
  <c r="U1046" i="51"/>
  <c r="U1047" i="51"/>
  <c r="U1048" i="51"/>
  <c r="U1049" i="51"/>
  <c r="U1050" i="51"/>
  <c r="U1051" i="51"/>
  <c r="U1052" i="51"/>
  <c r="U1053" i="51"/>
  <c r="U1054" i="51"/>
  <c r="U1055" i="51"/>
  <c r="U1056" i="51"/>
  <c r="U1057" i="51"/>
  <c r="U1058" i="51"/>
  <c r="U1059" i="51"/>
  <c r="U1060" i="51"/>
  <c r="U1061" i="51"/>
  <c r="U1062" i="51"/>
  <c r="U1063" i="51"/>
  <c r="U1064" i="51"/>
  <c r="U1065" i="51"/>
  <c r="U1066" i="51"/>
  <c r="U1067" i="51"/>
  <c r="U1068" i="51"/>
  <c r="U1069" i="51"/>
  <c r="U1070" i="51"/>
  <c r="U1071" i="51"/>
  <c r="U1072" i="51"/>
  <c r="U1073" i="51"/>
  <c r="U1074" i="51"/>
  <c r="U1075" i="51"/>
  <c r="U1076" i="51"/>
  <c r="U1077" i="51"/>
  <c r="U1078" i="51"/>
  <c r="U1079" i="51"/>
  <c r="U1080" i="51"/>
  <c r="U1081" i="51"/>
  <c r="U1082" i="51"/>
  <c r="U1083" i="51"/>
  <c r="U1084" i="51"/>
  <c r="U1085" i="51"/>
  <c r="U1086" i="51"/>
  <c r="U1087" i="51"/>
  <c r="U1088" i="51"/>
  <c r="U1089" i="51"/>
  <c r="U1090" i="51"/>
  <c r="U1091" i="51"/>
  <c r="U1092" i="51"/>
  <c r="U1093" i="51"/>
  <c r="U1094" i="51"/>
  <c r="U1095" i="51"/>
  <c r="U1096" i="51"/>
  <c r="U1097" i="51"/>
  <c r="U1098" i="51"/>
  <c r="U1099" i="51"/>
  <c r="U1100" i="51"/>
  <c r="U1101" i="51"/>
  <c r="U1102" i="51"/>
  <c r="U1103" i="51"/>
  <c r="U1104" i="51"/>
  <c r="U1105" i="51"/>
  <c r="U1106" i="51"/>
  <c r="U1107" i="51"/>
  <c r="U1108" i="51"/>
  <c r="U1109" i="51"/>
  <c r="U1110" i="51"/>
  <c r="U1111" i="51"/>
  <c r="U1112" i="51"/>
  <c r="U1113" i="51"/>
  <c r="U1114" i="51"/>
  <c r="U1115" i="51"/>
  <c r="U1116" i="51"/>
  <c r="U1117" i="51"/>
  <c r="U1118" i="51"/>
  <c r="U1119" i="51"/>
  <c r="U1120" i="51"/>
  <c r="U1121" i="51"/>
  <c r="U1122" i="51"/>
  <c r="U1123" i="51"/>
  <c r="U1124" i="51"/>
  <c r="U1125" i="51"/>
  <c r="U1126" i="51"/>
  <c r="U1127" i="51"/>
  <c r="U1128" i="51"/>
  <c r="U1129" i="51"/>
  <c r="U1130" i="51"/>
  <c r="U1131" i="51"/>
  <c r="U1132" i="51"/>
  <c r="U1133" i="51"/>
  <c r="U1134" i="51"/>
  <c r="U1135" i="51"/>
  <c r="U1136" i="51"/>
  <c r="U1137" i="51"/>
  <c r="U1138" i="51"/>
  <c r="U1139" i="51"/>
  <c r="U1140" i="51"/>
  <c r="U1141" i="51"/>
  <c r="U1142" i="51"/>
  <c r="U1143" i="51"/>
  <c r="U1144" i="51"/>
  <c r="U1145" i="51"/>
  <c r="U1146" i="51"/>
  <c r="U1147" i="51"/>
  <c r="U1148" i="51"/>
  <c r="U1149" i="51"/>
  <c r="U1150" i="51"/>
  <c r="U1151" i="51"/>
  <c r="U1152" i="51"/>
  <c r="U1153" i="51"/>
  <c r="U1154" i="51"/>
  <c r="U1155" i="51"/>
  <c r="U1156" i="51"/>
  <c r="U1157" i="51"/>
  <c r="U1158" i="51"/>
  <c r="U1159" i="51"/>
  <c r="U1160" i="51"/>
  <c r="U1161" i="51"/>
  <c r="U1162" i="51"/>
  <c r="U1163" i="51"/>
  <c r="U1164" i="51"/>
  <c r="U1165" i="51"/>
  <c r="U1166" i="51"/>
  <c r="U1167" i="51"/>
  <c r="U1168" i="51"/>
  <c r="U1169" i="51"/>
  <c r="U1170" i="51"/>
  <c r="U1171" i="51"/>
  <c r="U1172" i="51"/>
  <c r="U1173" i="51"/>
  <c r="U1174" i="51"/>
  <c r="U1175" i="51"/>
  <c r="U1176" i="51"/>
  <c r="U1177" i="51"/>
  <c r="U1178" i="51"/>
  <c r="U1179" i="51"/>
  <c r="U1180" i="51"/>
  <c r="U1181" i="51"/>
  <c r="U1182" i="51"/>
  <c r="U1183" i="51"/>
  <c r="U1184" i="51"/>
  <c r="U1185" i="51"/>
  <c r="U1186" i="51"/>
  <c r="U1187" i="51"/>
  <c r="U1188" i="51"/>
  <c r="U1189" i="51"/>
  <c r="U1190" i="51"/>
  <c r="U1191" i="51"/>
  <c r="U1192" i="51"/>
  <c r="U1193" i="51"/>
  <c r="U1194" i="51"/>
  <c r="U1195" i="51"/>
  <c r="U1196" i="51"/>
  <c r="U1197" i="51"/>
  <c r="U1198" i="51"/>
  <c r="U1199" i="51"/>
  <c r="U1200" i="51"/>
  <c r="U1201" i="51"/>
  <c r="U1202" i="51"/>
  <c r="U1203" i="51"/>
  <c r="U1204" i="51"/>
  <c r="U1205" i="51"/>
  <c r="U1206" i="51"/>
  <c r="U1207" i="51"/>
  <c r="U1208" i="51"/>
  <c r="U1209" i="51"/>
  <c r="U1210" i="51"/>
  <c r="U1211" i="51"/>
  <c r="U1212" i="51"/>
  <c r="U1213" i="51"/>
  <c r="U1214" i="51"/>
  <c r="U1215" i="51"/>
  <c r="U1216" i="51"/>
  <c r="U1217" i="51"/>
  <c r="U1218" i="51"/>
  <c r="U1219" i="51"/>
  <c r="U1220" i="51"/>
  <c r="U1221" i="51"/>
  <c r="U1222" i="51"/>
  <c r="U1223" i="51"/>
  <c r="U1224" i="51"/>
  <c r="U1225" i="51"/>
  <c r="U1226" i="51"/>
  <c r="U1227" i="51"/>
  <c r="U1228" i="51"/>
  <c r="U1229" i="51"/>
  <c r="U1230" i="51"/>
  <c r="U1231" i="51"/>
  <c r="U1232" i="51"/>
  <c r="U1233" i="51"/>
  <c r="U1234" i="51"/>
  <c r="U1235" i="51"/>
  <c r="U1236" i="51"/>
  <c r="U1237" i="51"/>
  <c r="U1238" i="51"/>
  <c r="U1239" i="51"/>
  <c r="U1240" i="51"/>
  <c r="U1241" i="51"/>
  <c r="U1242" i="51"/>
  <c r="U1243" i="51"/>
  <c r="U1244" i="51"/>
  <c r="U1245" i="51"/>
  <c r="U1246" i="51"/>
  <c r="U1247" i="51"/>
  <c r="U1248" i="51"/>
  <c r="U1249" i="51"/>
  <c r="U1250" i="51"/>
  <c r="U1251" i="51"/>
  <c r="U1252" i="51"/>
  <c r="U1253" i="51"/>
  <c r="U1254" i="51"/>
  <c r="U1255" i="51"/>
  <c r="U1256" i="51"/>
  <c r="U1257" i="51"/>
  <c r="U1258" i="51"/>
  <c r="U1259" i="51"/>
  <c r="U1260" i="51"/>
  <c r="U1261" i="51"/>
  <c r="U1262" i="51"/>
  <c r="U1263" i="51"/>
  <c r="U1264" i="51"/>
  <c r="U1265" i="51"/>
  <c r="U1266" i="51"/>
  <c r="U1267" i="51"/>
  <c r="U1268" i="51"/>
  <c r="U1269" i="51"/>
  <c r="U1270" i="51"/>
  <c r="U1271" i="51"/>
  <c r="U1272" i="51"/>
  <c r="U1273" i="51"/>
  <c r="U1274" i="51"/>
  <c r="U1275" i="51"/>
  <c r="U1276" i="51"/>
  <c r="U1277" i="51"/>
  <c r="U1278" i="51"/>
  <c r="U1279" i="51"/>
  <c r="U1280" i="51"/>
  <c r="U1281" i="51"/>
  <c r="U1282" i="51"/>
  <c r="U1283" i="51"/>
  <c r="U1284" i="51"/>
  <c r="U1285" i="51"/>
  <c r="U1286" i="51"/>
  <c r="U1287" i="51"/>
  <c r="U1288" i="51"/>
  <c r="U1289" i="51"/>
  <c r="U1290" i="51"/>
  <c r="U1291" i="51"/>
  <c r="U1292" i="51"/>
  <c r="U1293" i="51"/>
  <c r="U1294" i="51"/>
  <c r="U1295" i="51"/>
  <c r="U1296" i="51"/>
  <c r="U1297" i="51"/>
  <c r="U1298" i="51"/>
  <c r="U1299" i="51"/>
  <c r="U1300" i="51"/>
  <c r="U1301" i="51"/>
  <c r="U1302" i="51"/>
  <c r="U1303" i="51"/>
  <c r="U1304" i="51"/>
  <c r="U1305" i="51"/>
  <c r="U1306" i="51"/>
  <c r="U1307" i="51"/>
  <c r="U1308" i="51"/>
  <c r="U1309" i="51"/>
  <c r="U1310" i="51"/>
  <c r="U1311" i="51"/>
  <c r="U1312" i="51"/>
  <c r="U1313" i="51"/>
  <c r="U1314" i="51"/>
  <c r="U1315" i="51"/>
  <c r="U1316" i="51"/>
  <c r="U1317" i="51"/>
  <c r="U1318" i="51"/>
  <c r="U1319" i="51"/>
  <c r="U1320" i="51"/>
  <c r="U1321" i="51"/>
  <c r="U1322" i="51"/>
  <c r="U1323" i="51"/>
  <c r="U1324" i="51"/>
  <c r="U1325" i="51"/>
  <c r="U1326" i="51"/>
  <c r="U1327" i="51"/>
  <c r="U1328" i="51"/>
  <c r="U1329" i="51"/>
  <c r="U1330" i="51"/>
  <c r="U1331" i="51"/>
  <c r="U1332" i="51"/>
  <c r="U1333" i="51"/>
  <c r="U1334" i="51"/>
  <c r="U1335" i="51"/>
  <c r="U1336" i="51"/>
  <c r="U1337" i="51"/>
  <c r="U1338" i="51"/>
  <c r="U1339" i="51"/>
  <c r="U1340" i="51"/>
  <c r="U1341" i="51"/>
  <c r="U1342" i="51"/>
  <c r="U1343" i="51"/>
  <c r="U1344" i="51"/>
  <c r="U1345" i="51"/>
  <c r="U1346" i="51"/>
  <c r="U1347" i="51"/>
  <c r="U1348" i="51"/>
  <c r="U1349" i="51"/>
  <c r="U1350" i="51"/>
  <c r="U1351" i="51"/>
  <c r="U1352" i="51"/>
  <c r="U1353" i="51"/>
  <c r="U1354" i="51"/>
  <c r="U1355" i="51"/>
  <c r="U1356" i="51"/>
  <c r="U1357" i="51"/>
  <c r="U1358" i="51"/>
  <c r="U1359" i="51"/>
  <c r="U1360" i="51"/>
  <c r="U1361" i="51"/>
  <c r="U1362" i="51"/>
  <c r="U1363" i="51"/>
  <c r="U1364" i="51"/>
  <c r="U1365" i="51"/>
  <c r="U1366" i="51"/>
  <c r="U1367" i="51"/>
  <c r="U1368" i="51"/>
  <c r="U1369" i="51"/>
  <c r="U1370" i="51"/>
  <c r="U1371" i="51"/>
  <c r="U1372" i="51"/>
  <c r="U1373" i="51"/>
  <c r="U1374" i="51"/>
  <c r="U1375" i="51"/>
  <c r="U1376" i="51"/>
  <c r="U1377" i="51"/>
  <c r="U1378" i="51"/>
  <c r="U1379" i="51"/>
  <c r="U1380" i="51"/>
  <c r="U1381" i="51"/>
  <c r="U1382" i="51"/>
  <c r="U1383" i="51"/>
  <c r="U1384" i="51"/>
  <c r="U1385" i="51"/>
  <c r="U1386" i="51"/>
  <c r="U1387" i="51"/>
  <c r="U1388" i="51"/>
  <c r="U1389" i="51"/>
  <c r="U1390" i="51"/>
  <c r="U1391" i="51"/>
  <c r="U1392" i="51"/>
  <c r="U1393" i="51"/>
  <c r="U1394" i="51"/>
  <c r="U1395" i="51"/>
  <c r="U1396" i="51"/>
  <c r="U1397" i="51"/>
  <c r="U1398" i="51"/>
  <c r="U1399" i="51"/>
  <c r="U1400" i="51"/>
  <c r="U1401" i="51"/>
  <c r="U1402" i="51"/>
  <c r="U1403" i="51"/>
  <c r="U1404" i="51"/>
  <c r="U1405" i="51"/>
  <c r="U1406" i="51"/>
  <c r="U1407" i="51"/>
  <c r="U1408" i="51"/>
  <c r="U1409" i="51"/>
  <c r="U1410" i="51"/>
  <c r="U1411" i="51"/>
  <c r="U1412" i="51"/>
  <c r="U1413" i="51"/>
  <c r="U1414" i="51"/>
  <c r="U1415" i="51"/>
  <c r="U1416" i="51"/>
  <c r="U1417" i="51"/>
  <c r="U1418" i="51"/>
  <c r="U1419" i="51"/>
  <c r="U1420" i="51"/>
  <c r="U1421" i="51"/>
  <c r="U1422" i="51"/>
  <c r="U1423" i="51"/>
  <c r="U1424" i="51"/>
  <c r="U1425" i="51"/>
  <c r="U1426" i="51"/>
  <c r="U1427" i="51"/>
  <c r="U1428" i="51"/>
  <c r="U1429" i="51"/>
  <c r="U1430" i="51"/>
  <c r="U1431" i="51"/>
  <c r="U1432" i="51"/>
  <c r="U1433" i="51"/>
  <c r="U1434" i="51"/>
  <c r="U1435" i="51"/>
  <c r="U1436" i="51"/>
  <c r="U1437" i="51"/>
  <c r="U1438" i="51"/>
  <c r="U1439" i="51"/>
  <c r="U1440" i="51"/>
  <c r="U1441" i="51"/>
  <c r="U1442" i="51"/>
  <c r="U1443" i="51"/>
  <c r="U1444" i="51"/>
  <c r="U1445" i="51"/>
  <c r="U1446" i="51"/>
  <c r="U1447" i="51"/>
  <c r="U1448" i="51"/>
  <c r="U1449" i="51"/>
  <c r="U1450" i="51"/>
  <c r="U1451" i="51"/>
  <c r="U1452" i="51"/>
  <c r="U1453" i="51"/>
  <c r="U1454" i="51"/>
  <c r="U1455" i="51"/>
  <c r="U1456" i="51"/>
  <c r="U1457" i="51"/>
  <c r="U1458" i="51"/>
  <c r="U1459" i="51"/>
  <c r="U1460" i="51"/>
  <c r="U1461" i="51"/>
  <c r="U1462" i="51"/>
  <c r="U1463" i="51"/>
  <c r="U1464" i="51"/>
  <c r="U1465" i="51"/>
  <c r="U1466" i="51"/>
  <c r="U1467" i="51"/>
  <c r="U1468" i="51"/>
  <c r="U1469" i="51"/>
  <c r="U1470" i="51"/>
  <c r="U1471" i="51"/>
  <c r="U1472" i="51"/>
  <c r="U1473" i="51"/>
  <c r="U1474" i="51"/>
  <c r="U1475" i="51"/>
  <c r="U1476" i="51"/>
  <c r="U1477" i="51"/>
  <c r="U1478" i="51"/>
  <c r="U1479" i="51"/>
  <c r="U1480" i="51"/>
  <c r="U1481" i="51"/>
  <c r="U1482" i="51"/>
  <c r="U1483" i="51"/>
  <c r="U1484" i="51"/>
  <c r="U1485" i="51"/>
  <c r="U1486" i="51"/>
  <c r="U1487" i="51"/>
  <c r="U1488" i="51"/>
  <c r="U1489" i="51"/>
  <c r="U1490" i="51"/>
  <c r="U1491" i="51"/>
  <c r="U1492" i="51"/>
  <c r="U1493" i="51"/>
  <c r="U1494" i="51"/>
  <c r="U1495" i="51"/>
  <c r="U1496" i="51"/>
  <c r="U1497" i="51"/>
  <c r="U1498" i="51"/>
  <c r="U1499" i="51"/>
  <c r="U1500" i="51"/>
  <c r="U1501" i="51"/>
  <c r="U1502" i="51"/>
  <c r="U1503" i="51"/>
  <c r="U1504" i="51"/>
  <c r="U1505" i="51"/>
  <c r="U1506" i="51"/>
  <c r="U1507" i="51"/>
  <c r="U1508" i="51"/>
  <c r="U1509" i="51"/>
  <c r="U1510" i="51"/>
  <c r="U1511" i="51"/>
  <c r="U1512" i="51"/>
  <c r="U1513" i="51"/>
  <c r="U1514" i="51"/>
  <c r="U1515" i="51"/>
  <c r="U1516" i="51"/>
  <c r="U1517" i="51"/>
  <c r="U1518" i="51"/>
  <c r="U1519" i="51"/>
  <c r="U1520" i="51"/>
  <c r="U1521" i="51"/>
  <c r="U1522" i="51"/>
  <c r="U1523" i="51"/>
  <c r="U1524" i="51"/>
  <c r="U1525" i="51"/>
  <c r="U1526" i="51"/>
  <c r="U1527" i="51"/>
  <c r="U1528" i="51"/>
  <c r="U1529" i="51"/>
  <c r="U1530" i="51"/>
  <c r="U1531" i="51"/>
  <c r="U1532" i="51"/>
  <c r="U1533" i="51"/>
  <c r="U1534" i="51"/>
  <c r="U1535" i="51"/>
  <c r="U1536" i="51"/>
  <c r="U1537" i="51"/>
  <c r="U1538" i="51"/>
  <c r="U1539" i="51"/>
  <c r="U1540" i="51"/>
  <c r="U1541" i="51"/>
  <c r="U1542" i="51"/>
  <c r="U1543" i="51"/>
  <c r="U1544" i="51"/>
  <c r="U1545" i="51"/>
  <c r="U1546" i="51"/>
  <c r="U1547" i="51"/>
  <c r="U1548" i="51"/>
  <c r="U1549" i="51"/>
  <c r="U1550" i="51"/>
  <c r="U1551" i="51"/>
  <c r="U1552" i="51"/>
  <c r="U1553" i="51"/>
  <c r="U1554" i="51"/>
  <c r="U1555" i="51"/>
  <c r="U1556" i="51"/>
  <c r="U1557" i="51"/>
  <c r="U1558" i="51"/>
  <c r="U1559" i="51"/>
  <c r="U1560" i="51"/>
  <c r="U1561" i="51"/>
  <c r="U1562" i="51"/>
  <c r="U1563" i="51"/>
  <c r="U1564" i="51"/>
  <c r="U1565" i="51"/>
  <c r="U1566" i="51"/>
  <c r="U1567" i="51"/>
  <c r="U1568" i="51"/>
  <c r="U1569" i="51"/>
  <c r="U1570" i="51"/>
  <c r="U1571" i="51"/>
  <c r="U1572" i="51"/>
  <c r="U1573" i="51"/>
  <c r="U1574" i="51"/>
  <c r="U1575" i="51"/>
  <c r="U1576" i="51"/>
  <c r="U1577" i="51"/>
  <c r="U1578" i="51"/>
  <c r="U1579" i="51"/>
  <c r="U1580" i="51"/>
  <c r="U1581" i="51"/>
  <c r="U1582" i="51"/>
  <c r="U1583" i="51"/>
  <c r="U1584" i="51"/>
  <c r="U1585" i="51"/>
  <c r="U1586" i="51"/>
  <c r="U1587" i="51"/>
  <c r="U1588" i="51"/>
  <c r="U1589" i="51"/>
  <c r="U1590" i="51"/>
  <c r="U1591" i="51"/>
  <c r="U1592" i="51"/>
  <c r="U1593" i="51"/>
  <c r="U1594" i="51"/>
  <c r="U1595" i="51"/>
  <c r="U1596" i="51"/>
  <c r="U1597" i="51"/>
  <c r="U1598" i="51"/>
  <c r="U1599" i="51"/>
  <c r="U1600" i="51"/>
  <c r="U1601" i="51"/>
  <c r="U1602" i="51"/>
  <c r="U1603" i="51"/>
  <c r="U1604" i="51"/>
  <c r="U1605" i="51"/>
  <c r="U1606" i="51"/>
  <c r="U1607" i="51"/>
  <c r="U1608" i="51"/>
  <c r="U1609" i="51"/>
  <c r="U1610" i="51"/>
  <c r="U1611" i="51"/>
  <c r="U1612" i="51"/>
  <c r="U1613" i="51"/>
  <c r="U1614" i="51"/>
  <c r="U1615" i="51"/>
  <c r="U1616" i="51"/>
  <c r="U1617" i="51"/>
  <c r="U1618" i="51"/>
  <c r="U1619" i="51"/>
  <c r="U1620" i="51"/>
  <c r="U1621" i="51"/>
  <c r="U1622" i="51"/>
  <c r="U1623" i="51"/>
  <c r="U1624" i="51"/>
  <c r="U1625" i="51"/>
  <c r="U1626" i="51"/>
  <c r="U1627" i="51"/>
  <c r="U1628" i="51"/>
  <c r="U1629" i="51"/>
  <c r="U1630" i="51"/>
  <c r="U1631" i="51"/>
  <c r="U1632" i="51"/>
  <c r="U1633" i="51"/>
  <c r="U1634" i="51"/>
  <c r="U1635" i="51"/>
  <c r="U1636" i="51"/>
  <c r="U1637" i="51"/>
  <c r="U1638" i="51"/>
  <c r="U1639" i="51"/>
  <c r="U1640" i="51"/>
  <c r="U1641" i="51"/>
  <c r="U1642" i="51"/>
  <c r="U1643" i="51"/>
  <c r="U1644" i="51"/>
  <c r="U1645" i="51"/>
  <c r="U1646" i="51"/>
  <c r="U1647" i="51"/>
  <c r="U1648" i="51"/>
  <c r="U1649" i="51"/>
  <c r="U1650" i="51"/>
  <c r="U1651" i="51"/>
  <c r="U1652" i="51"/>
  <c r="U1653" i="51"/>
  <c r="U1654" i="51"/>
  <c r="U1655" i="51"/>
  <c r="U1656" i="51"/>
  <c r="U1657" i="51"/>
  <c r="U1658" i="51"/>
  <c r="U1659" i="51"/>
  <c r="U1660" i="51"/>
  <c r="U1661" i="51"/>
  <c r="U1662" i="51"/>
  <c r="U1663" i="51"/>
  <c r="U1664" i="51"/>
  <c r="U1665" i="51"/>
  <c r="U1666" i="51"/>
  <c r="U1667" i="51"/>
  <c r="U1668" i="51"/>
  <c r="U1669" i="51"/>
  <c r="U1670" i="51"/>
  <c r="U1671" i="51"/>
  <c r="U1672" i="51"/>
  <c r="U1673" i="51"/>
  <c r="U1674" i="51"/>
  <c r="U1675" i="51"/>
  <c r="U1676" i="51"/>
  <c r="U1677" i="51"/>
  <c r="U1678" i="51"/>
  <c r="U1679" i="51"/>
  <c r="U1680" i="51"/>
  <c r="U1681" i="51"/>
  <c r="U1682" i="51"/>
  <c r="U1683" i="51"/>
  <c r="U1684" i="51"/>
  <c r="U1685" i="51"/>
  <c r="U1686" i="51"/>
  <c r="U1687" i="51"/>
  <c r="U1688" i="51"/>
  <c r="U1689" i="51"/>
  <c r="U1690" i="51"/>
  <c r="U1691" i="51"/>
  <c r="U1692" i="51"/>
  <c r="U1693" i="51"/>
  <c r="U1694" i="51"/>
  <c r="U1695" i="51"/>
  <c r="U1696" i="51"/>
  <c r="U1697" i="51"/>
  <c r="U1698" i="51"/>
  <c r="U1699" i="51"/>
  <c r="U1700" i="51"/>
  <c r="U1701" i="51"/>
  <c r="U1702" i="51"/>
  <c r="U1703" i="51"/>
  <c r="U1704" i="51"/>
  <c r="U1705" i="51"/>
  <c r="U1706" i="51"/>
  <c r="U1707" i="51"/>
  <c r="U1708" i="51"/>
  <c r="U1709" i="51"/>
  <c r="U1710" i="51"/>
  <c r="U1711" i="51"/>
  <c r="U1712" i="51"/>
  <c r="U1713" i="51"/>
  <c r="U1714" i="51"/>
  <c r="U1715" i="51"/>
  <c r="U1716" i="51"/>
  <c r="U1717" i="51"/>
  <c r="U1718" i="51"/>
  <c r="U1719" i="51"/>
  <c r="U1720" i="51"/>
  <c r="U1721" i="51"/>
  <c r="U1722" i="51"/>
  <c r="U1723" i="51"/>
  <c r="U1724" i="51"/>
  <c r="U1725" i="51"/>
  <c r="U1726" i="51"/>
  <c r="U1727" i="51"/>
  <c r="U1728" i="51"/>
  <c r="U1729" i="51"/>
  <c r="U1730" i="51"/>
  <c r="U1731" i="51"/>
  <c r="U1732" i="51"/>
  <c r="U1733" i="51"/>
  <c r="U1734" i="51"/>
  <c r="U1735" i="51"/>
  <c r="U1736" i="51"/>
  <c r="U1737" i="51"/>
  <c r="U1738" i="51"/>
  <c r="U1739" i="51"/>
  <c r="U1740" i="51"/>
  <c r="U1741" i="51"/>
  <c r="U1742" i="51"/>
  <c r="U1743" i="51"/>
  <c r="U1744" i="51"/>
  <c r="U1745" i="51"/>
  <c r="U1746" i="51"/>
  <c r="U1747" i="51"/>
  <c r="U1748" i="51"/>
  <c r="U1749" i="51"/>
  <c r="U1750" i="51"/>
  <c r="U1751" i="51"/>
  <c r="U1752" i="51"/>
  <c r="U1753" i="51"/>
  <c r="U1754" i="51"/>
  <c r="U1755" i="51"/>
  <c r="U1756" i="51"/>
  <c r="U1757" i="51"/>
  <c r="U1758" i="51"/>
  <c r="U1759" i="51"/>
  <c r="U1760" i="51"/>
  <c r="U1761" i="51"/>
  <c r="U1762" i="51"/>
  <c r="U1763" i="51"/>
  <c r="U1764" i="51"/>
  <c r="U1765" i="51"/>
  <c r="U1766" i="51"/>
  <c r="U1767" i="51"/>
  <c r="U1768" i="51"/>
  <c r="U1769" i="51"/>
  <c r="U1770" i="51"/>
  <c r="U1771" i="51"/>
  <c r="U1772" i="51"/>
  <c r="U1773" i="51"/>
  <c r="U1774" i="51"/>
  <c r="U1775" i="51"/>
  <c r="U1776" i="51"/>
  <c r="U1777" i="51"/>
  <c r="U1778" i="51"/>
  <c r="U1779" i="51"/>
  <c r="U1780" i="51"/>
  <c r="U1781" i="51"/>
  <c r="U1782" i="51"/>
  <c r="U1783" i="51"/>
  <c r="U1784" i="51"/>
  <c r="U1785" i="51"/>
  <c r="U1786" i="51"/>
  <c r="U1787" i="51"/>
  <c r="U1788" i="51"/>
  <c r="U1789" i="51"/>
  <c r="U1790" i="51"/>
  <c r="U1791" i="51"/>
  <c r="U1792" i="51"/>
  <c r="U1793" i="51"/>
  <c r="U1794" i="51"/>
  <c r="U1795" i="51"/>
  <c r="U1796" i="51"/>
  <c r="U1797" i="51"/>
  <c r="U1798" i="51"/>
  <c r="U1799" i="51"/>
  <c r="U1800" i="51"/>
  <c r="U1801" i="51"/>
  <c r="U1802" i="51"/>
  <c r="U1803" i="51"/>
  <c r="U1804" i="51"/>
  <c r="U1805" i="51"/>
  <c r="U1806" i="51"/>
  <c r="U1807" i="51"/>
  <c r="U1808" i="51"/>
  <c r="U1809" i="51"/>
  <c r="U1810" i="51"/>
  <c r="U1811" i="51"/>
  <c r="U1812" i="51"/>
  <c r="U1813" i="51"/>
  <c r="U1814" i="51"/>
  <c r="U1815" i="51"/>
  <c r="U1816" i="51"/>
  <c r="U1817" i="51"/>
  <c r="U1818" i="51"/>
  <c r="U1819" i="51"/>
  <c r="U1820" i="51"/>
  <c r="U1821" i="51"/>
  <c r="U1822" i="51"/>
  <c r="U1823" i="51"/>
  <c r="U1824" i="51"/>
  <c r="U1825" i="51"/>
  <c r="U1826" i="51"/>
  <c r="U1827" i="51"/>
  <c r="U1828" i="51"/>
  <c r="U1829" i="51"/>
  <c r="U1830" i="51"/>
  <c r="U1831" i="51"/>
  <c r="U1832" i="51"/>
  <c r="U1833" i="51"/>
  <c r="U1834" i="51"/>
  <c r="U1835" i="51"/>
  <c r="U1836" i="51"/>
  <c r="U1837" i="51"/>
  <c r="U1838" i="51"/>
  <c r="U1839" i="51"/>
  <c r="U1840" i="51"/>
  <c r="U1841" i="51"/>
  <c r="U1842" i="51"/>
  <c r="U1843" i="51"/>
  <c r="U1844" i="51"/>
  <c r="U1845" i="51"/>
  <c r="U1846" i="51"/>
  <c r="U1847" i="51"/>
  <c r="U1848" i="51"/>
  <c r="U1849" i="51"/>
  <c r="U1850" i="51"/>
  <c r="U1851" i="51"/>
  <c r="U1852" i="51"/>
  <c r="U1853" i="51"/>
  <c r="U1854" i="51"/>
  <c r="U1855" i="51"/>
  <c r="U1856" i="51"/>
  <c r="U1857" i="51"/>
  <c r="U1858" i="51"/>
  <c r="U1859" i="51"/>
  <c r="U1860" i="51"/>
  <c r="U1861" i="51"/>
  <c r="U1862" i="51"/>
  <c r="U1863" i="51"/>
  <c r="U1864" i="51"/>
  <c r="U1865" i="51"/>
  <c r="U1866" i="51"/>
  <c r="U1867" i="51"/>
  <c r="U1868" i="51"/>
  <c r="U1869" i="51"/>
  <c r="U1870" i="51"/>
  <c r="U1871" i="51"/>
  <c r="U1872" i="51"/>
  <c r="U1873" i="51"/>
  <c r="U1874" i="51"/>
  <c r="U1875" i="51"/>
  <c r="U1876" i="51"/>
  <c r="U1877" i="51"/>
  <c r="U1878" i="51"/>
  <c r="U1879" i="51"/>
  <c r="U1880" i="51"/>
  <c r="U1881" i="51"/>
  <c r="U1882" i="51"/>
  <c r="U1883" i="51"/>
  <c r="U1884" i="51"/>
  <c r="U1885" i="51"/>
  <c r="U1886" i="51"/>
  <c r="U1887" i="51"/>
  <c r="U1888" i="51"/>
  <c r="U1889" i="51"/>
  <c r="U1890" i="51"/>
  <c r="U1891" i="51"/>
  <c r="U1892" i="51"/>
  <c r="U1893" i="51"/>
  <c r="U1894" i="51"/>
  <c r="U1895" i="51"/>
  <c r="U1896" i="51"/>
  <c r="U1897" i="51"/>
  <c r="U1898" i="51"/>
  <c r="U1899" i="51"/>
  <c r="U1900" i="51"/>
  <c r="U1901" i="51"/>
  <c r="U1902" i="51"/>
  <c r="U1903" i="51"/>
  <c r="U1904" i="51"/>
  <c r="U1905" i="51"/>
  <c r="U1906" i="51"/>
  <c r="U1907" i="51"/>
  <c r="U1908" i="51"/>
  <c r="U1909" i="51"/>
  <c r="U1910" i="51"/>
  <c r="U1911" i="51"/>
  <c r="U1912" i="51"/>
  <c r="U1913" i="51"/>
  <c r="U1914" i="51"/>
  <c r="U1915" i="51"/>
  <c r="U1916" i="51"/>
  <c r="U1917" i="51"/>
  <c r="U1918" i="51"/>
  <c r="U1919" i="51"/>
  <c r="U1920" i="51"/>
  <c r="U1921" i="51"/>
  <c r="U1922" i="51"/>
  <c r="U1923" i="51"/>
  <c r="U1924" i="51"/>
  <c r="U1925" i="51"/>
  <c r="U1926" i="51"/>
  <c r="U1927" i="51"/>
  <c r="U1928" i="51"/>
  <c r="U1929" i="51"/>
  <c r="U1930" i="51"/>
  <c r="U1931" i="51"/>
  <c r="U1932" i="51"/>
  <c r="U1933" i="51"/>
  <c r="U1934" i="51"/>
  <c r="U1935" i="51"/>
  <c r="U1936" i="51"/>
  <c r="U1937" i="51"/>
  <c r="U1938" i="51"/>
  <c r="U1939" i="51"/>
  <c r="U1940" i="51"/>
  <c r="U1941" i="51"/>
  <c r="U1942" i="51"/>
  <c r="U1943" i="51"/>
  <c r="U1944" i="51"/>
  <c r="U1945" i="51"/>
  <c r="U1946" i="51"/>
  <c r="U1947" i="51"/>
  <c r="U1948" i="51"/>
  <c r="U1949" i="51"/>
  <c r="U1950" i="51"/>
  <c r="U1951" i="51"/>
  <c r="U1952" i="51"/>
  <c r="U1953" i="51"/>
  <c r="U1954" i="51"/>
  <c r="U1955" i="51"/>
  <c r="U1956" i="51"/>
  <c r="U1957" i="51"/>
  <c r="U1958" i="51"/>
  <c r="U1959" i="51"/>
  <c r="U1960" i="51"/>
  <c r="U1961" i="51"/>
  <c r="U1962" i="51"/>
  <c r="U1963" i="51"/>
  <c r="U1964" i="51"/>
  <c r="U1965" i="51"/>
  <c r="U1966" i="51"/>
  <c r="U1967" i="51"/>
  <c r="U1968" i="51"/>
  <c r="U1969" i="51"/>
  <c r="U1970" i="51"/>
  <c r="U1971" i="51"/>
  <c r="U1972" i="51"/>
  <c r="U1973" i="51"/>
  <c r="U1974" i="51"/>
  <c r="U1975" i="51"/>
  <c r="U1976" i="51"/>
  <c r="U1977" i="51"/>
  <c r="U1978" i="51"/>
  <c r="U1979" i="51"/>
  <c r="U1980" i="51"/>
  <c r="U1981" i="51"/>
  <c r="U1982" i="51"/>
  <c r="U1983" i="51"/>
  <c r="U1984" i="51"/>
  <c r="U1985" i="51"/>
  <c r="U1986" i="51"/>
  <c r="U1987" i="51"/>
  <c r="U1988" i="51"/>
  <c r="U1989" i="51"/>
  <c r="U1990" i="51"/>
  <c r="U1991" i="51"/>
  <c r="U1992" i="51"/>
  <c r="U1993" i="51"/>
  <c r="U1994" i="51"/>
  <c r="U1995" i="51"/>
  <c r="U1996" i="51"/>
  <c r="U1997" i="51"/>
  <c r="U1998" i="51"/>
  <c r="U1999" i="51"/>
  <c r="U2000" i="51"/>
  <c r="U2001" i="51"/>
  <c r="U2002" i="51"/>
  <c r="U2003" i="51"/>
  <c r="U2004" i="51"/>
  <c r="U2005" i="51"/>
  <c r="U2006" i="51"/>
  <c r="U2007" i="51"/>
  <c r="U2008" i="51"/>
  <c r="U2009" i="51"/>
  <c r="U2010" i="51"/>
  <c r="U2011" i="51"/>
  <c r="U2012" i="51"/>
  <c r="U2013" i="51"/>
  <c r="U2014" i="51"/>
  <c r="U2015" i="51"/>
  <c r="U2016" i="51"/>
  <c r="U2017" i="51"/>
  <c r="U2018" i="51"/>
  <c r="U2019" i="51"/>
  <c r="U2020" i="51"/>
  <c r="U2021" i="51"/>
  <c r="U2022" i="51"/>
  <c r="U2023" i="51"/>
  <c r="U2024" i="51"/>
  <c r="U2025" i="51"/>
  <c r="U2026" i="51"/>
  <c r="U2027" i="51"/>
  <c r="U2028" i="51"/>
  <c r="U2029" i="51"/>
  <c r="U2030" i="51"/>
  <c r="U2031" i="51"/>
  <c r="U2032" i="51"/>
  <c r="U2033" i="51"/>
  <c r="U2034" i="51"/>
  <c r="U2035" i="51"/>
  <c r="U2036" i="51"/>
  <c r="U2037" i="51"/>
  <c r="U2038" i="51"/>
  <c r="U2039" i="51"/>
  <c r="U2040" i="51"/>
  <c r="U2041" i="51"/>
  <c r="U2042" i="51"/>
  <c r="U2043" i="51"/>
  <c r="U2044" i="51"/>
  <c r="U2045" i="51"/>
  <c r="U2046" i="51"/>
  <c r="U2047" i="51"/>
  <c r="U2048" i="51"/>
  <c r="U2049" i="51"/>
  <c r="U2050" i="51"/>
  <c r="U2051" i="51"/>
  <c r="U2052" i="51"/>
  <c r="U2053" i="51"/>
  <c r="U2054" i="51"/>
  <c r="U2055" i="51"/>
  <c r="U2056" i="51"/>
  <c r="U2057" i="51"/>
  <c r="U2058" i="51"/>
  <c r="U2059" i="51"/>
  <c r="U2060" i="51"/>
  <c r="U2061" i="51"/>
  <c r="U2062" i="51"/>
  <c r="U2063" i="51"/>
  <c r="U2064" i="51"/>
  <c r="U2065" i="51"/>
  <c r="U2066" i="51"/>
  <c r="U2067" i="51"/>
  <c r="U2068" i="51"/>
  <c r="U2069" i="51"/>
  <c r="U2070" i="51"/>
  <c r="U2071" i="51"/>
  <c r="U2072" i="51"/>
  <c r="U2073" i="51"/>
  <c r="U2074" i="51"/>
  <c r="U2075" i="51"/>
  <c r="U2076" i="51"/>
  <c r="U2077" i="51"/>
  <c r="U2078" i="51"/>
  <c r="U2079" i="51"/>
  <c r="U2080" i="51"/>
  <c r="U2081" i="51"/>
  <c r="U2082" i="51"/>
  <c r="U2083" i="51"/>
  <c r="U2084" i="51"/>
  <c r="U2085" i="51"/>
  <c r="U2086" i="51"/>
  <c r="U2087" i="51"/>
  <c r="U2088" i="51"/>
  <c r="U2089" i="51"/>
  <c r="U2090" i="51"/>
  <c r="U2091" i="51"/>
  <c r="U2092" i="51"/>
  <c r="U2093" i="51"/>
  <c r="U2094" i="51"/>
  <c r="U2095" i="51"/>
  <c r="U2096" i="51"/>
  <c r="U2097" i="51"/>
  <c r="U2098" i="51"/>
  <c r="U2099" i="51"/>
  <c r="U2100" i="51"/>
  <c r="U2101" i="51"/>
  <c r="U2102" i="51"/>
  <c r="U2103" i="51"/>
  <c r="U2104" i="51"/>
  <c r="U2105" i="51"/>
  <c r="U2106" i="51"/>
  <c r="U2107" i="51"/>
  <c r="U2108" i="51"/>
  <c r="U2109" i="51"/>
  <c r="U2110" i="51"/>
  <c r="U2111" i="51"/>
  <c r="U2112" i="51"/>
  <c r="U2113" i="51"/>
  <c r="U2114" i="51"/>
  <c r="U2115" i="51"/>
  <c r="U2116" i="51"/>
  <c r="U2117" i="51"/>
  <c r="U2118" i="51"/>
  <c r="U2119" i="51"/>
  <c r="U2120" i="51"/>
  <c r="U2121" i="51"/>
  <c r="U2122" i="51"/>
  <c r="U2123" i="51"/>
  <c r="U2124" i="51"/>
  <c r="U2125" i="51"/>
  <c r="U2126" i="51"/>
  <c r="U2127" i="51"/>
  <c r="U2128" i="51"/>
  <c r="U2129" i="51"/>
  <c r="U2130" i="51"/>
  <c r="U2131" i="51"/>
  <c r="U2132" i="51"/>
  <c r="U2133" i="51"/>
  <c r="U2134" i="51"/>
  <c r="U2135" i="51"/>
  <c r="U2136" i="51"/>
  <c r="U2137" i="51"/>
  <c r="U2138" i="51"/>
  <c r="U2139" i="51"/>
  <c r="U2140" i="51"/>
  <c r="U2141" i="51"/>
  <c r="U2142" i="51"/>
  <c r="U2143" i="51"/>
  <c r="U2144" i="51"/>
  <c r="U2145" i="51"/>
  <c r="U2146" i="51"/>
  <c r="U2147" i="51"/>
  <c r="U2148" i="51"/>
  <c r="U2149" i="51"/>
  <c r="U2150" i="51"/>
  <c r="U2151" i="51"/>
  <c r="U2152" i="51"/>
  <c r="U2153" i="51"/>
  <c r="U2154" i="51"/>
  <c r="U2155" i="51"/>
  <c r="U2156" i="51"/>
  <c r="U2157" i="51"/>
  <c r="U2158" i="51"/>
  <c r="U2159" i="51"/>
  <c r="U2160" i="51"/>
  <c r="U2161" i="51"/>
  <c r="U2162" i="51"/>
  <c r="U2163" i="51"/>
  <c r="U2164" i="51"/>
  <c r="U2165" i="51"/>
  <c r="U2166" i="51"/>
  <c r="U2167" i="51"/>
  <c r="U2168" i="51"/>
  <c r="U2169" i="51"/>
  <c r="U2" i="51"/>
  <c r="J4" i="32"/>
  <c r="I4" i="32"/>
  <c r="S1505" i="51"/>
  <c r="S1506" i="51"/>
  <c r="S1507" i="51"/>
  <c r="S1508" i="51"/>
  <c r="S1509" i="51"/>
  <c r="S1510" i="51"/>
  <c r="S1511" i="51"/>
  <c r="S1512" i="51"/>
  <c r="S1513" i="51"/>
  <c r="S1504" i="51"/>
  <c r="S1375" i="51"/>
  <c r="S1376" i="51"/>
  <c r="S1377" i="51"/>
  <c r="S1378" i="51"/>
  <c r="S1379" i="51"/>
  <c r="S1380" i="51"/>
  <c r="S1381" i="51"/>
  <c r="S1374" i="51"/>
  <c r="S932" i="51"/>
  <c r="S933" i="51"/>
  <c r="S934" i="51"/>
  <c r="S935" i="51"/>
  <c r="S936" i="51"/>
  <c r="S937" i="51"/>
  <c r="S931" i="51"/>
  <c r="S50" i="51"/>
  <c r="S51" i="51"/>
  <c r="S52" i="51"/>
  <c r="S53" i="51"/>
  <c r="S54" i="51"/>
  <c r="S55" i="51"/>
  <c r="S56" i="51"/>
  <c r="S57" i="51"/>
  <c r="S58" i="51"/>
  <c r="S59" i="51"/>
  <c r="S49" i="51"/>
  <c r="S43" i="51"/>
  <c r="S44" i="51"/>
  <c r="S45" i="51"/>
  <c r="S46" i="51"/>
  <c r="S47" i="51"/>
  <c r="S48" i="51"/>
  <c r="S42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23" i="51"/>
  <c r="S22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8" i="51"/>
  <c r="S3" i="51"/>
  <c r="S4" i="51"/>
  <c r="S5" i="51"/>
  <c r="S6" i="51"/>
  <c r="S7" i="51"/>
  <c r="S2" i="51"/>
  <c r="M3" i="51"/>
  <c r="M4" i="51"/>
  <c r="M5" i="51"/>
  <c r="M6" i="51"/>
  <c r="M7" i="51"/>
  <c r="M8" i="51"/>
  <c r="M9" i="51"/>
  <c r="M10" i="51"/>
  <c r="M11" i="51"/>
  <c r="M12" i="51"/>
  <c r="M13" i="51"/>
  <c r="M1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M105" i="51"/>
  <c r="M106" i="51"/>
  <c r="M107" i="51"/>
  <c r="M108" i="51"/>
  <c r="M109" i="51"/>
  <c r="M110" i="51"/>
  <c r="M111" i="51"/>
  <c r="M112" i="51"/>
  <c r="M113" i="51"/>
  <c r="M114" i="51"/>
  <c r="M115" i="51"/>
  <c r="M116" i="51"/>
  <c r="M117" i="51"/>
  <c r="M118" i="51"/>
  <c r="M119" i="51"/>
  <c r="M120" i="51"/>
  <c r="M121" i="51"/>
  <c r="M122" i="51"/>
  <c r="M123" i="51"/>
  <c r="M124" i="51"/>
  <c r="M125" i="51"/>
  <c r="M126" i="51"/>
  <c r="M127" i="51"/>
  <c r="M128" i="51"/>
  <c r="M129" i="51"/>
  <c r="M130" i="51"/>
  <c r="M131" i="51"/>
  <c r="M132" i="51"/>
  <c r="M133" i="51"/>
  <c r="M134" i="51"/>
  <c r="M135" i="51"/>
  <c r="M136" i="51"/>
  <c r="M137" i="51"/>
  <c r="M138" i="51"/>
  <c r="M139" i="51"/>
  <c r="M140" i="51"/>
  <c r="M141" i="51"/>
  <c r="M142" i="51"/>
  <c r="M143" i="51"/>
  <c r="M144" i="51"/>
  <c r="M145" i="51"/>
  <c r="M146" i="51"/>
  <c r="M147" i="51"/>
  <c r="M148" i="51"/>
  <c r="M149" i="51"/>
  <c r="M150" i="51"/>
  <c r="M151" i="51"/>
  <c r="M152" i="51"/>
  <c r="M153" i="51"/>
  <c r="M154" i="51"/>
  <c r="M155" i="51"/>
  <c r="M156" i="51"/>
  <c r="M157" i="51"/>
  <c r="M158" i="51"/>
  <c r="M159" i="51"/>
  <c r="M160" i="51"/>
  <c r="M161" i="51"/>
  <c r="M162" i="51"/>
  <c r="M163" i="51"/>
  <c r="M164" i="51"/>
  <c r="M165" i="51"/>
  <c r="M166" i="51"/>
  <c r="M167" i="51"/>
  <c r="M168" i="51"/>
  <c r="M169" i="51"/>
  <c r="M170" i="51"/>
  <c r="M171" i="51"/>
  <c r="M172" i="51"/>
  <c r="M173" i="51"/>
  <c r="M174" i="51"/>
  <c r="M175" i="51"/>
  <c r="M176" i="51"/>
  <c r="M177" i="51"/>
  <c r="M178" i="51"/>
  <c r="M179" i="51"/>
  <c r="M180" i="51"/>
  <c r="M181" i="51"/>
  <c r="M182" i="51"/>
  <c r="M183" i="51"/>
  <c r="M184" i="51"/>
  <c r="M185" i="51"/>
  <c r="M186" i="51"/>
  <c r="M187" i="51"/>
  <c r="M188" i="51"/>
  <c r="M189" i="51"/>
  <c r="M190" i="51"/>
  <c r="M191" i="51"/>
  <c r="M192" i="51"/>
  <c r="M193" i="51"/>
  <c r="M194" i="51"/>
  <c r="M195" i="51"/>
  <c r="M196" i="51"/>
  <c r="M197" i="51"/>
  <c r="M198" i="51"/>
  <c r="M199" i="51"/>
  <c r="M200" i="51"/>
  <c r="M201" i="51"/>
  <c r="M202" i="51"/>
  <c r="M203" i="51"/>
  <c r="M204" i="51"/>
  <c r="M205" i="51"/>
  <c r="M206" i="51"/>
  <c r="M207" i="51"/>
  <c r="M208" i="51"/>
  <c r="M209" i="51"/>
  <c r="M210" i="51"/>
  <c r="M211" i="51"/>
  <c r="M212" i="51"/>
  <c r="M213" i="51"/>
  <c r="M214" i="51"/>
  <c r="M215" i="51"/>
  <c r="M216" i="51"/>
  <c r="M217" i="51"/>
  <c r="M218" i="51"/>
  <c r="M219" i="51"/>
  <c r="M220" i="51"/>
  <c r="M221" i="51"/>
  <c r="M222" i="51"/>
  <c r="M223" i="51"/>
  <c r="M224" i="51"/>
  <c r="M225" i="51"/>
  <c r="M226" i="51"/>
  <c r="M227" i="51"/>
  <c r="M228" i="51"/>
  <c r="M229" i="51"/>
  <c r="M230" i="51"/>
  <c r="M231" i="51"/>
  <c r="M232" i="51"/>
  <c r="M233" i="51"/>
  <c r="M234" i="51"/>
  <c r="M235" i="51"/>
  <c r="M236" i="51"/>
  <c r="M237" i="51"/>
  <c r="M238" i="51"/>
  <c r="M239" i="51"/>
  <c r="M240" i="51"/>
  <c r="M241" i="51"/>
  <c r="M242" i="51"/>
  <c r="M243" i="51"/>
  <c r="M244" i="51"/>
  <c r="M245" i="51"/>
  <c r="M246" i="51"/>
  <c r="M247" i="51"/>
  <c r="M248" i="51"/>
  <c r="M249" i="51"/>
  <c r="M250" i="51"/>
  <c r="M251" i="51"/>
  <c r="M252" i="51"/>
  <c r="M253" i="51"/>
  <c r="M254" i="51"/>
  <c r="M255" i="51"/>
  <c r="M256" i="51"/>
  <c r="M257" i="51"/>
  <c r="M258" i="51"/>
  <c r="M259" i="51"/>
  <c r="M260" i="51"/>
  <c r="M261" i="51"/>
  <c r="M262" i="51"/>
  <c r="M263" i="51"/>
  <c r="M264" i="51"/>
  <c r="M265" i="51"/>
  <c r="M266" i="51"/>
  <c r="M267" i="51"/>
  <c r="M268" i="51"/>
  <c r="M269" i="51"/>
  <c r="M270" i="51"/>
  <c r="M271" i="51"/>
  <c r="M272" i="51"/>
  <c r="M273" i="51"/>
  <c r="M274" i="51"/>
  <c r="M275" i="51"/>
  <c r="M276" i="51"/>
  <c r="M277" i="51"/>
  <c r="M278" i="51"/>
  <c r="M279" i="51"/>
  <c r="M280" i="51"/>
  <c r="M281" i="51"/>
  <c r="M282" i="51"/>
  <c r="M283" i="51"/>
  <c r="M284" i="51"/>
  <c r="M285" i="51"/>
  <c r="M286" i="51"/>
  <c r="M287" i="51"/>
  <c r="M288" i="51"/>
  <c r="M289" i="51"/>
  <c r="M290" i="51"/>
  <c r="M291" i="51"/>
  <c r="M292" i="51"/>
  <c r="M293" i="51"/>
  <c r="M294" i="51"/>
  <c r="M295" i="51"/>
  <c r="M296" i="51"/>
  <c r="M297" i="51"/>
  <c r="M298" i="51"/>
  <c r="M299" i="51"/>
  <c r="M300" i="51"/>
  <c r="M301" i="51"/>
  <c r="M302" i="51"/>
  <c r="M303" i="51"/>
  <c r="M304" i="51"/>
  <c r="M305" i="51"/>
  <c r="M306" i="51"/>
  <c r="M307" i="51"/>
  <c r="M308" i="51"/>
  <c r="M309" i="51"/>
  <c r="M310" i="51"/>
  <c r="M311" i="51"/>
  <c r="M312" i="51"/>
  <c r="M313" i="51"/>
  <c r="M314" i="51"/>
  <c r="M315" i="51"/>
  <c r="M316" i="51"/>
  <c r="M317" i="51"/>
  <c r="M318" i="51"/>
  <c r="M319" i="51"/>
  <c r="M320" i="51"/>
  <c r="M321" i="51"/>
  <c r="M322" i="51"/>
  <c r="M323" i="51"/>
  <c r="M324" i="51"/>
  <c r="M325" i="51"/>
  <c r="M326" i="51"/>
  <c r="M327" i="51"/>
  <c r="M328" i="51"/>
  <c r="M329" i="51"/>
  <c r="M330" i="51"/>
  <c r="M331" i="51"/>
  <c r="M332" i="51"/>
  <c r="M333" i="51"/>
  <c r="M334" i="51"/>
  <c r="M335" i="51"/>
  <c r="M336" i="51"/>
  <c r="M337" i="51"/>
  <c r="M338" i="51"/>
  <c r="M339" i="51"/>
  <c r="M340" i="51"/>
  <c r="M341" i="51"/>
  <c r="M342" i="51"/>
  <c r="M343" i="51"/>
  <c r="M344" i="51"/>
  <c r="M345" i="51"/>
  <c r="M346" i="51"/>
  <c r="M347" i="51"/>
  <c r="M348" i="51"/>
  <c r="M349" i="51"/>
  <c r="M350" i="51"/>
  <c r="M351" i="51"/>
  <c r="M352" i="51"/>
  <c r="M353" i="51"/>
  <c r="M354" i="51"/>
  <c r="M355" i="51"/>
  <c r="M356" i="51"/>
  <c r="M357" i="51"/>
  <c r="M358" i="51"/>
  <c r="M359" i="51"/>
  <c r="M360" i="51"/>
  <c r="M361" i="51"/>
  <c r="M362" i="51"/>
  <c r="M363" i="51"/>
  <c r="M364" i="51"/>
  <c r="M365" i="51"/>
  <c r="M366" i="51"/>
  <c r="M367" i="51"/>
  <c r="M368" i="51"/>
  <c r="M369" i="51"/>
  <c r="M370" i="51"/>
  <c r="M371" i="51"/>
  <c r="M372" i="51"/>
  <c r="M373" i="51"/>
  <c r="M374" i="51"/>
  <c r="M375" i="51"/>
  <c r="M376" i="51"/>
  <c r="M377" i="51"/>
  <c r="M378" i="51"/>
  <c r="M379" i="51"/>
  <c r="M380" i="51"/>
  <c r="M381" i="51"/>
  <c r="M382" i="51"/>
  <c r="M383" i="51"/>
  <c r="M384" i="51"/>
  <c r="M385" i="51"/>
  <c r="M386" i="51"/>
  <c r="M387" i="51"/>
  <c r="M388" i="51"/>
  <c r="M389" i="51"/>
  <c r="M390" i="51"/>
  <c r="M391" i="51"/>
  <c r="M392" i="51"/>
  <c r="M393" i="51"/>
  <c r="M394" i="51"/>
  <c r="M395" i="51"/>
  <c r="M396" i="51"/>
  <c r="M397" i="51"/>
  <c r="M398" i="51"/>
  <c r="M399" i="51"/>
  <c r="M400" i="51"/>
  <c r="M401" i="51"/>
  <c r="M402" i="51"/>
  <c r="M403" i="51"/>
  <c r="M404" i="51"/>
  <c r="M405" i="51"/>
  <c r="M406" i="51"/>
  <c r="M407" i="51"/>
  <c r="M408" i="51"/>
  <c r="M409" i="51"/>
  <c r="M410" i="51"/>
  <c r="M411" i="51"/>
  <c r="M412" i="51"/>
  <c r="M413" i="51"/>
  <c r="M414" i="51"/>
  <c r="M415" i="51"/>
  <c r="M416" i="51"/>
  <c r="M417" i="51"/>
  <c r="M418" i="51"/>
  <c r="M419" i="51"/>
  <c r="M420" i="51"/>
  <c r="M421" i="51"/>
  <c r="M422" i="51"/>
  <c r="M423" i="51"/>
  <c r="M424" i="51"/>
  <c r="M425" i="51"/>
  <c r="M426" i="51"/>
  <c r="M427" i="51"/>
  <c r="M428" i="51"/>
  <c r="M429" i="51"/>
  <c r="M430" i="51"/>
  <c r="M431" i="51"/>
  <c r="M432" i="51"/>
  <c r="M433" i="51"/>
  <c r="M434" i="51"/>
  <c r="M435" i="51"/>
  <c r="M436" i="51"/>
  <c r="M437" i="51"/>
  <c r="M438" i="51"/>
  <c r="M439" i="51"/>
  <c r="M440" i="51"/>
  <c r="M441" i="51"/>
  <c r="M442" i="51"/>
  <c r="M443" i="51"/>
  <c r="M444" i="51"/>
  <c r="M445" i="51"/>
  <c r="M446" i="51"/>
  <c r="M447" i="51"/>
  <c r="M448" i="51"/>
  <c r="M449" i="51"/>
  <c r="M450" i="51"/>
  <c r="M451" i="51"/>
  <c r="M452" i="51"/>
  <c r="M453" i="51"/>
  <c r="M454" i="51"/>
  <c r="M455" i="51"/>
  <c r="M456" i="51"/>
  <c r="M457" i="51"/>
  <c r="M458" i="51"/>
  <c r="M459" i="51"/>
  <c r="M460" i="51"/>
  <c r="M461" i="51"/>
  <c r="M462" i="51"/>
  <c r="M463" i="51"/>
  <c r="M464" i="51"/>
  <c r="M465" i="51"/>
  <c r="M466" i="51"/>
  <c r="M467" i="51"/>
  <c r="M468" i="51"/>
  <c r="M469" i="51"/>
  <c r="M470" i="51"/>
  <c r="M471" i="51"/>
  <c r="M472" i="51"/>
  <c r="M473" i="51"/>
  <c r="M474" i="51"/>
  <c r="M475" i="51"/>
  <c r="M476" i="51"/>
  <c r="M477" i="51"/>
  <c r="M478" i="51"/>
  <c r="M479" i="51"/>
  <c r="M480" i="51"/>
  <c r="M481" i="51"/>
  <c r="M482" i="51"/>
  <c r="M483" i="51"/>
  <c r="M484" i="51"/>
  <c r="M485" i="51"/>
  <c r="M486" i="51"/>
  <c r="M487" i="51"/>
  <c r="M488" i="51"/>
  <c r="M489" i="51"/>
  <c r="M490" i="51"/>
  <c r="M491" i="51"/>
  <c r="M492" i="51"/>
  <c r="M493" i="51"/>
  <c r="M494" i="51"/>
  <c r="M495" i="51"/>
  <c r="M496" i="51"/>
  <c r="M497" i="51"/>
  <c r="M498" i="51"/>
  <c r="M499" i="51"/>
  <c r="M500" i="51"/>
  <c r="M501" i="51"/>
  <c r="M502" i="51"/>
  <c r="M503" i="51"/>
  <c r="M504" i="51"/>
  <c r="M505" i="51"/>
  <c r="M506" i="51"/>
  <c r="M507" i="51"/>
  <c r="M508" i="51"/>
  <c r="M509" i="51"/>
  <c r="M510" i="51"/>
  <c r="M511" i="51"/>
  <c r="M512" i="51"/>
  <c r="M513" i="51"/>
  <c r="M514" i="51"/>
  <c r="M515" i="51"/>
  <c r="M516" i="51"/>
  <c r="M517" i="51"/>
  <c r="M518" i="51"/>
  <c r="M519" i="51"/>
  <c r="M520" i="51"/>
  <c r="M521" i="51"/>
  <c r="M522" i="51"/>
  <c r="M523" i="51"/>
  <c r="M524" i="51"/>
  <c r="M525" i="51"/>
  <c r="M526" i="51"/>
  <c r="M527" i="51"/>
  <c r="M528" i="51"/>
  <c r="M529" i="51"/>
  <c r="M530" i="51"/>
  <c r="M531" i="51"/>
  <c r="M532" i="51"/>
  <c r="M533" i="51"/>
  <c r="M534" i="51"/>
  <c r="M535" i="51"/>
  <c r="M536" i="51"/>
  <c r="M537" i="51"/>
  <c r="M538" i="51"/>
  <c r="M539" i="51"/>
  <c r="M540" i="51"/>
  <c r="M541" i="51"/>
  <c r="M542" i="51"/>
  <c r="M543" i="51"/>
  <c r="M544" i="51"/>
  <c r="M545" i="51"/>
  <c r="M546" i="51"/>
  <c r="M547" i="51"/>
  <c r="M548" i="51"/>
  <c r="M549" i="51"/>
  <c r="M550" i="51"/>
  <c r="M551" i="51"/>
  <c r="M552" i="51"/>
  <c r="M553" i="51"/>
  <c r="M554" i="51"/>
  <c r="M555" i="51"/>
  <c r="M556" i="51"/>
  <c r="M557" i="51"/>
  <c r="M558" i="51"/>
  <c r="M559" i="51"/>
  <c r="M560" i="51"/>
  <c r="M561" i="51"/>
  <c r="M562" i="51"/>
  <c r="M563" i="51"/>
  <c r="M564" i="51"/>
  <c r="M565" i="51"/>
  <c r="M566" i="51"/>
  <c r="M567" i="51"/>
  <c r="M568" i="51"/>
  <c r="M569" i="51"/>
  <c r="M570" i="51"/>
  <c r="M571" i="51"/>
  <c r="M572" i="51"/>
  <c r="M573" i="51"/>
  <c r="M574" i="51"/>
  <c r="M575" i="51"/>
  <c r="M576" i="51"/>
  <c r="M577" i="51"/>
  <c r="M578" i="51"/>
  <c r="M579" i="51"/>
  <c r="M580" i="51"/>
  <c r="M581" i="51"/>
  <c r="M582" i="51"/>
  <c r="M583" i="51"/>
  <c r="M584" i="51"/>
  <c r="M585" i="51"/>
  <c r="M586" i="51"/>
  <c r="M587" i="51"/>
  <c r="M588" i="51"/>
  <c r="M589" i="51"/>
  <c r="M590" i="51"/>
  <c r="M591" i="51"/>
  <c r="M592" i="51"/>
  <c r="M593" i="51"/>
  <c r="M594" i="51"/>
  <c r="M595" i="51"/>
  <c r="M596" i="51"/>
  <c r="M597" i="51"/>
  <c r="M598" i="51"/>
  <c r="M599" i="51"/>
  <c r="M600" i="51"/>
  <c r="M601" i="51"/>
  <c r="M602" i="51"/>
  <c r="M603" i="51"/>
  <c r="M604" i="51"/>
  <c r="M605" i="51"/>
  <c r="M606" i="51"/>
  <c r="M607" i="51"/>
  <c r="M608" i="51"/>
  <c r="M609" i="51"/>
  <c r="M610" i="51"/>
  <c r="M611" i="51"/>
  <c r="M612" i="51"/>
  <c r="M613" i="51"/>
  <c r="M614" i="51"/>
  <c r="M615" i="51"/>
  <c r="M616" i="51"/>
  <c r="M617" i="51"/>
  <c r="M618" i="51"/>
  <c r="M619" i="51"/>
  <c r="M620" i="51"/>
  <c r="M621" i="51"/>
  <c r="M622" i="51"/>
  <c r="M623" i="51"/>
  <c r="M624" i="51"/>
  <c r="M625" i="51"/>
  <c r="M626" i="51"/>
  <c r="M627" i="51"/>
  <c r="M628" i="51"/>
  <c r="M629" i="51"/>
  <c r="M630" i="51"/>
  <c r="M631" i="51"/>
  <c r="M632" i="51"/>
  <c r="M633" i="51"/>
  <c r="M634" i="51"/>
  <c r="M635" i="51"/>
  <c r="M636" i="51"/>
  <c r="M637" i="51"/>
  <c r="M638" i="51"/>
  <c r="M639" i="51"/>
  <c r="M640" i="51"/>
  <c r="M641" i="51"/>
  <c r="M642" i="51"/>
  <c r="M643" i="51"/>
  <c r="M644" i="51"/>
  <c r="M645" i="51"/>
  <c r="M646" i="51"/>
  <c r="M647" i="51"/>
  <c r="M648" i="51"/>
  <c r="M649" i="51"/>
  <c r="M650" i="51"/>
  <c r="M651" i="51"/>
  <c r="M652" i="51"/>
  <c r="M653" i="51"/>
  <c r="M654" i="51"/>
  <c r="M655" i="51"/>
  <c r="M656" i="51"/>
  <c r="M657" i="51"/>
  <c r="M658" i="51"/>
  <c r="M659" i="51"/>
  <c r="M660" i="51"/>
  <c r="M661" i="51"/>
  <c r="M662" i="51"/>
  <c r="M663" i="51"/>
  <c r="M664" i="51"/>
  <c r="M665" i="51"/>
  <c r="M666" i="51"/>
  <c r="M667" i="51"/>
  <c r="M668" i="51"/>
  <c r="M669" i="51"/>
  <c r="M670" i="51"/>
  <c r="M671" i="51"/>
  <c r="M672" i="51"/>
  <c r="M673" i="51"/>
  <c r="M674" i="51"/>
  <c r="M675" i="51"/>
  <c r="M676" i="51"/>
  <c r="M677" i="51"/>
  <c r="M678" i="51"/>
  <c r="M679" i="51"/>
  <c r="M680" i="51"/>
  <c r="M681" i="51"/>
  <c r="M682" i="51"/>
  <c r="M683" i="51"/>
  <c r="M684" i="51"/>
  <c r="M685" i="51"/>
  <c r="M686" i="51"/>
  <c r="M687" i="51"/>
  <c r="M688" i="51"/>
  <c r="M689" i="51"/>
  <c r="M690" i="51"/>
  <c r="M691" i="51"/>
  <c r="M692" i="51"/>
  <c r="M693" i="51"/>
  <c r="M694" i="51"/>
  <c r="M695" i="51"/>
  <c r="M696" i="51"/>
  <c r="M697" i="51"/>
  <c r="M698" i="51"/>
  <c r="M699" i="51"/>
  <c r="M700" i="51"/>
  <c r="M701" i="51"/>
  <c r="M702" i="51"/>
  <c r="M703" i="51"/>
  <c r="M704" i="51"/>
  <c r="M705" i="51"/>
  <c r="M706" i="51"/>
  <c r="M707" i="51"/>
  <c r="M708" i="51"/>
  <c r="M709" i="51"/>
  <c r="M710" i="51"/>
  <c r="M711" i="51"/>
  <c r="M712" i="51"/>
  <c r="M713" i="51"/>
  <c r="M714" i="51"/>
  <c r="M715" i="51"/>
  <c r="M716" i="51"/>
  <c r="M717" i="51"/>
  <c r="M718" i="51"/>
  <c r="M719" i="51"/>
  <c r="M720" i="51"/>
  <c r="M721" i="51"/>
  <c r="M722" i="51"/>
  <c r="M723" i="51"/>
  <c r="M724" i="51"/>
  <c r="M725" i="51"/>
  <c r="M726" i="51"/>
  <c r="M727" i="51"/>
  <c r="M728" i="51"/>
  <c r="M729" i="51"/>
  <c r="M730" i="51"/>
  <c r="M731" i="51"/>
  <c r="M732" i="51"/>
  <c r="M733" i="51"/>
  <c r="M734" i="51"/>
  <c r="M735" i="51"/>
  <c r="M736" i="51"/>
  <c r="M737" i="51"/>
  <c r="M738" i="51"/>
  <c r="M739" i="51"/>
  <c r="M740" i="51"/>
  <c r="M741" i="51"/>
  <c r="M742" i="51"/>
  <c r="M743" i="51"/>
  <c r="M744" i="51"/>
  <c r="M745" i="51"/>
  <c r="M746" i="51"/>
  <c r="M747" i="51"/>
  <c r="M748" i="51"/>
  <c r="M749" i="51"/>
  <c r="M750" i="51"/>
  <c r="M751" i="51"/>
  <c r="M752" i="51"/>
  <c r="M753" i="51"/>
  <c r="M754" i="51"/>
  <c r="M755" i="51"/>
  <c r="M756" i="51"/>
  <c r="M757" i="51"/>
  <c r="M758" i="51"/>
  <c r="M759" i="51"/>
  <c r="M760" i="51"/>
  <c r="M761" i="51"/>
  <c r="M762" i="51"/>
  <c r="M763" i="51"/>
  <c r="M764" i="51"/>
  <c r="M765" i="51"/>
  <c r="M766" i="51"/>
  <c r="M767" i="51"/>
  <c r="M768" i="51"/>
  <c r="M769" i="51"/>
  <c r="M770" i="51"/>
  <c r="M771" i="51"/>
  <c r="M772" i="51"/>
  <c r="M773" i="51"/>
  <c r="M774" i="51"/>
  <c r="M775" i="51"/>
  <c r="M776" i="51"/>
  <c r="M777" i="51"/>
  <c r="M778" i="51"/>
  <c r="M779" i="51"/>
  <c r="M780" i="51"/>
  <c r="M781" i="51"/>
  <c r="M782" i="51"/>
  <c r="M783" i="51"/>
  <c r="M784" i="51"/>
  <c r="M785" i="51"/>
  <c r="M786" i="51"/>
  <c r="M787" i="51"/>
  <c r="M788" i="51"/>
  <c r="M789" i="51"/>
  <c r="M790" i="51"/>
  <c r="M791" i="51"/>
  <c r="M792" i="51"/>
  <c r="M793" i="51"/>
  <c r="M794" i="51"/>
  <c r="M795" i="51"/>
  <c r="M796" i="51"/>
  <c r="M797" i="51"/>
  <c r="M798" i="51"/>
  <c r="M799" i="51"/>
  <c r="M800" i="51"/>
  <c r="M801" i="51"/>
  <c r="M802" i="51"/>
  <c r="M803" i="51"/>
  <c r="M804" i="51"/>
  <c r="M805" i="51"/>
  <c r="M806" i="51"/>
  <c r="M807" i="51"/>
  <c r="M808" i="51"/>
  <c r="M809" i="51"/>
  <c r="M810" i="51"/>
  <c r="M811" i="51"/>
  <c r="M812" i="51"/>
  <c r="M813" i="51"/>
  <c r="M814" i="51"/>
  <c r="M815" i="51"/>
  <c r="M816" i="51"/>
  <c r="M817" i="51"/>
  <c r="M818" i="51"/>
  <c r="M819" i="51"/>
  <c r="M820" i="51"/>
  <c r="M821" i="51"/>
  <c r="M822" i="51"/>
  <c r="M823" i="51"/>
  <c r="M824" i="51"/>
  <c r="M825" i="51"/>
  <c r="M826" i="51"/>
  <c r="M827" i="51"/>
  <c r="M828" i="51"/>
  <c r="M829" i="51"/>
  <c r="M830" i="51"/>
  <c r="M831" i="51"/>
  <c r="M832" i="51"/>
  <c r="M833" i="51"/>
  <c r="M834" i="51"/>
  <c r="M835" i="51"/>
  <c r="M836" i="51"/>
  <c r="M837" i="51"/>
  <c r="M838" i="51"/>
  <c r="M839" i="51"/>
  <c r="M840" i="51"/>
  <c r="M841" i="51"/>
  <c r="M842" i="51"/>
  <c r="M843" i="51"/>
  <c r="M844" i="51"/>
  <c r="M845" i="51"/>
  <c r="M846" i="51"/>
  <c r="M847" i="51"/>
  <c r="M848" i="51"/>
  <c r="M849" i="51"/>
  <c r="M850" i="51"/>
  <c r="M851" i="51"/>
  <c r="M852" i="51"/>
  <c r="M853" i="51"/>
  <c r="M854" i="51"/>
  <c r="M855" i="51"/>
  <c r="M856" i="51"/>
  <c r="M857" i="51"/>
  <c r="M858" i="51"/>
  <c r="M859" i="51"/>
  <c r="M860" i="51"/>
  <c r="M861" i="51"/>
  <c r="M862" i="51"/>
  <c r="M863" i="51"/>
  <c r="M864" i="51"/>
  <c r="M865" i="51"/>
  <c r="M866" i="51"/>
  <c r="M867" i="51"/>
  <c r="M868" i="51"/>
  <c r="M869" i="51"/>
  <c r="M870" i="51"/>
  <c r="M871" i="51"/>
  <c r="M872" i="51"/>
  <c r="M873" i="51"/>
  <c r="M874" i="51"/>
  <c r="M875" i="51"/>
  <c r="M876" i="51"/>
  <c r="M877" i="51"/>
  <c r="M878" i="51"/>
  <c r="M879" i="51"/>
  <c r="M880" i="51"/>
  <c r="M881" i="51"/>
  <c r="M882" i="51"/>
  <c r="M883" i="51"/>
  <c r="M884" i="51"/>
  <c r="M885" i="51"/>
  <c r="M886" i="51"/>
  <c r="M887" i="51"/>
  <c r="M888" i="51"/>
  <c r="M889" i="51"/>
  <c r="M890" i="51"/>
  <c r="M891" i="51"/>
  <c r="M892" i="51"/>
  <c r="M893" i="51"/>
  <c r="M894" i="51"/>
  <c r="M895" i="51"/>
  <c r="M896" i="51"/>
  <c r="M897" i="51"/>
  <c r="M898" i="51"/>
  <c r="M899" i="51"/>
  <c r="M900" i="51"/>
  <c r="M901" i="51"/>
  <c r="M902" i="51"/>
  <c r="M903" i="51"/>
  <c r="M904" i="51"/>
  <c r="M905" i="51"/>
  <c r="M906" i="51"/>
  <c r="M907" i="51"/>
  <c r="M908" i="51"/>
  <c r="M909" i="51"/>
  <c r="M910" i="51"/>
  <c r="M911" i="51"/>
  <c r="M912" i="51"/>
  <c r="M913" i="51"/>
  <c r="M914" i="51"/>
  <c r="M915" i="51"/>
  <c r="M916" i="51"/>
  <c r="M917" i="51"/>
  <c r="M918" i="51"/>
  <c r="M919" i="51"/>
  <c r="M920" i="51"/>
  <c r="M921" i="51"/>
  <c r="M922" i="51"/>
  <c r="M923" i="51"/>
  <c r="M924" i="51"/>
  <c r="M925" i="51"/>
  <c r="M926" i="51"/>
  <c r="M927" i="51"/>
  <c r="M928" i="51"/>
  <c r="M929" i="51"/>
  <c r="M930" i="51"/>
  <c r="M931" i="51"/>
  <c r="M932" i="51"/>
  <c r="M933" i="51"/>
  <c r="M934" i="51"/>
  <c r="M935" i="51"/>
  <c r="M936" i="51"/>
  <c r="M937" i="51"/>
  <c r="M938" i="51"/>
  <c r="M939" i="51"/>
  <c r="M940" i="51"/>
  <c r="M941" i="51"/>
  <c r="M942" i="51"/>
  <c r="M943" i="51"/>
  <c r="M944" i="51"/>
  <c r="M945" i="51"/>
  <c r="M946" i="51"/>
  <c r="M947" i="51"/>
  <c r="M948" i="51"/>
  <c r="M949" i="51"/>
  <c r="M950" i="51"/>
  <c r="M951" i="51"/>
  <c r="M952" i="51"/>
  <c r="M953" i="51"/>
  <c r="M954" i="51"/>
  <c r="M955" i="51"/>
  <c r="M956" i="51"/>
  <c r="M957" i="51"/>
  <c r="M958" i="51"/>
  <c r="M959" i="51"/>
  <c r="M960" i="51"/>
  <c r="M961" i="51"/>
  <c r="M962" i="51"/>
  <c r="M963" i="51"/>
  <c r="M964" i="51"/>
  <c r="M965" i="51"/>
  <c r="M966" i="51"/>
  <c r="M967" i="51"/>
  <c r="M968" i="51"/>
  <c r="M969" i="51"/>
  <c r="M970" i="51"/>
  <c r="M971" i="51"/>
  <c r="M972" i="51"/>
  <c r="M973" i="51"/>
  <c r="M974" i="51"/>
  <c r="M975" i="51"/>
  <c r="M976" i="51"/>
  <c r="M977" i="51"/>
  <c r="M978" i="51"/>
  <c r="M979" i="51"/>
  <c r="M980" i="51"/>
  <c r="M981" i="51"/>
  <c r="M982" i="51"/>
  <c r="M983" i="51"/>
  <c r="M984" i="51"/>
  <c r="M985" i="51"/>
  <c r="M986" i="51"/>
  <c r="M987" i="51"/>
  <c r="M988" i="51"/>
  <c r="M989" i="51"/>
  <c r="M990" i="51"/>
  <c r="M991" i="51"/>
  <c r="M992" i="51"/>
  <c r="M993" i="51"/>
  <c r="M994" i="51"/>
  <c r="M995" i="51"/>
  <c r="M996" i="51"/>
  <c r="M997" i="51"/>
  <c r="M998" i="51"/>
  <c r="M999" i="51"/>
  <c r="M1000" i="51"/>
  <c r="M1001" i="51"/>
  <c r="M1002" i="51"/>
  <c r="M1003" i="51"/>
  <c r="M1004" i="51"/>
  <c r="M1005" i="51"/>
  <c r="M1006" i="51"/>
  <c r="M1007" i="51"/>
  <c r="M1008" i="51"/>
  <c r="M1009" i="51"/>
  <c r="M1010" i="51"/>
  <c r="M1011" i="51"/>
  <c r="M1012" i="51"/>
  <c r="M1013" i="51"/>
  <c r="M1014" i="51"/>
  <c r="M1015" i="51"/>
  <c r="M1016" i="51"/>
  <c r="M1017" i="51"/>
  <c r="M1018" i="51"/>
  <c r="M1019" i="51"/>
  <c r="M1020" i="51"/>
  <c r="M1021" i="51"/>
  <c r="M1022" i="51"/>
  <c r="M1023" i="51"/>
  <c r="M1024" i="51"/>
  <c r="M1025" i="51"/>
  <c r="M1026" i="51"/>
  <c r="M1027" i="51"/>
  <c r="M1028" i="51"/>
  <c r="M1029" i="51"/>
  <c r="M1030" i="51"/>
  <c r="M1031" i="51"/>
  <c r="M1032" i="51"/>
  <c r="M1033" i="51"/>
  <c r="M1034" i="51"/>
  <c r="M1035" i="51"/>
  <c r="M1036" i="51"/>
  <c r="M1037" i="51"/>
  <c r="M1038" i="51"/>
  <c r="M1039" i="51"/>
  <c r="M1040" i="51"/>
  <c r="M1041" i="51"/>
  <c r="M1042" i="51"/>
  <c r="M1043" i="51"/>
  <c r="M1044" i="51"/>
  <c r="M1045" i="51"/>
  <c r="M1046" i="51"/>
  <c r="M1047" i="51"/>
  <c r="M1048" i="51"/>
  <c r="M1049" i="51"/>
  <c r="M1050" i="51"/>
  <c r="M1051" i="51"/>
  <c r="M1052" i="51"/>
  <c r="M1053" i="51"/>
  <c r="M1054" i="51"/>
  <c r="M1055" i="51"/>
  <c r="M1056" i="51"/>
  <c r="M1057" i="51"/>
  <c r="M1058" i="51"/>
  <c r="M1059" i="51"/>
  <c r="M1060" i="51"/>
  <c r="M1061" i="51"/>
  <c r="M1062" i="51"/>
  <c r="M1063" i="51"/>
  <c r="M1064" i="51"/>
  <c r="M1065" i="51"/>
  <c r="M1066" i="51"/>
  <c r="M1067" i="51"/>
  <c r="M1068" i="51"/>
  <c r="M1069" i="51"/>
  <c r="M1070" i="51"/>
  <c r="M1071" i="51"/>
  <c r="M1072" i="51"/>
  <c r="M1073" i="51"/>
  <c r="M1074" i="51"/>
  <c r="M1075" i="51"/>
  <c r="M1076" i="51"/>
  <c r="M1077" i="51"/>
  <c r="M1078" i="51"/>
  <c r="M1079" i="51"/>
  <c r="M1080" i="51"/>
  <c r="M1081" i="51"/>
  <c r="M1082" i="51"/>
  <c r="M1083" i="51"/>
  <c r="M1084" i="51"/>
  <c r="M1085" i="51"/>
  <c r="M1086" i="51"/>
  <c r="M1087" i="51"/>
  <c r="M1088" i="51"/>
  <c r="M1089" i="51"/>
  <c r="M1090" i="51"/>
  <c r="M1091" i="51"/>
  <c r="M1092" i="51"/>
  <c r="M1093" i="51"/>
  <c r="M1094" i="51"/>
  <c r="M1095" i="51"/>
  <c r="M1096" i="51"/>
  <c r="M1097" i="51"/>
  <c r="M1098" i="51"/>
  <c r="M1099" i="51"/>
  <c r="M1100" i="51"/>
  <c r="M1101" i="51"/>
  <c r="M1102" i="51"/>
  <c r="M1103" i="51"/>
  <c r="M1104" i="51"/>
  <c r="M1105" i="51"/>
  <c r="M1106" i="51"/>
  <c r="M1107" i="51"/>
  <c r="M1108" i="51"/>
  <c r="M1109" i="51"/>
  <c r="M1110" i="51"/>
  <c r="M1111" i="51"/>
  <c r="M1112" i="51"/>
  <c r="M1113" i="51"/>
  <c r="M1114" i="51"/>
  <c r="M1115" i="51"/>
  <c r="M1116" i="51"/>
  <c r="M1117" i="51"/>
  <c r="M1118" i="51"/>
  <c r="M1119" i="51"/>
  <c r="M1120" i="51"/>
  <c r="M1121" i="51"/>
  <c r="M1122" i="51"/>
  <c r="M1123" i="51"/>
  <c r="M1124" i="51"/>
  <c r="M1125" i="51"/>
  <c r="M1126" i="51"/>
  <c r="M1127" i="51"/>
  <c r="M1128" i="51"/>
  <c r="M1129" i="51"/>
  <c r="M1130" i="51"/>
  <c r="M1131" i="51"/>
  <c r="M1132" i="51"/>
  <c r="M1133" i="51"/>
  <c r="M1134" i="51"/>
  <c r="M1135" i="51"/>
  <c r="M1136" i="51"/>
  <c r="M1137" i="51"/>
  <c r="M1138" i="51"/>
  <c r="M1139" i="51"/>
  <c r="M1140" i="51"/>
  <c r="M1141" i="51"/>
  <c r="M1142" i="51"/>
  <c r="M1143" i="51"/>
  <c r="M1144" i="51"/>
  <c r="M1145" i="51"/>
  <c r="M1146" i="51"/>
  <c r="M1147" i="51"/>
  <c r="M1148" i="51"/>
  <c r="M1149" i="51"/>
  <c r="M1150" i="51"/>
  <c r="M1151" i="51"/>
  <c r="M1152" i="51"/>
  <c r="M1153" i="51"/>
  <c r="M1154" i="51"/>
  <c r="M1155" i="51"/>
  <c r="M1156" i="51"/>
  <c r="M1157" i="51"/>
  <c r="M1158" i="51"/>
  <c r="M1159" i="51"/>
  <c r="M1160" i="51"/>
  <c r="M1161" i="51"/>
  <c r="M1162" i="51"/>
  <c r="M1163" i="51"/>
  <c r="M1164" i="51"/>
  <c r="M1165" i="51"/>
  <c r="M1166" i="51"/>
  <c r="M1167" i="51"/>
  <c r="M1168" i="51"/>
  <c r="M1169" i="51"/>
  <c r="M1170" i="51"/>
  <c r="M1171" i="51"/>
  <c r="M1172" i="51"/>
  <c r="M1173" i="51"/>
  <c r="M1174" i="51"/>
  <c r="M1175" i="51"/>
  <c r="M1176" i="51"/>
  <c r="M1177" i="51"/>
  <c r="M1178" i="51"/>
  <c r="M1179" i="51"/>
  <c r="M1180" i="51"/>
  <c r="M1181" i="51"/>
  <c r="M1182" i="51"/>
  <c r="M1183" i="51"/>
  <c r="M1184" i="51"/>
  <c r="M1185" i="51"/>
  <c r="M1186" i="51"/>
  <c r="M1187" i="51"/>
  <c r="M1188" i="51"/>
  <c r="M1189" i="51"/>
  <c r="M1190" i="51"/>
  <c r="M1191" i="51"/>
  <c r="M1192" i="51"/>
  <c r="M1193" i="51"/>
  <c r="M1194" i="51"/>
  <c r="M1195" i="51"/>
  <c r="M1196" i="51"/>
  <c r="M1197" i="51"/>
  <c r="M1198" i="51"/>
  <c r="M1199" i="51"/>
  <c r="M1200" i="51"/>
  <c r="M1201" i="51"/>
  <c r="M1202" i="51"/>
  <c r="M1203" i="51"/>
  <c r="M1204" i="51"/>
  <c r="M1205" i="51"/>
  <c r="M1206" i="51"/>
  <c r="M1207" i="51"/>
  <c r="M1208" i="51"/>
  <c r="M1209" i="51"/>
  <c r="M1210" i="51"/>
  <c r="M1211" i="51"/>
  <c r="M1212" i="51"/>
  <c r="M1213" i="51"/>
  <c r="M1214" i="51"/>
  <c r="M1215" i="51"/>
  <c r="M1216" i="51"/>
  <c r="M1217" i="51"/>
  <c r="M1218" i="51"/>
  <c r="M1219" i="51"/>
  <c r="M1220" i="51"/>
  <c r="M1221" i="51"/>
  <c r="M1222" i="51"/>
  <c r="M1223" i="51"/>
  <c r="M1224" i="51"/>
  <c r="M1225" i="51"/>
  <c r="M1226" i="51"/>
  <c r="M1227" i="51"/>
  <c r="M1228" i="51"/>
  <c r="M1229" i="51"/>
  <c r="M1230" i="51"/>
  <c r="M1231" i="51"/>
  <c r="M1232" i="51"/>
  <c r="M1233" i="51"/>
  <c r="M1234" i="51"/>
  <c r="M1235" i="51"/>
  <c r="M1236" i="51"/>
  <c r="M1237" i="51"/>
  <c r="M1238" i="51"/>
  <c r="M1239" i="51"/>
  <c r="M1240" i="51"/>
  <c r="M1241" i="51"/>
  <c r="M1242" i="51"/>
  <c r="M1243" i="51"/>
  <c r="M1244" i="51"/>
  <c r="M1245" i="51"/>
  <c r="M1246" i="51"/>
  <c r="M1247" i="51"/>
  <c r="M1248" i="51"/>
  <c r="M1249" i="51"/>
  <c r="M1250" i="51"/>
  <c r="M1251" i="51"/>
  <c r="M1252" i="51"/>
  <c r="M1253" i="51"/>
  <c r="M1254" i="51"/>
  <c r="M1255" i="51"/>
  <c r="M1256" i="51"/>
  <c r="M1257" i="51"/>
  <c r="M1258" i="51"/>
  <c r="M1259" i="51"/>
  <c r="M1260" i="51"/>
  <c r="M1261" i="51"/>
  <c r="M1262" i="51"/>
  <c r="M1263" i="51"/>
  <c r="M1264" i="51"/>
  <c r="M1265" i="51"/>
  <c r="M1266" i="51"/>
  <c r="M1267" i="51"/>
  <c r="M1268" i="51"/>
  <c r="M1269" i="51"/>
  <c r="M1270" i="51"/>
  <c r="M1271" i="51"/>
  <c r="M1272" i="51"/>
  <c r="M1273" i="51"/>
  <c r="M1274" i="51"/>
  <c r="M1275" i="51"/>
  <c r="M1276" i="51"/>
  <c r="M1277" i="51"/>
  <c r="M1278" i="51"/>
  <c r="M1279" i="51"/>
  <c r="M1280" i="51"/>
  <c r="M1281" i="51"/>
  <c r="M1282" i="51"/>
  <c r="M1283" i="51"/>
  <c r="M1284" i="51"/>
  <c r="M1285" i="51"/>
  <c r="M1286" i="51"/>
  <c r="M1287" i="51"/>
  <c r="M1288" i="51"/>
  <c r="M1289" i="51"/>
  <c r="M1290" i="51"/>
  <c r="M1291" i="51"/>
  <c r="M1292" i="51"/>
  <c r="M1293" i="51"/>
  <c r="M1294" i="51"/>
  <c r="M1295" i="51"/>
  <c r="M1296" i="51"/>
  <c r="M1297" i="51"/>
  <c r="M1298" i="51"/>
  <c r="M1299" i="51"/>
  <c r="M1300" i="51"/>
  <c r="M1301" i="51"/>
  <c r="M1302" i="51"/>
  <c r="M1303" i="51"/>
  <c r="M1304" i="51"/>
  <c r="M1305" i="51"/>
  <c r="M1306" i="51"/>
  <c r="M1307" i="51"/>
  <c r="M1308" i="51"/>
  <c r="M1309" i="51"/>
  <c r="M1310" i="51"/>
  <c r="M1311" i="51"/>
  <c r="M1312" i="51"/>
  <c r="M1313" i="51"/>
  <c r="M1314" i="51"/>
  <c r="M1315" i="51"/>
  <c r="M1316" i="51"/>
  <c r="M1317" i="51"/>
  <c r="M1318" i="51"/>
  <c r="M1319" i="51"/>
  <c r="M1320" i="51"/>
  <c r="M1321" i="51"/>
  <c r="M1322" i="51"/>
  <c r="M1323" i="51"/>
  <c r="M1324" i="51"/>
  <c r="M1325" i="51"/>
  <c r="M1326" i="51"/>
  <c r="M1327" i="51"/>
  <c r="M1328" i="51"/>
  <c r="M1329" i="51"/>
  <c r="M1330" i="51"/>
  <c r="M1331" i="51"/>
  <c r="M1332" i="51"/>
  <c r="M1333" i="51"/>
  <c r="M1334" i="51"/>
  <c r="M1335" i="51"/>
  <c r="M1336" i="51"/>
  <c r="M1337" i="51"/>
  <c r="M1338" i="51"/>
  <c r="M1339" i="51"/>
  <c r="M1340" i="51"/>
  <c r="M1341" i="51"/>
  <c r="M1342" i="51"/>
  <c r="M1343" i="51"/>
  <c r="M1344" i="51"/>
  <c r="M1345" i="51"/>
  <c r="M1346" i="51"/>
  <c r="M1347" i="51"/>
  <c r="M1348" i="51"/>
  <c r="M1349" i="51"/>
  <c r="M1350" i="51"/>
  <c r="M1351" i="51"/>
  <c r="M1352" i="51"/>
  <c r="M1353" i="51"/>
  <c r="M1354" i="51"/>
  <c r="M1355" i="51"/>
  <c r="M1356" i="51"/>
  <c r="M1357" i="51"/>
  <c r="M1358" i="51"/>
  <c r="M1359" i="51"/>
  <c r="M1360" i="51"/>
  <c r="M1361" i="51"/>
  <c r="M1362" i="51"/>
  <c r="M1363" i="51"/>
  <c r="M1364" i="51"/>
  <c r="M1365" i="51"/>
  <c r="M1366" i="51"/>
  <c r="M1367" i="51"/>
  <c r="M1368" i="51"/>
  <c r="M1369" i="51"/>
  <c r="M1370" i="51"/>
  <c r="M1371" i="51"/>
  <c r="M1372" i="51"/>
  <c r="M1373" i="51"/>
  <c r="M1374" i="51"/>
  <c r="M1375" i="51"/>
  <c r="M1376" i="51"/>
  <c r="M1377" i="51"/>
  <c r="M1378" i="51"/>
  <c r="M1379" i="51"/>
  <c r="M1380" i="51"/>
  <c r="M1381" i="51"/>
  <c r="M1382" i="51"/>
  <c r="M1383" i="51"/>
  <c r="M1384" i="51"/>
  <c r="M1385" i="51"/>
  <c r="M1386" i="51"/>
  <c r="M1387" i="51"/>
  <c r="M1388" i="51"/>
  <c r="M1389" i="51"/>
  <c r="M1390" i="51"/>
  <c r="M1391" i="51"/>
  <c r="M1392" i="51"/>
  <c r="M1393" i="51"/>
  <c r="M1394" i="51"/>
  <c r="M1395" i="51"/>
  <c r="M1396" i="51"/>
  <c r="M1397" i="51"/>
  <c r="M1398" i="51"/>
  <c r="M1399" i="51"/>
  <c r="M1400" i="51"/>
  <c r="M1401" i="51"/>
  <c r="M1402" i="51"/>
  <c r="M1403" i="51"/>
  <c r="M1404" i="51"/>
  <c r="M1405" i="51"/>
  <c r="M1406" i="51"/>
  <c r="M1407" i="51"/>
  <c r="M1408" i="51"/>
  <c r="M1409" i="51"/>
  <c r="M1410" i="51"/>
  <c r="M1411" i="51"/>
  <c r="M1412" i="51"/>
  <c r="M1413" i="51"/>
  <c r="M1414" i="51"/>
  <c r="M1415" i="51"/>
  <c r="M1416" i="51"/>
  <c r="M1417" i="51"/>
  <c r="M1418" i="51"/>
  <c r="M1419" i="51"/>
  <c r="M1420" i="51"/>
  <c r="M1421" i="51"/>
  <c r="M1422" i="51"/>
  <c r="M1423" i="51"/>
  <c r="M1424" i="51"/>
  <c r="M1425" i="51"/>
  <c r="M1426" i="51"/>
  <c r="M1427" i="51"/>
  <c r="M1428" i="51"/>
  <c r="M1429" i="51"/>
  <c r="M1430" i="51"/>
  <c r="M1431" i="51"/>
  <c r="M1432" i="51"/>
  <c r="M1433" i="51"/>
  <c r="M1434" i="51"/>
  <c r="M1435" i="51"/>
  <c r="M1436" i="51"/>
  <c r="M1437" i="51"/>
  <c r="M1438" i="51"/>
  <c r="M1439" i="51"/>
  <c r="M1440" i="51"/>
  <c r="M1441" i="51"/>
  <c r="M1442" i="51"/>
  <c r="M1443" i="51"/>
  <c r="M1444" i="51"/>
  <c r="M1445" i="51"/>
  <c r="M1446" i="51"/>
  <c r="M1447" i="51"/>
  <c r="M1448" i="51"/>
  <c r="M1449" i="51"/>
  <c r="M1450" i="51"/>
  <c r="M1451" i="51"/>
  <c r="M1452" i="51"/>
  <c r="M1453" i="51"/>
  <c r="M1454" i="51"/>
  <c r="M1455" i="51"/>
  <c r="M1456" i="51"/>
  <c r="M1457" i="51"/>
  <c r="M1458" i="51"/>
  <c r="M1459" i="51"/>
  <c r="M1460" i="51"/>
  <c r="M1461" i="51"/>
  <c r="M1462" i="51"/>
  <c r="M1463" i="51"/>
  <c r="M1464" i="51"/>
  <c r="M1465" i="51"/>
  <c r="M1466" i="51"/>
  <c r="M1467" i="51"/>
  <c r="M1468" i="51"/>
  <c r="M1469" i="51"/>
  <c r="M1470" i="51"/>
  <c r="M1471" i="51"/>
  <c r="M1472" i="51"/>
  <c r="M1473" i="51"/>
  <c r="M1474" i="51"/>
  <c r="M1475" i="51"/>
  <c r="M1476" i="51"/>
  <c r="M1477" i="51"/>
  <c r="M1478" i="51"/>
  <c r="M1479" i="51"/>
  <c r="M1480" i="51"/>
  <c r="M1481" i="51"/>
  <c r="M1482" i="51"/>
  <c r="M1483" i="51"/>
  <c r="M1484" i="51"/>
  <c r="M1485" i="51"/>
  <c r="M1486" i="51"/>
  <c r="M1487" i="51"/>
  <c r="M1488" i="51"/>
  <c r="M1489" i="51"/>
  <c r="M1490" i="51"/>
  <c r="M1491" i="51"/>
  <c r="M1492" i="51"/>
  <c r="M1493" i="51"/>
  <c r="M1494" i="51"/>
  <c r="M1495" i="51"/>
  <c r="M1496" i="51"/>
  <c r="M1497" i="51"/>
  <c r="M1498" i="51"/>
  <c r="M1499" i="51"/>
  <c r="M1500" i="51"/>
  <c r="M1501" i="51"/>
  <c r="M1502" i="51"/>
  <c r="M1503" i="51"/>
  <c r="M1504" i="51"/>
  <c r="M1505" i="51"/>
  <c r="M1506" i="51"/>
  <c r="M1507" i="51"/>
  <c r="M1508" i="51"/>
  <c r="M1509" i="51"/>
  <c r="M1510" i="51"/>
  <c r="M1511" i="51"/>
  <c r="M1512" i="51"/>
  <c r="M1513" i="51"/>
  <c r="M1514" i="51"/>
  <c r="M1515" i="51"/>
  <c r="M1516" i="51"/>
  <c r="M1517" i="51"/>
  <c r="M1518" i="51"/>
  <c r="M1519" i="51"/>
  <c r="M1520" i="51"/>
  <c r="M1521" i="51"/>
  <c r="M1522" i="51"/>
  <c r="M1523" i="51"/>
  <c r="M1524" i="51"/>
  <c r="M1525" i="51"/>
  <c r="M1526" i="51"/>
  <c r="M1527" i="51"/>
  <c r="M1528" i="51"/>
  <c r="M1529" i="51"/>
  <c r="M1530" i="51"/>
  <c r="M1531" i="51"/>
  <c r="M1532" i="51"/>
  <c r="M1533" i="51"/>
  <c r="M1534" i="51"/>
  <c r="M1535" i="51"/>
  <c r="M1536" i="51"/>
  <c r="M1537" i="51"/>
  <c r="M1538" i="51"/>
  <c r="M1539" i="51"/>
  <c r="M1540" i="51"/>
  <c r="M1541" i="51"/>
  <c r="M1542" i="51"/>
  <c r="M1543" i="51"/>
  <c r="M1544" i="51"/>
  <c r="M1545" i="51"/>
  <c r="M1546" i="51"/>
  <c r="M1547" i="51"/>
  <c r="M1548" i="51"/>
  <c r="M1549" i="51"/>
  <c r="M1550" i="51"/>
  <c r="M1551" i="51"/>
  <c r="M1552" i="51"/>
  <c r="M1553" i="51"/>
  <c r="M1554" i="51"/>
  <c r="M1555" i="51"/>
  <c r="M1556" i="51"/>
  <c r="M1557" i="51"/>
  <c r="M1558" i="51"/>
  <c r="M1559" i="51"/>
  <c r="M1560" i="51"/>
  <c r="M1561" i="51"/>
  <c r="M1562" i="51"/>
  <c r="M1563" i="51"/>
  <c r="M1564" i="51"/>
  <c r="M1565" i="51"/>
  <c r="M1566" i="51"/>
  <c r="M1567" i="51"/>
  <c r="M1568" i="51"/>
  <c r="M1569" i="51"/>
  <c r="M1570" i="51"/>
  <c r="M1571" i="51"/>
  <c r="M1572" i="51"/>
  <c r="M1573" i="51"/>
  <c r="M1574" i="51"/>
  <c r="M1575" i="51"/>
  <c r="M1576" i="51"/>
  <c r="M1577" i="51"/>
  <c r="M1578" i="51"/>
  <c r="M1579" i="51"/>
  <c r="M1580" i="51"/>
  <c r="M1581" i="51"/>
  <c r="M1582" i="51"/>
  <c r="M1583" i="51"/>
  <c r="M1584" i="51"/>
  <c r="M1585" i="51"/>
  <c r="M1586" i="51"/>
  <c r="M1587" i="51"/>
  <c r="M1588" i="51"/>
  <c r="M1589" i="51"/>
  <c r="M1590" i="51"/>
  <c r="M1591" i="51"/>
  <c r="M1592" i="51"/>
  <c r="M1593" i="51"/>
  <c r="M1594" i="51"/>
  <c r="M1595" i="51"/>
  <c r="M1596" i="51"/>
  <c r="M1597" i="51"/>
  <c r="M1598" i="51"/>
  <c r="M1599" i="51"/>
  <c r="M1600" i="51"/>
  <c r="M1601" i="51"/>
  <c r="M1602" i="51"/>
  <c r="M1603" i="51"/>
  <c r="M1604" i="51"/>
  <c r="M1605" i="51"/>
  <c r="M1606" i="51"/>
  <c r="M1607" i="51"/>
  <c r="M1608" i="51"/>
  <c r="M1609" i="51"/>
  <c r="M1610" i="51"/>
  <c r="M1611" i="51"/>
  <c r="M1612" i="51"/>
  <c r="M1613" i="51"/>
  <c r="M1614" i="51"/>
  <c r="M1615" i="51"/>
  <c r="M1616" i="51"/>
  <c r="M1617" i="51"/>
  <c r="M1618" i="51"/>
  <c r="M1619" i="51"/>
  <c r="M1620" i="51"/>
  <c r="M1621" i="51"/>
  <c r="M1622" i="51"/>
  <c r="M1623" i="51"/>
  <c r="M1624" i="51"/>
  <c r="M1625" i="51"/>
  <c r="M1626" i="51"/>
  <c r="M1627" i="51"/>
  <c r="M1628" i="51"/>
  <c r="M1629" i="51"/>
  <c r="M1630" i="51"/>
  <c r="M1631" i="51"/>
  <c r="M1632" i="51"/>
  <c r="M1633" i="51"/>
  <c r="M1634" i="51"/>
  <c r="M1635" i="51"/>
  <c r="M1636" i="51"/>
  <c r="M1637" i="51"/>
  <c r="M1638" i="51"/>
  <c r="M1639" i="51"/>
  <c r="M1640" i="51"/>
  <c r="M1641" i="51"/>
  <c r="M1642" i="51"/>
  <c r="M1643" i="51"/>
  <c r="M1644" i="51"/>
  <c r="M1645" i="51"/>
  <c r="M1646" i="51"/>
  <c r="M1647" i="51"/>
  <c r="M1648" i="51"/>
  <c r="M1649" i="51"/>
  <c r="M1650" i="51"/>
  <c r="M1651" i="51"/>
  <c r="M1652" i="51"/>
  <c r="M1653" i="51"/>
  <c r="M1654" i="51"/>
  <c r="M1655" i="51"/>
  <c r="M1656" i="51"/>
  <c r="M1657" i="51"/>
  <c r="M1658" i="51"/>
  <c r="M1659" i="51"/>
  <c r="M1660" i="51"/>
  <c r="M1661" i="51"/>
  <c r="M1662" i="51"/>
  <c r="M1663" i="51"/>
  <c r="M1664" i="51"/>
  <c r="M1665" i="51"/>
  <c r="M1666" i="51"/>
  <c r="M1667" i="51"/>
  <c r="M1668" i="51"/>
  <c r="M1669" i="51"/>
  <c r="M1670" i="51"/>
  <c r="M1671" i="51"/>
  <c r="M1672" i="51"/>
  <c r="M1673" i="51"/>
  <c r="M1674" i="51"/>
  <c r="M1675" i="51"/>
  <c r="M1676" i="51"/>
  <c r="M1677" i="51"/>
  <c r="M1678" i="51"/>
  <c r="M1679" i="51"/>
  <c r="M1680" i="51"/>
  <c r="M1681" i="51"/>
  <c r="M1682" i="51"/>
  <c r="M1683" i="51"/>
  <c r="M1684" i="51"/>
  <c r="M1685" i="51"/>
  <c r="M1686" i="51"/>
  <c r="M1687" i="51"/>
  <c r="M1688" i="51"/>
  <c r="M1689" i="51"/>
  <c r="M1690" i="51"/>
  <c r="M1691" i="51"/>
  <c r="M1692" i="51"/>
  <c r="M1693" i="51"/>
  <c r="M1694" i="51"/>
  <c r="M1695" i="51"/>
  <c r="M1696" i="51"/>
  <c r="M1697" i="51"/>
  <c r="M1698" i="51"/>
  <c r="M1699" i="51"/>
  <c r="M1700" i="51"/>
  <c r="M1701" i="51"/>
  <c r="M1702" i="51"/>
  <c r="M1703" i="51"/>
  <c r="M1704" i="51"/>
  <c r="M1705" i="51"/>
  <c r="M1706" i="51"/>
  <c r="M1707" i="51"/>
  <c r="M1708" i="51"/>
  <c r="M1709" i="51"/>
  <c r="M1710" i="51"/>
  <c r="M1711" i="51"/>
  <c r="M1712" i="51"/>
  <c r="M1713" i="51"/>
  <c r="M1714" i="51"/>
  <c r="M1715" i="51"/>
  <c r="M1716" i="51"/>
  <c r="M1717" i="51"/>
  <c r="M1718" i="51"/>
  <c r="M1719" i="51"/>
  <c r="M1720" i="51"/>
  <c r="M1721" i="51"/>
  <c r="M1722" i="51"/>
  <c r="M1723" i="51"/>
  <c r="M1724" i="51"/>
  <c r="M1725" i="51"/>
  <c r="M1726" i="51"/>
  <c r="M1727" i="51"/>
  <c r="M1728" i="51"/>
  <c r="M1729" i="51"/>
  <c r="M1730" i="51"/>
  <c r="M1731" i="51"/>
  <c r="M1732" i="51"/>
  <c r="M1733" i="51"/>
  <c r="M1734" i="51"/>
  <c r="M1735" i="51"/>
  <c r="M1736" i="51"/>
  <c r="M1737" i="51"/>
  <c r="M1738" i="51"/>
  <c r="M1739" i="51"/>
  <c r="M1740" i="51"/>
  <c r="M1741" i="51"/>
  <c r="M1742" i="51"/>
  <c r="M1743" i="51"/>
  <c r="M1744" i="51"/>
  <c r="M1745" i="51"/>
  <c r="M1746" i="51"/>
  <c r="M1747" i="51"/>
  <c r="M1748" i="51"/>
  <c r="M1749" i="51"/>
  <c r="M1750" i="51"/>
  <c r="M1751" i="51"/>
  <c r="M1752" i="51"/>
  <c r="M1753" i="51"/>
  <c r="M1754" i="51"/>
  <c r="M1755" i="51"/>
  <c r="M1756" i="51"/>
  <c r="M1757" i="51"/>
  <c r="M1758" i="51"/>
  <c r="M1759" i="51"/>
  <c r="M1760" i="51"/>
  <c r="M1761" i="51"/>
  <c r="M1762" i="51"/>
  <c r="M1763" i="51"/>
  <c r="M1764" i="51"/>
  <c r="M1765" i="51"/>
  <c r="M1766" i="51"/>
  <c r="M1767" i="51"/>
  <c r="M1768" i="51"/>
  <c r="M1769" i="51"/>
  <c r="M1770" i="51"/>
  <c r="M1771" i="51"/>
  <c r="M1772" i="51"/>
  <c r="M1773" i="51"/>
  <c r="M1774" i="51"/>
  <c r="M1775" i="51"/>
  <c r="M1776" i="51"/>
  <c r="M1777" i="51"/>
  <c r="M1778" i="51"/>
  <c r="M1779" i="51"/>
  <c r="M1780" i="51"/>
  <c r="M1781" i="51"/>
  <c r="M1782" i="51"/>
  <c r="M1783" i="51"/>
  <c r="M1784" i="51"/>
  <c r="M1785" i="51"/>
  <c r="M1786" i="51"/>
  <c r="M1787" i="51"/>
  <c r="M1788" i="51"/>
  <c r="M1789" i="51"/>
  <c r="M1790" i="51"/>
  <c r="M1791" i="51"/>
  <c r="M1792" i="51"/>
  <c r="M1793" i="51"/>
  <c r="M1794" i="51"/>
  <c r="M1795" i="51"/>
  <c r="M1796" i="51"/>
  <c r="M1797" i="51"/>
  <c r="M1798" i="51"/>
  <c r="M1799" i="51"/>
  <c r="M1800" i="51"/>
  <c r="M1801" i="51"/>
  <c r="M1802" i="51"/>
  <c r="M1803" i="51"/>
  <c r="M1804" i="51"/>
  <c r="M1805" i="51"/>
  <c r="M1806" i="51"/>
  <c r="M1807" i="51"/>
  <c r="M1808" i="51"/>
  <c r="M1809" i="51"/>
  <c r="M1810" i="51"/>
  <c r="M1811" i="51"/>
  <c r="M1812" i="51"/>
  <c r="M1813" i="51"/>
  <c r="M1814" i="51"/>
  <c r="M1815" i="51"/>
  <c r="M1816" i="51"/>
  <c r="M1817" i="51"/>
  <c r="M1818" i="51"/>
  <c r="M1819" i="51"/>
  <c r="M1820" i="51"/>
  <c r="M1821" i="51"/>
  <c r="M1822" i="51"/>
  <c r="M1823" i="51"/>
  <c r="M1824" i="51"/>
  <c r="M1825" i="51"/>
  <c r="M1826" i="51"/>
  <c r="M1827" i="51"/>
  <c r="M1828" i="51"/>
  <c r="M1829" i="51"/>
  <c r="M1830" i="51"/>
  <c r="M1831" i="51"/>
  <c r="M1832" i="51"/>
  <c r="M1833" i="51"/>
  <c r="M1834" i="51"/>
  <c r="M1835" i="51"/>
  <c r="M1836" i="51"/>
  <c r="M1837" i="51"/>
  <c r="M1838" i="51"/>
  <c r="M1839" i="51"/>
  <c r="M1840" i="51"/>
  <c r="M1841" i="51"/>
  <c r="M1842" i="51"/>
  <c r="M1843" i="51"/>
  <c r="M1844" i="51"/>
  <c r="M1845" i="51"/>
  <c r="M1846" i="51"/>
  <c r="M1847" i="51"/>
  <c r="M1848" i="51"/>
  <c r="M1849" i="51"/>
  <c r="M1850" i="51"/>
  <c r="M1851" i="51"/>
  <c r="M1852" i="51"/>
  <c r="M1853" i="51"/>
  <c r="M1854" i="51"/>
  <c r="M1855" i="51"/>
  <c r="M1856" i="51"/>
  <c r="M1857" i="51"/>
  <c r="M1858" i="51"/>
  <c r="M1859" i="51"/>
  <c r="M1860" i="51"/>
  <c r="M1861" i="51"/>
  <c r="M1862" i="51"/>
  <c r="M1863" i="51"/>
  <c r="M1864" i="51"/>
  <c r="M1865" i="51"/>
  <c r="M1866" i="51"/>
  <c r="M1867" i="51"/>
  <c r="M1868" i="51"/>
  <c r="M1869" i="51"/>
  <c r="M1870" i="51"/>
  <c r="M1871" i="51"/>
  <c r="M1872" i="51"/>
  <c r="M1873" i="51"/>
  <c r="M1874" i="51"/>
  <c r="M1875" i="51"/>
  <c r="M1876" i="51"/>
  <c r="M1877" i="51"/>
  <c r="M1878" i="51"/>
  <c r="M1879" i="51"/>
  <c r="M1880" i="51"/>
  <c r="M1881" i="51"/>
  <c r="M1882" i="51"/>
  <c r="M1883" i="51"/>
  <c r="M1884" i="51"/>
  <c r="M1885" i="51"/>
  <c r="M1886" i="51"/>
  <c r="M1887" i="51"/>
  <c r="M1888" i="51"/>
  <c r="M1889" i="51"/>
  <c r="M1890" i="51"/>
  <c r="M1891" i="51"/>
  <c r="M1892" i="51"/>
  <c r="M1893" i="51"/>
  <c r="M1894" i="51"/>
  <c r="M1895" i="51"/>
  <c r="M1896" i="51"/>
  <c r="M1897" i="51"/>
  <c r="M1898" i="51"/>
  <c r="M1899" i="51"/>
  <c r="M1900" i="51"/>
  <c r="M1901" i="51"/>
  <c r="M1902" i="51"/>
  <c r="M1903" i="51"/>
  <c r="M1904" i="51"/>
  <c r="M1905" i="51"/>
  <c r="M1906" i="51"/>
  <c r="M1907" i="51"/>
  <c r="M1908" i="51"/>
  <c r="M1909" i="51"/>
  <c r="M1910" i="51"/>
  <c r="M1911" i="51"/>
  <c r="M1912" i="51"/>
  <c r="M1913" i="51"/>
  <c r="M1914" i="51"/>
  <c r="M1915" i="51"/>
  <c r="M1916" i="51"/>
  <c r="M1917" i="51"/>
  <c r="M1918" i="51"/>
  <c r="M1919" i="51"/>
  <c r="M1920" i="51"/>
  <c r="M1921" i="51"/>
  <c r="M1922" i="51"/>
  <c r="M1923" i="51"/>
  <c r="M1924" i="51"/>
  <c r="M1925" i="51"/>
  <c r="M1926" i="51"/>
  <c r="M1927" i="51"/>
  <c r="M1928" i="51"/>
  <c r="M1929" i="51"/>
  <c r="M1930" i="51"/>
  <c r="M1931" i="51"/>
  <c r="M1932" i="51"/>
  <c r="M1933" i="51"/>
  <c r="M1934" i="51"/>
  <c r="M1935" i="51"/>
  <c r="M1936" i="51"/>
  <c r="M1937" i="51"/>
  <c r="M1938" i="51"/>
  <c r="M1939" i="51"/>
  <c r="M1940" i="51"/>
  <c r="M1941" i="51"/>
  <c r="M1942" i="51"/>
  <c r="M1943" i="51"/>
  <c r="M1944" i="51"/>
  <c r="M1945" i="51"/>
  <c r="M1946" i="51"/>
  <c r="M1947" i="51"/>
  <c r="M1948" i="51"/>
  <c r="M1949" i="51"/>
  <c r="M1950" i="51"/>
  <c r="M1951" i="51"/>
  <c r="M1952" i="51"/>
  <c r="M1953" i="51"/>
  <c r="M1954" i="51"/>
  <c r="M1955" i="51"/>
  <c r="M1956" i="51"/>
  <c r="M1957" i="51"/>
  <c r="M1958" i="51"/>
  <c r="M1959" i="51"/>
  <c r="M1960" i="51"/>
  <c r="M1961" i="51"/>
  <c r="M1962" i="51"/>
  <c r="M1963" i="51"/>
  <c r="M1964" i="51"/>
  <c r="M1965" i="51"/>
  <c r="M1966" i="51"/>
  <c r="M1967" i="51"/>
  <c r="M1968" i="51"/>
  <c r="M1969" i="51"/>
  <c r="M1970" i="51"/>
  <c r="M1971" i="51"/>
  <c r="M1972" i="51"/>
  <c r="M1973" i="51"/>
  <c r="M1974" i="51"/>
  <c r="M1975" i="51"/>
  <c r="M1976" i="51"/>
  <c r="M1977" i="51"/>
  <c r="M1978" i="51"/>
  <c r="M1979" i="51"/>
  <c r="M1980" i="51"/>
  <c r="M1981" i="51"/>
  <c r="M1982" i="51"/>
  <c r="M1983" i="51"/>
  <c r="M1984" i="51"/>
  <c r="M1985" i="51"/>
  <c r="M1986" i="51"/>
  <c r="M1987" i="51"/>
  <c r="M1988" i="51"/>
  <c r="M1989" i="51"/>
  <c r="M1990" i="51"/>
  <c r="M1991" i="51"/>
  <c r="M1992" i="51"/>
  <c r="M1993" i="51"/>
  <c r="M1994" i="51"/>
  <c r="M1995" i="51"/>
  <c r="M1996" i="51"/>
  <c r="M1997" i="51"/>
  <c r="M1998" i="51"/>
  <c r="M1999" i="51"/>
  <c r="M2000" i="51"/>
  <c r="M2001" i="51"/>
  <c r="M2002" i="51"/>
  <c r="M2003" i="51"/>
  <c r="M2004" i="51"/>
  <c r="M2005" i="51"/>
  <c r="M2006" i="51"/>
  <c r="M2007" i="51"/>
  <c r="M2008" i="51"/>
  <c r="M2009" i="51"/>
  <c r="M2010" i="51"/>
  <c r="M2011" i="51"/>
  <c r="M2012" i="51"/>
  <c r="M2013" i="51"/>
  <c r="M2014" i="51"/>
  <c r="M2015" i="51"/>
  <c r="M2016" i="51"/>
  <c r="M2017" i="51"/>
  <c r="M2018" i="51"/>
  <c r="M2019" i="51"/>
  <c r="M2020" i="51"/>
  <c r="M2021" i="51"/>
  <c r="M2022" i="51"/>
  <c r="M2023" i="51"/>
  <c r="M2024" i="51"/>
  <c r="M2025" i="51"/>
  <c r="M2026" i="51"/>
  <c r="M2027" i="51"/>
  <c r="M2028" i="51"/>
  <c r="M2029" i="51"/>
  <c r="M2030" i="51"/>
  <c r="M2031" i="51"/>
  <c r="M2032" i="51"/>
  <c r="M2033" i="51"/>
  <c r="M2034" i="51"/>
  <c r="M2035" i="51"/>
  <c r="M2036" i="51"/>
  <c r="M2037" i="51"/>
  <c r="M2038" i="51"/>
  <c r="M2039" i="51"/>
  <c r="M2040" i="51"/>
  <c r="M2041" i="51"/>
  <c r="M2042" i="51"/>
  <c r="M2043" i="51"/>
  <c r="M2044" i="51"/>
  <c r="M2045" i="51"/>
  <c r="M2046" i="51"/>
  <c r="M2047" i="51"/>
  <c r="M2048" i="51"/>
  <c r="M2049" i="51"/>
  <c r="M2050" i="51"/>
  <c r="M2051" i="51"/>
  <c r="M2052" i="51"/>
  <c r="M2053" i="51"/>
  <c r="M2054" i="51"/>
  <c r="M2055" i="51"/>
  <c r="M2056" i="51"/>
  <c r="M2057" i="51"/>
  <c r="M2058" i="51"/>
  <c r="M2059" i="51"/>
  <c r="M2060" i="51"/>
  <c r="M2061" i="51"/>
  <c r="M2062" i="51"/>
  <c r="M2063" i="51"/>
  <c r="M2064" i="51"/>
  <c r="M2065" i="51"/>
  <c r="M2066" i="51"/>
  <c r="M2067" i="51"/>
  <c r="M2068" i="51"/>
  <c r="M2069" i="51"/>
  <c r="M2070" i="51"/>
  <c r="M2071" i="51"/>
  <c r="M2072" i="51"/>
  <c r="M2073" i="51"/>
  <c r="M2074" i="51"/>
  <c r="M2075" i="51"/>
  <c r="M2076" i="51"/>
  <c r="M2077" i="51"/>
  <c r="M2078" i="51"/>
  <c r="M2079" i="51"/>
  <c r="M2080" i="51"/>
  <c r="M2081" i="51"/>
  <c r="M2082" i="51"/>
  <c r="M2083" i="51"/>
  <c r="M2084" i="51"/>
  <c r="M2085" i="51"/>
  <c r="M2086" i="51"/>
  <c r="M2087" i="51"/>
  <c r="M2088" i="51"/>
  <c r="M2089" i="51"/>
  <c r="M2090" i="51"/>
  <c r="M2091" i="51"/>
  <c r="M2092" i="51"/>
  <c r="M2093" i="51"/>
  <c r="M2094" i="51"/>
  <c r="M2095" i="51"/>
  <c r="M2096" i="51"/>
  <c r="M2097" i="51"/>
  <c r="M2098" i="51"/>
  <c r="M2099" i="51"/>
  <c r="M2100" i="51"/>
  <c r="M2101" i="51"/>
  <c r="M2102" i="51"/>
  <c r="M2103" i="51"/>
  <c r="M2104" i="51"/>
  <c r="M2105" i="51"/>
  <c r="M2106" i="51"/>
  <c r="M2107" i="51"/>
  <c r="M2108" i="51"/>
  <c r="M2109" i="51"/>
  <c r="M2110" i="51"/>
  <c r="M2111" i="51"/>
  <c r="M2112" i="51"/>
  <c r="M2113" i="51"/>
  <c r="M2114" i="51"/>
  <c r="M2115" i="51"/>
  <c r="M2116" i="51"/>
  <c r="M2117" i="51"/>
  <c r="M2118" i="51"/>
  <c r="M2119" i="51"/>
  <c r="M2120" i="51"/>
  <c r="M2121" i="51"/>
  <c r="M2122" i="51"/>
  <c r="M2123" i="51"/>
  <c r="M2124" i="51"/>
  <c r="M2125" i="51"/>
  <c r="M2126" i="51"/>
  <c r="M2127" i="51"/>
  <c r="M2128" i="51"/>
  <c r="M2129" i="51"/>
  <c r="M2130" i="51"/>
  <c r="M2131" i="51"/>
  <c r="M2132" i="51"/>
  <c r="M2133" i="51"/>
  <c r="M2134" i="51"/>
  <c r="M2135" i="51"/>
  <c r="M2136" i="51"/>
  <c r="M2137" i="51"/>
  <c r="M2138" i="51"/>
  <c r="M2139" i="51"/>
  <c r="M2140" i="51"/>
  <c r="M2141" i="51"/>
  <c r="M2142" i="51"/>
  <c r="M2143" i="51"/>
  <c r="M2144" i="51"/>
  <c r="M2145" i="51"/>
  <c r="M2146" i="51"/>
  <c r="M2147" i="51"/>
  <c r="M2148" i="51"/>
  <c r="M2149" i="51"/>
  <c r="M2150" i="51"/>
  <c r="M2151" i="51"/>
  <c r="M2152" i="51"/>
  <c r="M2153" i="51"/>
  <c r="M2154" i="51"/>
  <c r="M2155" i="51"/>
  <c r="M2156" i="51"/>
  <c r="M2157" i="51"/>
  <c r="M2158" i="51"/>
  <c r="M2159" i="51"/>
  <c r="M2160" i="51"/>
  <c r="M2161" i="51"/>
  <c r="M2162" i="51"/>
  <c r="M2163" i="51"/>
  <c r="M2164" i="51"/>
  <c r="M2165" i="51"/>
  <c r="M2166" i="51"/>
  <c r="M2167" i="51"/>
  <c r="M2168" i="51"/>
  <c r="M2169" i="51"/>
  <c r="M2" i="51"/>
  <c r="L13" i="51"/>
  <c r="N13" i="51"/>
  <c r="O13" i="51"/>
  <c r="P13" i="51"/>
  <c r="Q13" i="51"/>
  <c r="L14" i="51"/>
  <c r="N14" i="51"/>
  <c r="O14" i="51"/>
  <c r="P14" i="51"/>
  <c r="Q14" i="51"/>
  <c r="L15" i="51"/>
  <c r="N15" i="51"/>
  <c r="O15" i="51"/>
  <c r="P15" i="51"/>
  <c r="Q15" i="51"/>
  <c r="L16" i="51"/>
  <c r="N16" i="51"/>
  <c r="O16" i="51"/>
  <c r="P16" i="51"/>
  <c r="Q16" i="51"/>
  <c r="L17" i="51"/>
  <c r="N17" i="51"/>
  <c r="O17" i="51"/>
  <c r="P17" i="51"/>
  <c r="Q17" i="51"/>
  <c r="L18" i="51"/>
  <c r="N18" i="51"/>
  <c r="O18" i="51"/>
  <c r="P18" i="51"/>
  <c r="Q18" i="51"/>
  <c r="L19" i="51"/>
  <c r="N19" i="51"/>
  <c r="O19" i="51"/>
  <c r="P19" i="51"/>
  <c r="Q19" i="51"/>
  <c r="L20" i="51"/>
  <c r="N20" i="51"/>
  <c r="O20" i="51"/>
  <c r="P20" i="51"/>
  <c r="Q20" i="51"/>
  <c r="L21" i="51"/>
  <c r="N21" i="51"/>
  <c r="O21" i="51"/>
  <c r="P21" i="51"/>
  <c r="Q21" i="51"/>
  <c r="L22" i="51"/>
  <c r="N22" i="51"/>
  <c r="O22" i="51"/>
  <c r="P22" i="51"/>
  <c r="Q22" i="51"/>
  <c r="L23" i="51"/>
  <c r="N23" i="51"/>
  <c r="O23" i="51"/>
  <c r="P23" i="51"/>
  <c r="Q23" i="51"/>
  <c r="L24" i="51"/>
  <c r="N24" i="51"/>
  <c r="O24" i="51"/>
  <c r="P24" i="51"/>
  <c r="Q24" i="51"/>
  <c r="L25" i="51"/>
  <c r="N25" i="51"/>
  <c r="O25" i="51"/>
  <c r="P25" i="51"/>
  <c r="Q25" i="51"/>
  <c r="L26" i="51"/>
  <c r="N26" i="51"/>
  <c r="O26" i="51"/>
  <c r="P26" i="51"/>
  <c r="Q26" i="51"/>
  <c r="L27" i="51"/>
  <c r="N27" i="51"/>
  <c r="O27" i="51"/>
  <c r="P27" i="51"/>
  <c r="Q27" i="51"/>
  <c r="L28" i="51"/>
  <c r="N28" i="51"/>
  <c r="O28" i="51"/>
  <c r="P28" i="51"/>
  <c r="Q28" i="51"/>
  <c r="L29" i="51"/>
  <c r="N29" i="51"/>
  <c r="O29" i="51"/>
  <c r="P29" i="51"/>
  <c r="Q29" i="51"/>
  <c r="L30" i="51"/>
  <c r="N30" i="51"/>
  <c r="O30" i="51"/>
  <c r="P30" i="51"/>
  <c r="Q30" i="51"/>
  <c r="L31" i="51"/>
  <c r="N31" i="51"/>
  <c r="O31" i="51"/>
  <c r="P31" i="51"/>
  <c r="Q31" i="51"/>
  <c r="L32" i="51"/>
  <c r="N32" i="51"/>
  <c r="O32" i="51"/>
  <c r="P32" i="51"/>
  <c r="Q32" i="51"/>
  <c r="L33" i="51"/>
  <c r="N33" i="51"/>
  <c r="O33" i="51"/>
  <c r="P33" i="51"/>
  <c r="Q33" i="51"/>
  <c r="L34" i="51"/>
  <c r="N34" i="51"/>
  <c r="O34" i="51"/>
  <c r="P34" i="51"/>
  <c r="Q34" i="51"/>
  <c r="L35" i="51"/>
  <c r="N35" i="51"/>
  <c r="O35" i="51"/>
  <c r="P35" i="51"/>
  <c r="Q35" i="51"/>
  <c r="L36" i="51"/>
  <c r="N36" i="51"/>
  <c r="O36" i="51"/>
  <c r="P36" i="51"/>
  <c r="Q36" i="51"/>
  <c r="L37" i="51"/>
  <c r="N37" i="51"/>
  <c r="O37" i="51"/>
  <c r="P37" i="51"/>
  <c r="Q37" i="51"/>
  <c r="L38" i="51"/>
  <c r="N38" i="51"/>
  <c r="O38" i="51"/>
  <c r="P38" i="51"/>
  <c r="Q38" i="51"/>
  <c r="L39" i="51"/>
  <c r="N39" i="51"/>
  <c r="O39" i="51"/>
  <c r="P39" i="51"/>
  <c r="Q39" i="51"/>
  <c r="L40" i="51"/>
  <c r="N40" i="51"/>
  <c r="O40" i="51"/>
  <c r="P40" i="51"/>
  <c r="Q40" i="51"/>
  <c r="L41" i="51"/>
  <c r="N41" i="51"/>
  <c r="O41" i="51"/>
  <c r="P41" i="51"/>
  <c r="Q41" i="51"/>
  <c r="L42" i="51"/>
  <c r="N42" i="51"/>
  <c r="O42" i="51"/>
  <c r="P42" i="51"/>
  <c r="Q42" i="51"/>
  <c r="L43" i="51"/>
  <c r="N43" i="51"/>
  <c r="O43" i="51"/>
  <c r="P43" i="51"/>
  <c r="Q43" i="51"/>
  <c r="L44" i="51"/>
  <c r="N44" i="51"/>
  <c r="O44" i="51"/>
  <c r="P44" i="51"/>
  <c r="Q44" i="51"/>
  <c r="L45" i="51"/>
  <c r="N45" i="51"/>
  <c r="O45" i="51"/>
  <c r="P45" i="51"/>
  <c r="Q45" i="51"/>
  <c r="L46" i="51"/>
  <c r="N46" i="51"/>
  <c r="O46" i="51"/>
  <c r="P46" i="51"/>
  <c r="Q46" i="51"/>
  <c r="L47" i="51"/>
  <c r="N47" i="51"/>
  <c r="O47" i="51"/>
  <c r="P47" i="51"/>
  <c r="Q47" i="51"/>
  <c r="L48" i="51"/>
  <c r="N48" i="51"/>
  <c r="O48" i="51"/>
  <c r="P48" i="51"/>
  <c r="Q48" i="51"/>
  <c r="L49" i="51"/>
  <c r="N49" i="51"/>
  <c r="O49" i="51"/>
  <c r="P49" i="51"/>
  <c r="Q49" i="51"/>
  <c r="L50" i="51"/>
  <c r="N50" i="51"/>
  <c r="O50" i="51"/>
  <c r="P50" i="51"/>
  <c r="Q50" i="51"/>
  <c r="L51" i="51"/>
  <c r="N51" i="51"/>
  <c r="O51" i="51"/>
  <c r="P51" i="51"/>
  <c r="Q51" i="51"/>
  <c r="L52" i="51"/>
  <c r="N52" i="51"/>
  <c r="O52" i="51"/>
  <c r="P52" i="51"/>
  <c r="Q52" i="51"/>
  <c r="L53" i="51"/>
  <c r="N53" i="51"/>
  <c r="O53" i="51"/>
  <c r="P53" i="51"/>
  <c r="Q53" i="51"/>
  <c r="L54" i="51"/>
  <c r="N54" i="51"/>
  <c r="O54" i="51"/>
  <c r="P54" i="51"/>
  <c r="Q54" i="51"/>
  <c r="L55" i="51"/>
  <c r="N55" i="51"/>
  <c r="O55" i="51"/>
  <c r="P55" i="51"/>
  <c r="Q55" i="51"/>
  <c r="L56" i="51"/>
  <c r="N56" i="51"/>
  <c r="O56" i="51"/>
  <c r="P56" i="51"/>
  <c r="Q56" i="51"/>
  <c r="L57" i="51"/>
  <c r="N57" i="51"/>
  <c r="O57" i="51"/>
  <c r="P57" i="51"/>
  <c r="Q57" i="51"/>
  <c r="L58" i="51"/>
  <c r="N58" i="51"/>
  <c r="O58" i="51"/>
  <c r="P58" i="51"/>
  <c r="Q58" i="51"/>
  <c r="L59" i="51"/>
  <c r="N59" i="51"/>
  <c r="O59" i="51"/>
  <c r="P59" i="51"/>
  <c r="Q59" i="51"/>
  <c r="L60" i="51"/>
  <c r="N60" i="51"/>
  <c r="O60" i="51"/>
  <c r="P60" i="51"/>
  <c r="Q60" i="51"/>
  <c r="L61" i="51"/>
  <c r="N61" i="51"/>
  <c r="O61" i="51"/>
  <c r="P61" i="51"/>
  <c r="Q61" i="51"/>
  <c r="L62" i="51"/>
  <c r="N62" i="51"/>
  <c r="O62" i="51"/>
  <c r="P62" i="51"/>
  <c r="Q62" i="51"/>
  <c r="L63" i="51"/>
  <c r="N63" i="51"/>
  <c r="O63" i="51"/>
  <c r="P63" i="51"/>
  <c r="Q63" i="51"/>
  <c r="L64" i="51"/>
  <c r="N64" i="51"/>
  <c r="O64" i="51"/>
  <c r="P64" i="51"/>
  <c r="Q64" i="51"/>
  <c r="L65" i="51"/>
  <c r="N65" i="51"/>
  <c r="O65" i="51"/>
  <c r="P65" i="51"/>
  <c r="Q65" i="51"/>
  <c r="L66" i="51"/>
  <c r="N66" i="51"/>
  <c r="O66" i="51"/>
  <c r="P66" i="51"/>
  <c r="Q66" i="51"/>
  <c r="L67" i="51"/>
  <c r="N67" i="51"/>
  <c r="O67" i="51"/>
  <c r="P67" i="51"/>
  <c r="Q67" i="51"/>
  <c r="L68" i="51"/>
  <c r="N68" i="51"/>
  <c r="O68" i="51"/>
  <c r="P68" i="51"/>
  <c r="Q68" i="51"/>
  <c r="L69" i="51"/>
  <c r="N69" i="51"/>
  <c r="O69" i="51"/>
  <c r="P69" i="51"/>
  <c r="Q69" i="51"/>
  <c r="L70" i="51"/>
  <c r="N70" i="51"/>
  <c r="O70" i="51"/>
  <c r="P70" i="51"/>
  <c r="Q70" i="51"/>
  <c r="L71" i="51"/>
  <c r="N71" i="51"/>
  <c r="O71" i="51"/>
  <c r="P71" i="51"/>
  <c r="Q71" i="51"/>
  <c r="L72" i="51"/>
  <c r="N72" i="51"/>
  <c r="O72" i="51"/>
  <c r="P72" i="51"/>
  <c r="Q72" i="51"/>
  <c r="L73" i="51"/>
  <c r="N73" i="51"/>
  <c r="O73" i="51"/>
  <c r="P73" i="51"/>
  <c r="Q73" i="51"/>
  <c r="L74" i="51"/>
  <c r="N74" i="51"/>
  <c r="O74" i="51"/>
  <c r="P74" i="51"/>
  <c r="Q74" i="51"/>
  <c r="L75" i="51"/>
  <c r="N75" i="51"/>
  <c r="O75" i="51"/>
  <c r="P75" i="51"/>
  <c r="Q75" i="51"/>
  <c r="L76" i="51"/>
  <c r="N76" i="51"/>
  <c r="O76" i="51"/>
  <c r="P76" i="51"/>
  <c r="Q76" i="51"/>
  <c r="L77" i="51"/>
  <c r="N77" i="51"/>
  <c r="O77" i="51"/>
  <c r="P77" i="51"/>
  <c r="Q77" i="51"/>
  <c r="L78" i="51"/>
  <c r="N78" i="51"/>
  <c r="O78" i="51"/>
  <c r="P78" i="51"/>
  <c r="Q78" i="51"/>
  <c r="L79" i="51"/>
  <c r="N79" i="51"/>
  <c r="O79" i="51"/>
  <c r="P79" i="51"/>
  <c r="Q79" i="51"/>
  <c r="L80" i="51"/>
  <c r="N80" i="51"/>
  <c r="O80" i="51"/>
  <c r="P80" i="51"/>
  <c r="Q80" i="51"/>
  <c r="L81" i="51"/>
  <c r="N81" i="51"/>
  <c r="O81" i="51"/>
  <c r="P81" i="51"/>
  <c r="Q81" i="51"/>
  <c r="L82" i="51"/>
  <c r="N82" i="51"/>
  <c r="O82" i="51"/>
  <c r="P82" i="51"/>
  <c r="Q82" i="51"/>
  <c r="L83" i="51"/>
  <c r="N83" i="51"/>
  <c r="O83" i="51"/>
  <c r="P83" i="51"/>
  <c r="Q83" i="51"/>
  <c r="L84" i="51"/>
  <c r="N84" i="51"/>
  <c r="O84" i="51"/>
  <c r="P84" i="51"/>
  <c r="Q84" i="51"/>
  <c r="L85" i="51"/>
  <c r="N85" i="51"/>
  <c r="O85" i="51"/>
  <c r="P85" i="51"/>
  <c r="Q85" i="51"/>
  <c r="L86" i="51"/>
  <c r="N86" i="51"/>
  <c r="O86" i="51"/>
  <c r="P86" i="51"/>
  <c r="Q86" i="51"/>
  <c r="L87" i="51"/>
  <c r="N87" i="51"/>
  <c r="O87" i="51"/>
  <c r="P87" i="51"/>
  <c r="Q87" i="51"/>
  <c r="L88" i="51"/>
  <c r="N88" i="51"/>
  <c r="O88" i="51"/>
  <c r="P88" i="51"/>
  <c r="Q88" i="51"/>
  <c r="L89" i="51"/>
  <c r="N89" i="51"/>
  <c r="O89" i="51"/>
  <c r="P89" i="51"/>
  <c r="Q89" i="51"/>
  <c r="L90" i="51"/>
  <c r="N90" i="51"/>
  <c r="O90" i="51"/>
  <c r="P90" i="51"/>
  <c r="Q90" i="51"/>
  <c r="L91" i="51"/>
  <c r="N91" i="51"/>
  <c r="O91" i="51"/>
  <c r="P91" i="51"/>
  <c r="Q91" i="51"/>
  <c r="L92" i="51"/>
  <c r="N92" i="51"/>
  <c r="O92" i="51"/>
  <c r="P92" i="51"/>
  <c r="Q92" i="51"/>
  <c r="L93" i="51"/>
  <c r="N93" i="51"/>
  <c r="O93" i="51"/>
  <c r="P93" i="51"/>
  <c r="Q93" i="51"/>
  <c r="L94" i="51"/>
  <c r="N94" i="51"/>
  <c r="O94" i="51"/>
  <c r="P94" i="51"/>
  <c r="Q94" i="51"/>
  <c r="L95" i="51"/>
  <c r="N95" i="51"/>
  <c r="O95" i="51"/>
  <c r="P95" i="51"/>
  <c r="Q95" i="51"/>
  <c r="L96" i="51"/>
  <c r="N96" i="51"/>
  <c r="O96" i="51"/>
  <c r="P96" i="51"/>
  <c r="Q96" i="51"/>
  <c r="L97" i="51"/>
  <c r="N97" i="51"/>
  <c r="O97" i="51"/>
  <c r="P97" i="51"/>
  <c r="Q97" i="51"/>
  <c r="L98" i="51"/>
  <c r="N98" i="51"/>
  <c r="O98" i="51"/>
  <c r="P98" i="51"/>
  <c r="Q98" i="51"/>
  <c r="L99" i="51"/>
  <c r="N99" i="51"/>
  <c r="O99" i="51"/>
  <c r="P99" i="51"/>
  <c r="Q99" i="51"/>
  <c r="L100" i="51"/>
  <c r="N100" i="51"/>
  <c r="O100" i="51"/>
  <c r="P100" i="51"/>
  <c r="Q100" i="51"/>
  <c r="L101" i="51"/>
  <c r="N101" i="51"/>
  <c r="O101" i="51"/>
  <c r="P101" i="51"/>
  <c r="Q101" i="51"/>
  <c r="L102" i="51"/>
  <c r="N102" i="51"/>
  <c r="O102" i="51"/>
  <c r="P102" i="51"/>
  <c r="Q102" i="51"/>
  <c r="L103" i="51"/>
  <c r="N103" i="51"/>
  <c r="O103" i="51"/>
  <c r="P103" i="51"/>
  <c r="Q103" i="51"/>
  <c r="L104" i="51"/>
  <c r="N104" i="51"/>
  <c r="O104" i="51"/>
  <c r="P104" i="51"/>
  <c r="Q104" i="51"/>
  <c r="L105" i="51"/>
  <c r="N105" i="51"/>
  <c r="O105" i="51"/>
  <c r="P105" i="51"/>
  <c r="Q105" i="51"/>
  <c r="L106" i="51"/>
  <c r="N106" i="51"/>
  <c r="O106" i="51"/>
  <c r="P106" i="51"/>
  <c r="Q106" i="51"/>
  <c r="L107" i="51"/>
  <c r="N107" i="51"/>
  <c r="O107" i="51"/>
  <c r="P107" i="51"/>
  <c r="Q107" i="51"/>
  <c r="L108" i="51"/>
  <c r="N108" i="51"/>
  <c r="O108" i="51"/>
  <c r="P108" i="51"/>
  <c r="Q108" i="51"/>
  <c r="L109" i="51"/>
  <c r="N109" i="51"/>
  <c r="O109" i="51"/>
  <c r="P109" i="51"/>
  <c r="Q109" i="51"/>
  <c r="L110" i="51"/>
  <c r="N110" i="51"/>
  <c r="O110" i="51"/>
  <c r="P110" i="51"/>
  <c r="Q110" i="51"/>
  <c r="L111" i="51"/>
  <c r="N111" i="51"/>
  <c r="O111" i="51"/>
  <c r="P111" i="51"/>
  <c r="Q111" i="51"/>
  <c r="L112" i="51"/>
  <c r="N112" i="51"/>
  <c r="O112" i="51"/>
  <c r="P112" i="51"/>
  <c r="Q112" i="51"/>
  <c r="L113" i="51"/>
  <c r="N113" i="51"/>
  <c r="O113" i="51"/>
  <c r="P113" i="51"/>
  <c r="Q113" i="51"/>
  <c r="L114" i="51"/>
  <c r="N114" i="51"/>
  <c r="O114" i="51"/>
  <c r="P114" i="51"/>
  <c r="Q114" i="51"/>
  <c r="L115" i="51"/>
  <c r="N115" i="51"/>
  <c r="O115" i="51"/>
  <c r="P115" i="51"/>
  <c r="Q115" i="51"/>
  <c r="L116" i="51"/>
  <c r="N116" i="51"/>
  <c r="O116" i="51"/>
  <c r="P116" i="51"/>
  <c r="Q116" i="51"/>
  <c r="L117" i="51"/>
  <c r="N117" i="51"/>
  <c r="O117" i="51"/>
  <c r="P117" i="51"/>
  <c r="Q117" i="51"/>
  <c r="L118" i="51"/>
  <c r="N118" i="51"/>
  <c r="O118" i="51"/>
  <c r="P118" i="51"/>
  <c r="Q118" i="51"/>
  <c r="L119" i="51"/>
  <c r="N119" i="51"/>
  <c r="O119" i="51"/>
  <c r="P119" i="51"/>
  <c r="Q119" i="51"/>
  <c r="L120" i="51"/>
  <c r="N120" i="51"/>
  <c r="O120" i="51"/>
  <c r="P120" i="51"/>
  <c r="Q120" i="51"/>
  <c r="L121" i="51"/>
  <c r="N121" i="51"/>
  <c r="O121" i="51"/>
  <c r="P121" i="51"/>
  <c r="Q121" i="51"/>
  <c r="L122" i="51"/>
  <c r="N122" i="51"/>
  <c r="O122" i="51"/>
  <c r="P122" i="51"/>
  <c r="Q122" i="51"/>
  <c r="L123" i="51"/>
  <c r="N123" i="51"/>
  <c r="O123" i="51"/>
  <c r="P123" i="51"/>
  <c r="Q123" i="51"/>
  <c r="L124" i="51"/>
  <c r="N124" i="51"/>
  <c r="O124" i="51"/>
  <c r="P124" i="51"/>
  <c r="Q124" i="51"/>
  <c r="L125" i="51"/>
  <c r="N125" i="51"/>
  <c r="O125" i="51"/>
  <c r="P125" i="51"/>
  <c r="Q125" i="51"/>
  <c r="L126" i="51"/>
  <c r="N126" i="51"/>
  <c r="O126" i="51"/>
  <c r="P126" i="51"/>
  <c r="Q126" i="51"/>
  <c r="L127" i="51"/>
  <c r="N127" i="51"/>
  <c r="O127" i="51"/>
  <c r="P127" i="51"/>
  <c r="Q127" i="51"/>
  <c r="L128" i="51"/>
  <c r="N128" i="51"/>
  <c r="O128" i="51"/>
  <c r="P128" i="51"/>
  <c r="Q128" i="51"/>
  <c r="L129" i="51"/>
  <c r="N129" i="51"/>
  <c r="O129" i="51"/>
  <c r="P129" i="51"/>
  <c r="Q129" i="51"/>
  <c r="L130" i="51"/>
  <c r="N130" i="51"/>
  <c r="O130" i="51"/>
  <c r="P130" i="51"/>
  <c r="Q130" i="51"/>
  <c r="L131" i="51"/>
  <c r="N131" i="51"/>
  <c r="O131" i="51"/>
  <c r="P131" i="51"/>
  <c r="Q131" i="51"/>
  <c r="L132" i="51"/>
  <c r="N132" i="51"/>
  <c r="O132" i="51"/>
  <c r="P132" i="51"/>
  <c r="Q132" i="51"/>
  <c r="L133" i="51"/>
  <c r="N133" i="51"/>
  <c r="O133" i="51"/>
  <c r="P133" i="51"/>
  <c r="Q133" i="51"/>
  <c r="L134" i="51"/>
  <c r="N134" i="51"/>
  <c r="O134" i="51"/>
  <c r="P134" i="51"/>
  <c r="Q134" i="51"/>
  <c r="L135" i="51"/>
  <c r="N135" i="51"/>
  <c r="O135" i="51"/>
  <c r="P135" i="51"/>
  <c r="Q135" i="51"/>
  <c r="L136" i="51"/>
  <c r="N136" i="51"/>
  <c r="O136" i="51"/>
  <c r="P136" i="51"/>
  <c r="Q136" i="51"/>
  <c r="L137" i="51"/>
  <c r="N137" i="51"/>
  <c r="O137" i="51"/>
  <c r="P137" i="51"/>
  <c r="Q137" i="51"/>
  <c r="L138" i="51"/>
  <c r="N138" i="51"/>
  <c r="O138" i="51"/>
  <c r="P138" i="51"/>
  <c r="Q138" i="51"/>
  <c r="L139" i="51"/>
  <c r="N139" i="51"/>
  <c r="O139" i="51"/>
  <c r="P139" i="51"/>
  <c r="Q139" i="51"/>
  <c r="L140" i="51"/>
  <c r="N140" i="51"/>
  <c r="O140" i="51"/>
  <c r="P140" i="51"/>
  <c r="Q140" i="51"/>
  <c r="L141" i="51"/>
  <c r="N141" i="51"/>
  <c r="O141" i="51"/>
  <c r="P141" i="51"/>
  <c r="Q141" i="51"/>
  <c r="L142" i="51"/>
  <c r="N142" i="51"/>
  <c r="O142" i="51"/>
  <c r="P142" i="51"/>
  <c r="Q142" i="51"/>
  <c r="L143" i="51"/>
  <c r="N143" i="51"/>
  <c r="O143" i="51"/>
  <c r="P143" i="51"/>
  <c r="Q143" i="51"/>
  <c r="L144" i="51"/>
  <c r="N144" i="51"/>
  <c r="O144" i="51"/>
  <c r="P144" i="51"/>
  <c r="Q144" i="51"/>
  <c r="L145" i="51"/>
  <c r="N145" i="51"/>
  <c r="O145" i="51"/>
  <c r="P145" i="51"/>
  <c r="Q145" i="51"/>
  <c r="L146" i="51"/>
  <c r="N146" i="51"/>
  <c r="O146" i="51"/>
  <c r="P146" i="51"/>
  <c r="Q146" i="51"/>
  <c r="L147" i="51"/>
  <c r="N147" i="51"/>
  <c r="O147" i="51"/>
  <c r="P147" i="51"/>
  <c r="Q147" i="51"/>
  <c r="L148" i="51"/>
  <c r="N148" i="51"/>
  <c r="O148" i="51"/>
  <c r="P148" i="51"/>
  <c r="Q148" i="51"/>
  <c r="L149" i="51"/>
  <c r="N149" i="51"/>
  <c r="O149" i="51"/>
  <c r="P149" i="51"/>
  <c r="Q149" i="51"/>
  <c r="L150" i="51"/>
  <c r="N150" i="51"/>
  <c r="O150" i="51"/>
  <c r="P150" i="51"/>
  <c r="Q150" i="51"/>
  <c r="L151" i="51"/>
  <c r="N151" i="51"/>
  <c r="O151" i="51"/>
  <c r="P151" i="51"/>
  <c r="Q151" i="51"/>
  <c r="L152" i="51"/>
  <c r="N152" i="51"/>
  <c r="O152" i="51"/>
  <c r="P152" i="51"/>
  <c r="Q152" i="51"/>
  <c r="L153" i="51"/>
  <c r="N153" i="51"/>
  <c r="O153" i="51"/>
  <c r="P153" i="51"/>
  <c r="Q153" i="51"/>
  <c r="L154" i="51"/>
  <c r="N154" i="51"/>
  <c r="O154" i="51"/>
  <c r="P154" i="51"/>
  <c r="Q154" i="51"/>
  <c r="L155" i="51"/>
  <c r="N155" i="51"/>
  <c r="O155" i="51"/>
  <c r="P155" i="51"/>
  <c r="Q155" i="51"/>
  <c r="L156" i="51"/>
  <c r="N156" i="51"/>
  <c r="O156" i="51"/>
  <c r="P156" i="51"/>
  <c r="Q156" i="51"/>
  <c r="L157" i="51"/>
  <c r="N157" i="51"/>
  <c r="O157" i="51"/>
  <c r="P157" i="51"/>
  <c r="Q157" i="51"/>
  <c r="L158" i="51"/>
  <c r="N158" i="51"/>
  <c r="O158" i="51"/>
  <c r="P158" i="51"/>
  <c r="Q158" i="51"/>
  <c r="L159" i="51"/>
  <c r="N159" i="51"/>
  <c r="O159" i="51"/>
  <c r="P159" i="51"/>
  <c r="Q159" i="51"/>
  <c r="L160" i="51"/>
  <c r="N160" i="51"/>
  <c r="O160" i="51"/>
  <c r="P160" i="51"/>
  <c r="Q160" i="51"/>
  <c r="L161" i="51"/>
  <c r="N161" i="51"/>
  <c r="O161" i="51"/>
  <c r="P161" i="51"/>
  <c r="Q161" i="51"/>
  <c r="L162" i="51"/>
  <c r="N162" i="51"/>
  <c r="O162" i="51"/>
  <c r="P162" i="51"/>
  <c r="Q162" i="51"/>
  <c r="L163" i="51"/>
  <c r="N163" i="51"/>
  <c r="O163" i="51"/>
  <c r="P163" i="51"/>
  <c r="Q163" i="51"/>
  <c r="L164" i="51"/>
  <c r="N164" i="51"/>
  <c r="O164" i="51"/>
  <c r="P164" i="51"/>
  <c r="Q164" i="51"/>
  <c r="L165" i="51"/>
  <c r="N165" i="51"/>
  <c r="O165" i="51"/>
  <c r="P165" i="51"/>
  <c r="Q165" i="51"/>
  <c r="L166" i="51"/>
  <c r="N166" i="51"/>
  <c r="O166" i="51"/>
  <c r="P166" i="51"/>
  <c r="Q166" i="51"/>
  <c r="L167" i="51"/>
  <c r="N167" i="51"/>
  <c r="O167" i="51"/>
  <c r="P167" i="51"/>
  <c r="Q167" i="51"/>
  <c r="L168" i="51"/>
  <c r="N168" i="51"/>
  <c r="O168" i="51"/>
  <c r="P168" i="51"/>
  <c r="Q168" i="51"/>
  <c r="L169" i="51"/>
  <c r="N169" i="51"/>
  <c r="O169" i="51"/>
  <c r="P169" i="51"/>
  <c r="Q169" i="51"/>
  <c r="L170" i="51"/>
  <c r="N170" i="51"/>
  <c r="O170" i="51"/>
  <c r="P170" i="51"/>
  <c r="Q170" i="51"/>
  <c r="L171" i="51"/>
  <c r="N171" i="51"/>
  <c r="O171" i="51"/>
  <c r="P171" i="51"/>
  <c r="Q171" i="51"/>
  <c r="L172" i="51"/>
  <c r="N172" i="51"/>
  <c r="O172" i="51"/>
  <c r="P172" i="51"/>
  <c r="Q172" i="51"/>
  <c r="L173" i="51"/>
  <c r="N173" i="51"/>
  <c r="O173" i="51"/>
  <c r="P173" i="51"/>
  <c r="Q173" i="51"/>
  <c r="L174" i="51"/>
  <c r="N174" i="51"/>
  <c r="O174" i="51"/>
  <c r="P174" i="51"/>
  <c r="Q174" i="51"/>
  <c r="L175" i="51"/>
  <c r="N175" i="51"/>
  <c r="O175" i="51"/>
  <c r="P175" i="51"/>
  <c r="Q175" i="51"/>
  <c r="L176" i="51"/>
  <c r="N176" i="51"/>
  <c r="O176" i="51"/>
  <c r="P176" i="51"/>
  <c r="Q176" i="51"/>
  <c r="L177" i="51"/>
  <c r="N177" i="51"/>
  <c r="O177" i="51"/>
  <c r="P177" i="51"/>
  <c r="Q177" i="51"/>
  <c r="L178" i="51"/>
  <c r="N178" i="51"/>
  <c r="O178" i="51"/>
  <c r="P178" i="51"/>
  <c r="Q178" i="51"/>
  <c r="L179" i="51"/>
  <c r="N179" i="51"/>
  <c r="O179" i="51"/>
  <c r="P179" i="51"/>
  <c r="Q179" i="51"/>
  <c r="L180" i="51"/>
  <c r="N180" i="51"/>
  <c r="O180" i="51"/>
  <c r="P180" i="51"/>
  <c r="Q180" i="51"/>
  <c r="L181" i="51"/>
  <c r="N181" i="51"/>
  <c r="O181" i="51"/>
  <c r="P181" i="51"/>
  <c r="Q181" i="51"/>
  <c r="L182" i="51"/>
  <c r="N182" i="51"/>
  <c r="O182" i="51"/>
  <c r="P182" i="51"/>
  <c r="Q182" i="51"/>
  <c r="L183" i="51"/>
  <c r="N183" i="51"/>
  <c r="O183" i="51"/>
  <c r="P183" i="51"/>
  <c r="Q183" i="51"/>
  <c r="L184" i="51"/>
  <c r="N184" i="51"/>
  <c r="O184" i="51"/>
  <c r="P184" i="51"/>
  <c r="Q184" i="51"/>
  <c r="L185" i="51"/>
  <c r="N185" i="51"/>
  <c r="O185" i="51"/>
  <c r="P185" i="51"/>
  <c r="Q185" i="51"/>
  <c r="L186" i="51"/>
  <c r="N186" i="51"/>
  <c r="O186" i="51"/>
  <c r="P186" i="51"/>
  <c r="Q186" i="51"/>
  <c r="L187" i="51"/>
  <c r="N187" i="51"/>
  <c r="O187" i="51"/>
  <c r="P187" i="51"/>
  <c r="Q187" i="51"/>
  <c r="L188" i="51"/>
  <c r="N188" i="51"/>
  <c r="O188" i="51"/>
  <c r="P188" i="51"/>
  <c r="Q188" i="51"/>
  <c r="L189" i="51"/>
  <c r="N189" i="51"/>
  <c r="O189" i="51"/>
  <c r="P189" i="51"/>
  <c r="Q189" i="51"/>
  <c r="L190" i="51"/>
  <c r="N190" i="51"/>
  <c r="O190" i="51"/>
  <c r="P190" i="51"/>
  <c r="Q190" i="51"/>
  <c r="L191" i="51"/>
  <c r="N191" i="51"/>
  <c r="O191" i="51"/>
  <c r="P191" i="51"/>
  <c r="Q191" i="51"/>
  <c r="L192" i="51"/>
  <c r="N192" i="51"/>
  <c r="O192" i="51"/>
  <c r="P192" i="51"/>
  <c r="Q192" i="51"/>
  <c r="L193" i="51"/>
  <c r="N193" i="51"/>
  <c r="O193" i="51"/>
  <c r="P193" i="51"/>
  <c r="Q193" i="51"/>
  <c r="L194" i="51"/>
  <c r="N194" i="51"/>
  <c r="O194" i="51"/>
  <c r="P194" i="51"/>
  <c r="Q194" i="51"/>
  <c r="L195" i="51"/>
  <c r="N195" i="51"/>
  <c r="O195" i="51"/>
  <c r="P195" i="51"/>
  <c r="Q195" i="51"/>
  <c r="L196" i="51"/>
  <c r="N196" i="51"/>
  <c r="O196" i="51"/>
  <c r="P196" i="51"/>
  <c r="Q196" i="51"/>
  <c r="L197" i="51"/>
  <c r="N197" i="51"/>
  <c r="O197" i="51"/>
  <c r="P197" i="51"/>
  <c r="Q197" i="51"/>
  <c r="L198" i="51"/>
  <c r="N198" i="51"/>
  <c r="O198" i="51"/>
  <c r="P198" i="51"/>
  <c r="Q198" i="51"/>
  <c r="L199" i="51"/>
  <c r="N199" i="51"/>
  <c r="O199" i="51"/>
  <c r="P199" i="51"/>
  <c r="Q199" i="51"/>
  <c r="L200" i="51"/>
  <c r="N200" i="51"/>
  <c r="O200" i="51"/>
  <c r="P200" i="51"/>
  <c r="Q200" i="51"/>
  <c r="L201" i="51"/>
  <c r="N201" i="51"/>
  <c r="O201" i="51"/>
  <c r="P201" i="51"/>
  <c r="Q201" i="51"/>
  <c r="L202" i="51"/>
  <c r="N202" i="51"/>
  <c r="O202" i="51"/>
  <c r="P202" i="51"/>
  <c r="Q202" i="51"/>
  <c r="L203" i="51"/>
  <c r="N203" i="51"/>
  <c r="O203" i="51"/>
  <c r="P203" i="51"/>
  <c r="Q203" i="51"/>
  <c r="L204" i="51"/>
  <c r="N204" i="51"/>
  <c r="O204" i="51"/>
  <c r="P204" i="51"/>
  <c r="Q204" i="51"/>
  <c r="L205" i="51"/>
  <c r="N205" i="51"/>
  <c r="O205" i="51"/>
  <c r="P205" i="51"/>
  <c r="Q205" i="51"/>
  <c r="L206" i="51"/>
  <c r="N206" i="51"/>
  <c r="O206" i="51"/>
  <c r="P206" i="51"/>
  <c r="Q206" i="51"/>
  <c r="L207" i="51"/>
  <c r="N207" i="51"/>
  <c r="O207" i="51"/>
  <c r="P207" i="51"/>
  <c r="Q207" i="51"/>
  <c r="L208" i="51"/>
  <c r="N208" i="51"/>
  <c r="O208" i="51"/>
  <c r="P208" i="51"/>
  <c r="Q208" i="51"/>
  <c r="L209" i="51"/>
  <c r="N209" i="51"/>
  <c r="O209" i="51"/>
  <c r="P209" i="51"/>
  <c r="Q209" i="51"/>
  <c r="L210" i="51"/>
  <c r="N210" i="51"/>
  <c r="O210" i="51"/>
  <c r="P210" i="51"/>
  <c r="Q210" i="51"/>
  <c r="L211" i="51"/>
  <c r="N211" i="51"/>
  <c r="O211" i="51"/>
  <c r="P211" i="51"/>
  <c r="Q211" i="51"/>
  <c r="L212" i="51"/>
  <c r="N212" i="51"/>
  <c r="O212" i="51"/>
  <c r="P212" i="51"/>
  <c r="Q212" i="51"/>
  <c r="L213" i="51"/>
  <c r="N213" i="51"/>
  <c r="O213" i="51"/>
  <c r="P213" i="51"/>
  <c r="Q213" i="51"/>
  <c r="L214" i="51"/>
  <c r="N214" i="51"/>
  <c r="O214" i="51"/>
  <c r="P214" i="51"/>
  <c r="Q214" i="51"/>
  <c r="L215" i="51"/>
  <c r="N215" i="51"/>
  <c r="O215" i="51"/>
  <c r="P215" i="51"/>
  <c r="Q215" i="51"/>
  <c r="L216" i="51"/>
  <c r="N216" i="51"/>
  <c r="O216" i="51"/>
  <c r="P216" i="51"/>
  <c r="Q216" i="51"/>
  <c r="L217" i="51"/>
  <c r="N217" i="51"/>
  <c r="O217" i="51"/>
  <c r="P217" i="51"/>
  <c r="Q217" i="51"/>
  <c r="L218" i="51"/>
  <c r="N218" i="51"/>
  <c r="O218" i="51"/>
  <c r="P218" i="51"/>
  <c r="Q218" i="51"/>
  <c r="L219" i="51"/>
  <c r="N219" i="51"/>
  <c r="O219" i="51"/>
  <c r="P219" i="51"/>
  <c r="Q219" i="51"/>
  <c r="L220" i="51"/>
  <c r="N220" i="51"/>
  <c r="O220" i="51"/>
  <c r="P220" i="51"/>
  <c r="Q220" i="51"/>
  <c r="L221" i="51"/>
  <c r="N221" i="51"/>
  <c r="O221" i="51"/>
  <c r="P221" i="51"/>
  <c r="Q221" i="51"/>
  <c r="L222" i="51"/>
  <c r="N222" i="51"/>
  <c r="O222" i="51"/>
  <c r="P222" i="51"/>
  <c r="Q222" i="51"/>
  <c r="L223" i="51"/>
  <c r="N223" i="51"/>
  <c r="O223" i="51"/>
  <c r="P223" i="51"/>
  <c r="Q223" i="51"/>
  <c r="L224" i="51"/>
  <c r="N224" i="51"/>
  <c r="O224" i="51"/>
  <c r="P224" i="51"/>
  <c r="Q224" i="51"/>
  <c r="L225" i="51"/>
  <c r="N225" i="51"/>
  <c r="O225" i="51"/>
  <c r="P225" i="51"/>
  <c r="Q225" i="51"/>
  <c r="L226" i="51"/>
  <c r="N226" i="51"/>
  <c r="O226" i="51"/>
  <c r="P226" i="51"/>
  <c r="Q226" i="51"/>
  <c r="L227" i="51"/>
  <c r="N227" i="51"/>
  <c r="O227" i="51"/>
  <c r="P227" i="51"/>
  <c r="Q227" i="51"/>
  <c r="L228" i="51"/>
  <c r="N228" i="51"/>
  <c r="O228" i="51"/>
  <c r="P228" i="51"/>
  <c r="Q228" i="51"/>
  <c r="L229" i="51"/>
  <c r="N229" i="51"/>
  <c r="O229" i="51"/>
  <c r="P229" i="51"/>
  <c r="Q229" i="51"/>
  <c r="L230" i="51"/>
  <c r="N230" i="51"/>
  <c r="O230" i="51"/>
  <c r="P230" i="51"/>
  <c r="Q230" i="51"/>
  <c r="L231" i="51"/>
  <c r="N231" i="51"/>
  <c r="O231" i="51"/>
  <c r="P231" i="51"/>
  <c r="Q231" i="51"/>
  <c r="L232" i="51"/>
  <c r="N232" i="51"/>
  <c r="O232" i="51"/>
  <c r="P232" i="51"/>
  <c r="Q232" i="51"/>
  <c r="L233" i="51"/>
  <c r="N233" i="51"/>
  <c r="O233" i="51"/>
  <c r="P233" i="51"/>
  <c r="Q233" i="51"/>
  <c r="L234" i="51"/>
  <c r="N234" i="51"/>
  <c r="O234" i="51"/>
  <c r="P234" i="51"/>
  <c r="Q234" i="51"/>
  <c r="L235" i="51"/>
  <c r="N235" i="51"/>
  <c r="O235" i="51"/>
  <c r="P235" i="51"/>
  <c r="Q235" i="51"/>
  <c r="L236" i="51"/>
  <c r="N236" i="51"/>
  <c r="O236" i="51"/>
  <c r="P236" i="51"/>
  <c r="Q236" i="51"/>
  <c r="L237" i="51"/>
  <c r="N237" i="51"/>
  <c r="O237" i="51"/>
  <c r="P237" i="51"/>
  <c r="Q237" i="51"/>
  <c r="L238" i="51"/>
  <c r="N238" i="51"/>
  <c r="O238" i="51"/>
  <c r="P238" i="51"/>
  <c r="Q238" i="51"/>
  <c r="L239" i="51"/>
  <c r="N239" i="51"/>
  <c r="O239" i="51"/>
  <c r="P239" i="51"/>
  <c r="Q239" i="51"/>
  <c r="L240" i="51"/>
  <c r="N240" i="51"/>
  <c r="O240" i="51"/>
  <c r="P240" i="51"/>
  <c r="Q240" i="51"/>
  <c r="L241" i="51"/>
  <c r="N241" i="51"/>
  <c r="O241" i="51"/>
  <c r="P241" i="51"/>
  <c r="Q241" i="51"/>
  <c r="L242" i="51"/>
  <c r="N242" i="51"/>
  <c r="O242" i="51"/>
  <c r="P242" i="51"/>
  <c r="Q242" i="51"/>
  <c r="L243" i="51"/>
  <c r="N243" i="51"/>
  <c r="O243" i="51"/>
  <c r="P243" i="51"/>
  <c r="Q243" i="51"/>
  <c r="L244" i="51"/>
  <c r="N244" i="51"/>
  <c r="O244" i="51"/>
  <c r="P244" i="51"/>
  <c r="Q244" i="51"/>
  <c r="L245" i="51"/>
  <c r="N245" i="51"/>
  <c r="O245" i="51"/>
  <c r="P245" i="51"/>
  <c r="Q245" i="51"/>
  <c r="L246" i="51"/>
  <c r="N246" i="51"/>
  <c r="O246" i="51"/>
  <c r="P246" i="51"/>
  <c r="Q246" i="51"/>
  <c r="L247" i="51"/>
  <c r="N247" i="51"/>
  <c r="O247" i="51"/>
  <c r="P247" i="51"/>
  <c r="Q247" i="51"/>
  <c r="L248" i="51"/>
  <c r="N248" i="51"/>
  <c r="O248" i="51"/>
  <c r="P248" i="51"/>
  <c r="Q248" i="51"/>
  <c r="L249" i="51"/>
  <c r="N249" i="51"/>
  <c r="O249" i="51"/>
  <c r="P249" i="51"/>
  <c r="Q249" i="51"/>
  <c r="L250" i="51"/>
  <c r="N250" i="51"/>
  <c r="O250" i="51"/>
  <c r="P250" i="51"/>
  <c r="Q250" i="51"/>
  <c r="L251" i="51"/>
  <c r="N251" i="51"/>
  <c r="O251" i="51"/>
  <c r="P251" i="51"/>
  <c r="Q251" i="51"/>
  <c r="L252" i="51"/>
  <c r="N252" i="51"/>
  <c r="O252" i="51"/>
  <c r="P252" i="51"/>
  <c r="Q252" i="51"/>
  <c r="L253" i="51"/>
  <c r="N253" i="51"/>
  <c r="O253" i="51"/>
  <c r="P253" i="51"/>
  <c r="Q253" i="51"/>
  <c r="L254" i="51"/>
  <c r="N254" i="51"/>
  <c r="O254" i="51"/>
  <c r="P254" i="51"/>
  <c r="Q254" i="51"/>
  <c r="L255" i="51"/>
  <c r="N255" i="51"/>
  <c r="O255" i="51"/>
  <c r="P255" i="51"/>
  <c r="Q255" i="51"/>
  <c r="L256" i="51"/>
  <c r="N256" i="51"/>
  <c r="O256" i="51"/>
  <c r="P256" i="51"/>
  <c r="Q256" i="51"/>
  <c r="L257" i="51"/>
  <c r="N257" i="51"/>
  <c r="O257" i="51"/>
  <c r="P257" i="51"/>
  <c r="Q257" i="51"/>
  <c r="L258" i="51"/>
  <c r="N258" i="51"/>
  <c r="O258" i="51"/>
  <c r="P258" i="51"/>
  <c r="Q258" i="51"/>
  <c r="L259" i="51"/>
  <c r="N259" i="51"/>
  <c r="O259" i="51"/>
  <c r="P259" i="51"/>
  <c r="Q259" i="51"/>
  <c r="L260" i="51"/>
  <c r="N260" i="51"/>
  <c r="O260" i="51"/>
  <c r="P260" i="51"/>
  <c r="Q260" i="51"/>
  <c r="L261" i="51"/>
  <c r="N261" i="51"/>
  <c r="O261" i="51"/>
  <c r="P261" i="51"/>
  <c r="Q261" i="51"/>
  <c r="L262" i="51"/>
  <c r="N262" i="51"/>
  <c r="O262" i="51"/>
  <c r="P262" i="51"/>
  <c r="Q262" i="51"/>
  <c r="L263" i="51"/>
  <c r="N263" i="51"/>
  <c r="O263" i="51"/>
  <c r="P263" i="51"/>
  <c r="Q263" i="51"/>
  <c r="L264" i="51"/>
  <c r="N264" i="51"/>
  <c r="O264" i="51"/>
  <c r="P264" i="51"/>
  <c r="Q264" i="51"/>
  <c r="L265" i="51"/>
  <c r="N265" i="51"/>
  <c r="O265" i="51"/>
  <c r="P265" i="51"/>
  <c r="Q265" i="51"/>
  <c r="L266" i="51"/>
  <c r="N266" i="51"/>
  <c r="O266" i="51"/>
  <c r="P266" i="51"/>
  <c r="Q266" i="51"/>
  <c r="L267" i="51"/>
  <c r="N267" i="51"/>
  <c r="O267" i="51"/>
  <c r="P267" i="51"/>
  <c r="Q267" i="51"/>
  <c r="L268" i="51"/>
  <c r="N268" i="51"/>
  <c r="O268" i="51"/>
  <c r="P268" i="51"/>
  <c r="Q268" i="51"/>
  <c r="L269" i="51"/>
  <c r="N269" i="51"/>
  <c r="O269" i="51"/>
  <c r="P269" i="51"/>
  <c r="Q269" i="51"/>
  <c r="L270" i="51"/>
  <c r="N270" i="51"/>
  <c r="O270" i="51"/>
  <c r="P270" i="51"/>
  <c r="Q270" i="51"/>
  <c r="L271" i="51"/>
  <c r="N271" i="51"/>
  <c r="O271" i="51"/>
  <c r="P271" i="51"/>
  <c r="Q271" i="51"/>
  <c r="L272" i="51"/>
  <c r="N272" i="51"/>
  <c r="O272" i="51"/>
  <c r="P272" i="51"/>
  <c r="Q272" i="51"/>
  <c r="L273" i="51"/>
  <c r="N273" i="51"/>
  <c r="O273" i="51"/>
  <c r="P273" i="51"/>
  <c r="Q273" i="51"/>
  <c r="L274" i="51"/>
  <c r="N274" i="51"/>
  <c r="O274" i="51"/>
  <c r="P274" i="51"/>
  <c r="Q274" i="51"/>
  <c r="L275" i="51"/>
  <c r="N275" i="51"/>
  <c r="O275" i="51"/>
  <c r="P275" i="51"/>
  <c r="Q275" i="51"/>
  <c r="L276" i="51"/>
  <c r="N276" i="51"/>
  <c r="O276" i="51"/>
  <c r="P276" i="51"/>
  <c r="Q276" i="51"/>
  <c r="L277" i="51"/>
  <c r="N277" i="51"/>
  <c r="O277" i="51"/>
  <c r="P277" i="51"/>
  <c r="Q277" i="51"/>
  <c r="L278" i="51"/>
  <c r="N278" i="51"/>
  <c r="O278" i="51"/>
  <c r="P278" i="51"/>
  <c r="Q278" i="51"/>
  <c r="L279" i="51"/>
  <c r="N279" i="51"/>
  <c r="O279" i="51"/>
  <c r="P279" i="51"/>
  <c r="Q279" i="51"/>
  <c r="L280" i="51"/>
  <c r="N280" i="51"/>
  <c r="O280" i="51"/>
  <c r="P280" i="51"/>
  <c r="Q280" i="51"/>
  <c r="L281" i="51"/>
  <c r="N281" i="51"/>
  <c r="O281" i="51"/>
  <c r="P281" i="51"/>
  <c r="Q281" i="51"/>
  <c r="L282" i="51"/>
  <c r="N282" i="51"/>
  <c r="O282" i="51"/>
  <c r="P282" i="51"/>
  <c r="Q282" i="51"/>
  <c r="L283" i="51"/>
  <c r="N283" i="51"/>
  <c r="O283" i="51"/>
  <c r="P283" i="51"/>
  <c r="Q283" i="51"/>
  <c r="L284" i="51"/>
  <c r="N284" i="51"/>
  <c r="O284" i="51"/>
  <c r="P284" i="51"/>
  <c r="Q284" i="51"/>
  <c r="L285" i="51"/>
  <c r="N285" i="51"/>
  <c r="O285" i="51"/>
  <c r="P285" i="51"/>
  <c r="Q285" i="51"/>
  <c r="L286" i="51"/>
  <c r="N286" i="51"/>
  <c r="O286" i="51"/>
  <c r="P286" i="51"/>
  <c r="Q286" i="51"/>
  <c r="L287" i="51"/>
  <c r="N287" i="51"/>
  <c r="O287" i="51"/>
  <c r="P287" i="51"/>
  <c r="Q287" i="51"/>
  <c r="L288" i="51"/>
  <c r="N288" i="51"/>
  <c r="O288" i="51"/>
  <c r="P288" i="51"/>
  <c r="Q288" i="51"/>
  <c r="L289" i="51"/>
  <c r="N289" i="51"/>
  <c r="O289" i="51"/>
  <c r="P289" i="51"/>
  <c r="Q289" i="51"/>
  <c r="L290" i="51"/>
  <c r="N290" i="51"/>
  <c r="O290" i="51"/>
  <c r="P290" i="51"/>
  <c r="Q290" i="51"/>
  <c r="L291" i="51"/>
  <c r="N291" i="51"/>
  <c r="O291" i="51"/>
  <c r="P291" i="51"/>
  <c r="Q291" i="51"/>
  <c r="L292" i="51"/>
  <c r="N292" i="51"/>
  <c r="O292" i="51"/>
  <c r="P292" i="51"/>
  <c r="Q292" i="51"/>
  <c r="L293" i="51"/>
  <c r="N293" i="51"/>
  <c r="O293" i="51"/>
  <c r="P293" i="51"/>
  <c r="Q293" i="51"/>
  <c r="L294" i="51"/>
  <c r="N294" i="51"/>
  <c r="O294" i="51"/>
  <c r="P294" i="51"/>
  <c r="Q294" i="51"/>
  <c r="L295" i="51"/>
  <c r="N295" i="51"/>
  <c r="O295" i="51"/>
  <c r="P295" i="51"/>
  <c r="Q295" i="51"/>
  <c r="L296" i="51"/>
  <c r="N296" i="51"/>
  <c r="O296" i="51"/>
  <c r="P296" i="51"/>
  <c r="Q296" i="51"/>
  <c r="L297" i="51"/>
  <c r="N297" i="51"/>
  <c r="O297" i="51"/>
  <c r="P297" i="51"/>
  <c r="Q297" i="51"/>
  <c r="L298" i="51"/>
  <c r="N298" i="51"/>
  <c r="O298" i="51"/>
  <c r="P298" i="51"/>
  <c r="Q298" i="51"/>
  <c r="L299" i="51"/>
  <c r="N299" i="51"/>
  <c r="O299" i="51"/>
  <c r="P299" i="51"/>
  <c r="Q299" i="51"/>
  <c r="L300" i="51"/>
  <c r="N300" i="51"/>
  <c r="O300" i="51"/>
  <c r="P300" i="51"/>
  <c r="Q300" i="51"/>
  <c r="L301" i="51"/>
  <c r="N301" i="51"/>
  <c r="O301" i="51"/>
  <c r="P301" i="51"/>
  <c r="Q301" i="51"/>
  <c r="L302" i="51"/>
  <c r="N302" i="51"/>
  <c r="O302" i="51"/>
  <c r="P302" i="51"/>
  <c r="Q302" i="51"/>
  <c r="L303" i="51"/>
  <c r="N303" i="51"/>
  <c r="O303" i="51"/>
  <c r="P303" i="51"/>
  <c r="Q303" i="51"/>
  <c r="L304" i="51"/>
  <c r="N304" i="51"/>
  <c r="O304" i="51"/>
  <c r="P304" i="51"/>
  <c r="Q304" i="51"/>
  <c r="L305" i="51"/>
  <c r="N305" i="51"/>
  <c r="O305" i="51"/>
  <c r="P305" i="51"/>
  <c r="Q305" i="51"/>
  <c r="L306" i="51"/>
  <c r="N306" i="51"/>
  <c r="O306" i="51"/>
  <c r="P306" i="51"/>
  <c r="Q306" i="51"/>
  <c r="L307" i="51"/>
  <c r="N307" i="51"/>
  <c r="O307" i="51"/>
  <c r="P307" i="51"/>
  <c r="Q307" i="51"/>
  <c r="L308" i="51"/>
  <c r="N308" i="51"/>
  <c r="O308" i="51"/>
  <c r="P308" i="51"/>
  <c r="Q308" i="51"/>
  <c r="L309" i="51"/>
  <c r="N309" i="51"/>
  <c r="O309" i="51"/>
  <c r="P309" i="51"/>
  <c r="Q309" i="51"/>
  <c r="L310" i="51"/>
  <c r="N310" i="51"/>
  <c r="O310" i="51"/>
  <c r="P310" i="51"/>
  <c r="Q310" i="51"/>
  <c r="L311" i="51"/>
  <c r="N311" i="51"/>
  <c r="O311" i="51"/>
  <c r="P311" i="51"/>
  <c r="Q311" i="51"/>
  <c r="L312" i="51"/>
  <c r="N312" i="51"/>
  <c r="O312" i="51"/>
  <c r="P312" i="51"/>
  <c r="Q312" i="51"/>
  <c r="L313" i="51"/>
  <c r="N313" i="51"/>
  <c r="O313" i="51"/>
  <c r="P313" i="51"/>
  <c r="Q313" i="51"/>
  <c r="L314" i="51"/>
  <c r="N314" i="51"/>
  <c r="O314" i="51"/>
  <c r="P314" i="51"/>
  <c r="Q314" i="51"/>
  <c r="L315" i="51"/>
  <c r="N315" i="51"/>
  <c r="O315" i="51"/>
  <c r="P315" i="51"/>
  <c r="Q315" i="51"/>
  <c r="L316" i="51"/>
  <c r="N316" i="51"/>
  <c r="O316" i="51"/>
  <c r="P316" i="51"/>
  <c r="Q316" i="51"/>
  <c r="L317" i="51"/>
  <c r="N317" i="51"/>
  <c r="O317" i="51"/>
  <c r="P317" i="51"/>
  <c r="Q317" i="51"/>
  <c r="L318" i="51"/>
  <c r="N318" i="51"/>
  <c r="O318" i="51"/>
  <c r="P318" i="51"/>
  <c r="Q318" i="51"/>
  <c r="L319" i="51"/>
  <c r="N319" i="51"/>
  <c r="O319" i="51"/>
  <c r="P319" i="51"/>
  <c r="Q319" i="51"/>
  <c r="L320" i="51"/>
  <c r="N320" i="51"/>
  <c r="O320" i="51"/>
  <c r="P320" i="51"/>
  <c r="Q320" i="51"/>
  <c r="L321" i="51"/>
  <c r="N321" i="51"/>
  <c r="O321" i="51"/>
  <c r="P321" i="51"/>
  <c r="Q321" i="51"/>
  <c r="L322" i="51"/>
  <c r="N322" i="51"/>
  <c r="O322" i="51"/>
  <c r="P322" i="51"/>
  <c r="Q322" i="51"/>
  <c r="L323" i="51"/>
  <c r="N323" i="51"/>
  <c r="O323" i="51"/>
  <c r="P323" i="51"/>
  <c r="Q323" i="51"/>
  <c r="L324" i="51"/>
  <c r="N324" i="51"/>
  <c r="O324" i="51"/>
  <c r="P324" i="51"/>
  <c r="Q324" i="51"/>
  <c r="L325" i="51"/>
  <c r="N325" i="51"/>
  <c r="O325" i="51"/>
  <c r="P325" i="51"/>
  <c r="Q325" i="51"/>
  <c r="L326" i="51"/>
  <c r="N326" i="51"/>
  <c r="O326" i="51"/>
  <c r="P326" i="51"/>
  <c r="Q326" i="51"/>
  <c r="L327" i="51"/>
  <c r="N327" i="51"/>
  <c r="O327" i="51"/>
  <c r="P327" i="51"/>
  <c r="Q327" i="51"/>
  <c r="L328" i="51"/>
  <c r="N328" i="51"/>
  <c r="O328" i="51"/>
  <c r="P328" i="51"/>
  <c r="Q328" i="51"/>
  <c r="L329" i="51"/>
  <c r="N329" i="51"/>
  <c r="O329" i="51"/>
  <c r="P329" i="51"/>
  <c r="Q329" i="51"/>
  <c r="L330" i="51"/>
  <c r="N330" i="51"/>
  <c r="O330" i="51"/>
  <c r="P330" i="51"/>
  <c r="Q330" i="51"/>
  <c r="L331" i="51"/>
  <c r="N331" i="51"/>
  <c r="O331" i="51"/>
  <c r="P331" i="51"/>
  <c r="Q331" i="51"/>
  <c r="L332" i="51"/>
  <c r="N332" i="51"/>
  <c r="O332" i="51"/>
  <c r="P332" i="51"/>
  <c r="Q332" i="51"/>
  <c r="L333" i="51"/>
  <c r="N333" i="51"/>
  <c r="O333" i="51"/>
  <c r="P333" i="51"/>
  <c r="Q333" i="51"/>
  <c r="L334" i="51"/>
  <c r="N334" i="51"/>
  <c r="O334" i="51"/>
  <c r="P334" i="51"/>
  <c r="Q334" i="51"/>
  <c r="L335" i="51"/>
  <c r="N335" i="51"/>
  <c r="O335" i="51"/>
  <c r="P335" i="51"/>
  <c r="Q335" i="51"/>
  <c r="L336" i="51"/>
  <c r="N336" i="51"/>
  <c r="O336" i="51"/>
  <c r="P336" i="51"/>
  <c r="Q336" i="51"/>
  <c r="L337" i="51"/>
  <c r="N337" i="51"/>
  <c r="O337" i="51"/>
  <c r="P337" i="51"/>
  <c r="Q337" i="51"/>
  <c r="L338" i="51"/>
  <c r="N338" i="51"/>
  <c r="O338" i="51"/>
  <c r="P338" i="51"/>
  <c r="Q338" i="51"/>
  <c r="L339" i="51"/>
  <c r="N339" i="51"/>
  <c r="O339" i="51"/>
  <c r="P339" i="51"/>
  <c r="Q339" i="51"/>
  <c r="L340" i="51"/>
  <c r="N340" i="51"/>
  <c r="O340" i="51"/>
  <c r="P340" i="51"/>
  <c r="Q340" i="51"/>
  <c r="L341" i="51"/>
  <c r="N341" i="51"/>
  <c r="O341" i="51"/>
  <c r="P341" i="51"/>
  <c r="Q341" i="51"/>
  <c r="L342" i="51"/>
  <c r="N342" i="51"/>
  <c r="O342" i="51"/>
  <c r="P342" i="51"/>
  <c r="Q342" i="51"/>
  <c r="L343" i="51"/>
  <c r="N343" i="51"/>
  <c r="O343" i="51"/>
  <c r="P343" i="51"/>
  <c r="Q343" i="51"/>
  <c r="L344" i="51"/>
  <c r="N344" i="51"/>
  <c r="O344" i="51"/>
  <c r="P344" i="51"/>
  <c r="Q344" i="51"/>
  <c r="L345" i="51"/>
  <c r="N345" i="51"/>
  <c r="O345" i="51"/>
  <c r="P345" i="51"/>
  <c r="Q345" i="51"/>
  <c r="L346" i="51"/>
  <c r="N346" i="51"/>
  <c r="O346" i="51"/>
  <c r="P346" i="51"/>
  <c r="Q346" i="51"/>
  <c r="L347" i="51"/>
  <c r="N347" i="51"/>
  <c r="O347" i="51"/>
  <c r="P347" i="51"/>
  <c r="Q347" i="51"/>
  <c r="L348" i="51"/>
  <c r="N348" i="51"/>
  <c r="O348" i="51"/>
  <c r="P348" i="51"/>
  <c r="Q348" i="51"/>
  <c r="L349" i="51"/>
  <c r="N349" i="51"/>
  <c r="O349" i="51"/>
  <c r="P349" i="51"/>
  <c r="Q349" i="51"/>
  <c r="L350" i="51"/>
  <c r="N350" i="51"/>
  <c r="O350" i="51"/>
  <c r="P350" i="51"/>
  <c r="Q350" i="51"/>
  <c r="L351" i="51"/>
  <c r="N351" i="51"/>
  <c r="O351" i="51"/>
  <c r="P351" i="51"/>
  <c r="Q351" i="51"/>
  <c r="L352" i="51"/>
  <c r="N352" i="51"/>
  <c r="O352" i="51"/>
  <c r="P352" i="51"/>
  <c r="Q352" i="51"/>
  <c r="L353" i="51"/>
  <c r="N353" i="51"/>
  <c r="O353" i="51"/>
  <c r="P353" i="51"/>
  <c r="Q353" i="51"/>
  <c r="L354" i="51"/>
  <c r="N354" i="51"/>
  <c r="O354" i="51"/>
  <c r="P354" i="51"/>
  <c r="Q354" i="51"/>
  <c r="L355" i="51"/>
  <c r="N355" i="51"/>
  <c r="O355" i="51"/>
  <c r="P355" i="51"/>
  <c r="Q355" i="51"/>
  <c r="L356" i="51"/>
  <c r="N356" i="51"/>
  <c r="O356" i="51"/>
  <c r="P356" i="51"/>
  <c r="Q356" i="51"/>
  <c r="L357" i="51"/>
  <c r="N357" i="51"/>
  <c r="O357" i="51"/>
  <c r="P357" i="51"/>
  <c r="Q357" i="51"/>
  <c r="L358" i="51"/>
  <c r="N358" i="51"/>
  <c r="O358" i="51"/>
  <c r="P358" i="51"/>
  <c r="Q358" i="51"/>
  <c r="L359" i="51"/>
  <c r="N359" i="51"/>
  <c r="O359" i="51"/>
  <c r="P359" i="51"/>
  <c r="Q359" i="51"/>
  <c r="L360" i="51"/>
  <c r="N360" i="51"/>
  <c r="O360" i="51"/>
  <c r="P360" i="51"/>
  <c r="Q360" i="51"/>
  <c r="L361" i="51"/>
  <c r="N361" i="51"/>
  <c r="O361" i="51"/>
  <c r="P361" i="51"/>
  <c r="Q361" i="51"/>
  <c r="L362" i="51"/>
  <c r="N362" i="51"/>
  <c r="O362" i="51"/>
  <c r="P362" i="51"/>
  <c r="Q362" i="51"/>
  <c r="L363" i="51"/>
  <c r="N363" i="51"/>
  <c r="O363" i="51"/>
  <c r="P363" i="51"/>
  <c r="Q363" i="51"/>
  <c r="L364" i="51"/>
  <c r="N364" i="51"/>
  <c r="O364" i="51"/>
  <c r="P364" i="51"/>
  <c r="Q364" i="51"/>
  <c r="L365" i="51"/>
  <c r="N365" i="51"/>
  <c r="O365" i="51"/>
  <c r="P365" i="51"/>
  <c r="Q365" i="51"/>
  <c r="L366" i="51"/>
  <c r="N366" i="51"/>
  <c r="O366" i="51"/>
  <c r="P366" i="51"/>
  <c r="Q366" i="51"/>
  <c r="L367" i="51"/>
  <c r="N367" i="51"/>
  <c r="O367" i="51"/>
  <c r="P367" i="51"/>
  <c r="Q367" i="51"/>
  <c r="L368" i="51"/>
  <c r="N368" i="51"/>
  <c r="O368" i="51"/>
  <c r="P368" i="51"/>
  <c r="Q368" i="51"/>
  <c r="L369" i="51"/>
  <c r="N369" i="51"/>
  <c r="O369" i="51"/>
  <c r="P369" i="51"/>
  <c r="Q369" i="51"/>
  <c r="L370" i="51"/>
  <c r="N370" i="51"/>
  <c r="O370" i="51"/>
  <c r="P370" i="51"/>
  <c r="Q370" i="51"/>
  <c r="L371" i="51"/>
  <c r="N371" i="51"/>
  <c r="O371" i="51"/>
  <c r="P371" i="51"/>
  <c r="Q371" i="51"/>
  <c r="L372" i="51"/>
  <c r="N372" i="51"/>
  <c r="O372" i="51"/>
  <c r="P372" i="51"/>
  <c r="Q372" i="51"/>
  <c r="L373" i="51"/>
  <c r="N373" i="51"/>
  <c r="O373" i="51"/>
  <c r="P373" i="51"/>
  <c r="Q373" i="51"/>
  <c r="L374" i="51"/>
  <c r="N374" i="51"/>
  <c r="O374" i="51"/>
  <c r="P374" i="51"/>
  <c r="Q374" i="51"/>
  <c r="L375" i="51"/>
  <c r="N375" i="51"/>
  <c r="O375" i="51"/>
  <c r="P375" i="51"/>
  <c r="Q375" i="51"/>
  <c r="L376" i="51"/>
  <c r="N376" i="51"/>
  <c r="O376" i="51"/>
  <c r="P376" i="51"/>
  <c r="Q376" i="51"/>
  <c r="L377" i="51"/>
  <c r="N377" i="51"/>
  <c r="O377" i="51"/>
  <c r="P377" i="51"/>
  <c r="Q377" i="51"/>
  <c r="L378" i="51"/>
  <c r="N378" i="51"/>
  <c r="O378" i="51"/>
  <c r="P378" i="51"/>
  <c r="Q378" i="51"/>
  <c r="L379" i="51"/>
  <c r="N379" i="51"/>
  <c r="O379" i="51"/>
  <c r="P379" i="51"/>
  <c r="Q379" i="51"/>
  <c r="L380" i="51"/>
  <c r="N380" i="51"/>
  <c r="O380" i="51"/>
  <c r="P380" i="51"/>
  <c r="Q380" i="51"/>
  <c r="L381" i="51"/>
  <c r="N381" i="51"/>
  <c r="O381" i="51"/>
  <c r="P381" i="51"/>
  <c r="Q381" i="51"/>
  <c r="L382" i="51"/>
  <c r="N382" i="51"/>
  <c r="O382" i="51"/>
  <c r="P382" i="51"/>
  <c r="Q382" i="51"/>
  <c r="L383" i="51"/>
  <c r="N383" i="51"/>
  <c r="O383" i="51"/>
  <c r="P383" i="51"/>
  <c r="Q383" i="51"/>
  <c r="L384" i="51"/>
  <c r="N384" i="51"/>
  <c r="O384" i="51"/>
  <c r="P384" i="51"/>
  <c r="Q384" i="51"/>
  <c r="L385" i="51"/>
  <c r="N385" i="51"/>
  <c r="O385" i="51"/>
  <c r="P385" i="51"/>
  <c r="Q385" i="51"/>
  <c r="L386" i="51"/>
  <c r="N386" i="51"/>
  <c r="O386" i="51"/>
  <c r="P386" i="51"/>
  <c r="Q386" i="51"/>
  <c r="L387" i="51"/>
  <c r="N387" i="51"/>
  <c r="O387" i="51"/>
  <c r="P387" i="51"/>
  <c r="Q387" i="51"/>
  <c r="L388" i="51"/>
  <c r="N388" i="51"/>
  <c r="O388" i="51"/>
  <c r="P388" i="51"/>
  <c r="Q388" i="51"/>
  <c r="L389" i="51"/>
  <c r="N389" i="51"/>
  <c r="O389" i="51"/>
  <c r="P389" i="51"/>
  <c r="Q389" i="51"/>
  <c r="L390" i="51"/>
  <c r="N390" i="51"/>
  <c r="O390" i="51"/>
  <c r="P390" i="51"/>
  <c r="Q390" i="51"/>
  <c r="L391" i="51"/>
  <c r="N391" i="51"/>
  <c r="O391" i="51"/>
  <c r="P391" i="51"/>
  <c r="Q391" i="51"/>
  <c r="L392" i="51"/>
  <c r="N392" i="51"/>
  <c r="O392" i="51"/>
  <c r="P392" i="51"/>
  <c r="Q392" i="51"/>
  <c r="L393" i="51"/>
  <c r="N393" i="51"/>
  <c r="O393" i="51"/>
  <c r="P393" i="51"/>
  <c r="Q393" i="51"/>
  <c r="L394" i="51"/>
  <c r="N394" i="51"/>
  <c r="O394" i="51"/>
  <c r="P394" i="51"/>
  <c r="Q394" i="51"/>
  <c r="L395" i="51"/>
  <c r="N395" i="51"/>
  <c r="O395" i="51"/>
  <c r="P395" i="51"/>
  <c r="Q395" i="51"/>
  <c r="L396" i="51"/>
  <c r="N396" i="51"/>
  <c r="O396" i="51"/>
  <c r="P396" i="51"/>
  <c r="Q396" i="51"/>
  <c r="L397" i="51"/>
  <c r="N397" i="51"/>
  <c r="O397" i="51"/>
  <c r="P397" i="51"/>
  <c r="Q397" i="51"/>
  <c r="L398" i="51"/>
  <c r="N398" i="51"/>
  <c r="O398" i="51"/>
  <c r="P398" i="51"/>
  <c r="Q398" i="51"/>
  <c r="L399" i="51"/>
  <c r="N399" i="51"/>
  <c r="O399" i="51"/>
  <c r="P399" i="51"/>
  <c r="Q399" i="51"/>
  <c r="L400" i="51"/>
  <c r="N400" i="51"/>
  <c r="O400" i="51"/>
  <c r="P400" i="51"/>
  <c r="Q400" i="51"/>
  <c r="L401" i="51"/>
  <c r="N401" i="51"/>
  <c r="O401" i="51"/>
  <c r="P401" i="51"/>
  <c r="Q401" i="51"/>
  <c r="L402" i="51"/>
  <c r="N402" i="51"/>
  <c r="O402" i="51"/>
  <c r="P402" i="51"/>
  <c r="Q402" i="51"/>
  <c r="L403" i="51"/>
  <c r="N403" i="51"/>
  <c r="O403" i="51"/>
  <c r="P403" i="51"/>
  <c r="Q403" i="51"/>
  <c r="L404" i="51"/>
  <c r="N404" i="51"/>
  <c r="O404" i="51"/>
  <c r="P404" i="51"/>
  <c r="Q404" i="51"/>
  <c r="L405" i="51"/>
  <c r="N405" i="51"/>
  <c r="O405" i="51"/>
  <c r="P405" i="51"/>
  <c r="Q405" i="51"/>
  <c r="L406" i="51"/>
  <c r="N406" i="51"/>
  <c r="O406" i="51"/>
  <c r="P406" i="51"/>
  <c r="Q406" i="51"/>
  <c r="L407" i="51"/>
  <c r="N407" i="51"/>
  <c r="O407" i="51"/>
  <c r="P407" i="51"/>
  <c r="Q407" i="51"/>
  <c r="L408" i="51"/>
  <c r="N408" i="51"/>
  <c r="O408" i="51"/>
  <c r="P408" i="51"/>
  <c r="Q408" i="51"/>
  <c r="L409" i="51"/>
  <c r="N409" i="51"/>
  <c r="O409" i="51"/>
  <c r="P409" i="51"/>
  <c r="Q409" i="51"/>
  <c r="L410" i="51"/>
  <c r="N410" i="51"/>
  <c r="O410" i="51"/>
  <c r="P410" i="51"/>
  <c r="Q410" i="51"/>
  <c r="L411" i="51"/>
  <c r="N411" i="51"/>
  <c r="O411" i="51"/>
  <c r="P411" i="51"/>
  <c r="Q411" i="51"/>
  <c r="L412" i="51"/>
  <c r="N412" i="51"/>
  <c r="O412" i="51"/>
  <c r="P412" i="51"/>
  <c r="Q412" i="51"/>
  <c r="L413" i="51"/>
  <c r="N413" i="51"/>
  <c r="O413" i="51"/>
  <c r="P413" i="51"/>
  <c r="Q413" i="51"/>
  <c r="L414" i="51"/>
  <c r="N414" i="51"/>
  <c r="O414" i="51"/>
  <c r="P414" i="51"/>
  <c r="Q414" i="51"/>
  <c r="L415" i="51"/>
  <c r="N415" i="51"/>
  <c r="O415" i="51"/>
  <c r="P415" i="51"/>
  <c r="Q415" i="51"/>
  <c r="L416" i="51"/>
  <c r="N416" i="51"/>
  <c r="O416" i="51"/>
  <c r="P416" i="51"/>
  <c r="Q416" i="51"/>
  <c r="L417" i="51"/>
  <c r="N417" i="51"/>
  <c r="O417" i="51"/>
  <c r="P417" i="51"/>
  <c r="Q417" i="51"/>
  <c r="L418" i="51"/>
  <c r="N418" i="51"/>
  <c r="O418" i="51"/>
  <c r="P418" i="51"/>
  <c r="Q418" i="51"/>
  <c r="L419" i="51"/>
  <c r="N419" i="51"/>
  <c r="O419" i="51"/>
  <c r="P419" i="51"/>
  <c r="Q419" i="51"/>
  <c r="L420" i="51"/>
  <c r="N420" i="51"/>
  <c r="O420" i="51"/>
  <c r="P420" i="51"/>
  <c r="Q420" i="51"/>
  <c r="L421" i="51"/>
  <c r="N421" i="51"/>
  <c r="O421" i="51"/>
  <c r="P421" i="51"/>
  <c r="Q421" i="51"/>
  <c r="L422" i="51"/>
  <c r="N422" i="51"/>
  <c r="O422" i="51"/>
  <c r="P422" i="51"/>
  <c r="Q422" i="51"/>
  <c r="L423" i="51"/>
  <c r="N423" i="51"/>
  <c r="O423" i="51"/>
  <c r="P423" i="51"/>
  <c r="Q423" i="51"/>
  <c r="L424" i="51"/>
  <c r="N424" i="51"/>
  <c r="O424" i="51"/>
  <c r="P424" i="51"/>
  <c r="Q424" i="51"/>
  <c r="L425" i="51"/>
  <c r="N425" i="51"/>
  <c r="O425" i="51"/>
  <c r="P425" i="51"/>
  <c r="Q425" i="51"/>
  <c r="L426" i="51"/>
  <c r="N426" i="51"/>
  <c r="O426" i="51"/>
  <c r="P426" i="51"/>
  <c r="Q426" i="51"/>
  <c r="L427" i="51"/>
  <c r="N427" i="51"/>
  <c r="O427" i="51"/>
  <c r="P427" i="51"/>
  <c r="Q427" i="51"/>
  <c r="L428" i="51"/>
  <c r="N428" i="51"/>
  <c r="O428" i="51"/>
  <c r="P428" i="51"/>
  <c r="Q428" i="51"/>
  <c r="L429" i="51"/>
  <c r="N429" i="51"/>
  <c r="O429" i="51"/>
  <c r="P429" i="51"/>
  <c r="Q429" i="51"/>
  <c r="L430" i="51"/>
  <c r="N430" i="51"/>
  <c r="O430" i="51"/>
  <c r="P430" i="51"/>
  <c r="Q430" i="51"/>
  <c r="L431" i="51"/>
  <c r="N431" i="51"/>
  <c r="O431" i="51"/>
  <c r="P431" i="51"/>
  <c r="Q431" i="51"/>
  <c r="L432" i="51"/>
  <c r="N432" i="51"/>
  <c r="O432" i="51"/>
  <c r="P432" i="51"/>
  <c r="Q432" i="51"/>
  <c r="L433" i="51"/>
  <c r="N433" i="51"/>
  <c r="O433" i="51"/>
  <c r="P433" i="51"/>
  <c r="Q433" i="51"/>
  <c r="L434" i="51"/>
  <c r="N434" i="51"/>
  <c r="O434" i="51"/>
  <c r="P434" i="51"/>
  <c r="Q434" i="51"/>
  <c r="L435" i="51"/>
  <c r="N435" i="51"/>
  <c r="O435" i="51"/>
  <c r="P435" i="51"/>
  <c r="Q435" i="51"/>
  <c r="L436" i="51"/>
  <c r="N436" i="51"/>
  <c r="O436" i="51"/>
  <c r="P436" i="51"/>
  <c r="Q436" i="51"/>
  <c r="L437" i="51"/>
  <c r="N437" i="51"/>
  <c r="O437" i="51"/>
  <c r="P437" i="51"/>
  <c r="Q437" i="51"/>
  <c r="L438" i="51"/>
  <c r="N438" i="51"/>
  <c r="O438" i="51"/>
  <c r="P438" i="51"/>
  <c r="Q438" i="51"/>
  <c r="L439" i="51"/>
  <c r="N439" i="51"/>
  <c r="O439" i="51"/>
  <c r="P439" i="51"/>
  <c r="Q439" i="51"/>
  <c r="L440" i="51"/>
  <c r="N440" i="51"/>
  <c r="O440" i="51"/>
  <c r="P440" i="51"/>
  <c r="Q440" i="51"/>
  <c r="L441" i="51"/>
  <c r="N441" i="51"/>
  <c r="O441" i="51"/>
  <c r="P441" i="51"/>
  <c r="Q441" i="51"/>
  <c r="L442" i="51"/>
  <c r="N442" i="51"/>
  <c r="O442" i="51"/>
  <c r="P442" i="51"/>
  <c r="Q442" i="51"/>
  <c r="L443" i="51"/>
  <c r="N443" i="51"/>
  <c r="O443" i="51"/>
  <c r="P443" i="51"/>
  <c r="Q443" i="51"/>
  <c r="L444" i="51"/>
  <c r="N444" i="51"/>
  <c r="O444" i="51"/>
  <c r="P444" i="51"/>
  <c r="Q444" i="51"/>
  <c r="L445" i="51"/>
  <c r="N445" i="51"/>
  <c r="O445" i="51"/>
  <c r="P445" i="51"/>
  <c r="Q445" i="51"/>
  <c r="L446" i="51"/>
  <c r="N446" i="51"/>
  <c r="O446" i="51"/>
  <c r="P446" i="51"/>
  <c r="Q446" i="51"/>
  <c r="L447" i="51"/>
  <c r="N447" i="51"/>
  <c r="O447" i="51"/>
  <c r="P447" i="51"/>
  <c r="Q447" i="51"/>
  <c r="L448" i="51"/>
  <c r="N448" i="51"/>
  <c r="O448" i="51"/>
  <c r="P448" i="51"/>
  <c r="Q448" i="51"/>
  <c r="L449" i="51"/>
  <c r="N449" i="51"/>
  <c r="O449" i="51"/>
  <c r="P449" i="51"/>
  <c r="Q449" i="51"/>
  <c r="L450" i="51"/>
  <c r="N450" i="51"/>
  <c r="O450" i="51"/>
  <c r="P450" i="51"/>
  <c r="Q450" i="51"/>
  <c r="L451" i="51"/>
  <c r="N451" i="51"/>
  <c r="O451" i="51"/>
  <c r="P451" i="51"/>
  <c r="Q451" i="51"/>
  <c r="L452" i="51"/>
  <c r="N452" i="51"/>
  <c r="O452" i="51"/>
  <c r="P452" i="51"/>
  <c r="Q452" i="51"/>
  <c r="L453" i="51"/>
  <c r="N453" i="51"/>
  <c r="O453" i="51"/>
  <c r="P453" i="51"/>
  <c r="Q453" i="51"/>
  <c r="L454" i="51"/>
  <c r="N454" i="51"/>
  <c r="O454" i="51"/>
  <c r="P454" i="51"/>
  <c r="Q454" i="51"/>
  <c r="L455" i="51"/>
  <c r="N455" i="51"/>
  <c r="O455" i="51"/>
  <c r="P455" i="51"/>
  <c r="Q455" i="51"/>
  <c r="L456" i="51"/>
  <c r="N456" i="51"/>
  <c r="O456" i="51"/>
  <c r="P456" i="51"/>
  <c r="Q456" i="51"/>
  <c r="L457" i="51"/>
  <c r="N457" i="51"/>
  <c r="O457" i="51"/>
  <c r="P457" i="51"/>
  <c r="Q457" i="51"/>
  <c r="L458" i="51"/>
  <c r="N458" i="51"/>
  <c r="O458" i="51"/>
  <c r="P458" i="51"/>
  <c r="Q458" i="51"/>
  <c r="L459" i="51"/>
  <c r="N459" i="51"/>
  <c r="O459" i="51"/>
  <c r="P459" i="51"/>
  <c r="Q459" i="51"/>
  <c r="L460" i="51"/>
  <c r="N460" i="51"/>
  <c r="O460" i="51"/>
  <c r="P460" i="51"/>
  <c r="Q460" i="51"/>
  <c r="L461" i="51"/>
  <c r="N461" i="51"/>
  <c r="O461" i="51"/>
  <c r="P461" i="51"/>
  <c r="Q461" i="51"/>
  <c r="L462" i="51"/>
  <c r="N462" i="51"/>
  <c r="O462" i="51"/>
  <c r="P462" i="51"/>
  <c r="Q462" i="51"/>
  <c r="L463" i="51"/>
  <c r="N463" i="51"/>
  <c r="O463" i="51"/>
  <c r="P463" i="51"/>
  <c r="Q463" i="51"/>
  <c r="L464" i="51"/>
  <c r="N464" i="51"/>
  <c r="O464" i="51"/>
  <c r="P464" i="51"/>
  <c r="Q464" i="51"/>
  <c r="L465" i="51"/>
  <c r="N465" i="51"/>
  <c r="O465" i="51"/>
  <c r="P465" i="51"/>
  <c r="Q465" i="51"/>
  <c r="L466" i="51"/>
  <c r="N466" i="51"/>
  <c r="O466" i="51"/>
  <c r="P466" i="51"/>
  <c r="Q466" i="51"/>
  <c r="L467" i="51"/>
  <c r="N467" i="51"/>
  <c r="O467" i="51"/>
  <c r="P467" i="51"/>
  <c r="Q467" i="51"/>
  <c r="L468" i="51"/>
  <c r="N468" i="51"/>
  <c r="O468" i="51"/>
  <c r="P468" i="51"/>
  <c r="Q468" i="51"/>
  <c r="L469" i="51"/>
  <c r="N469" i="51"/>
  <c r="O469" i="51"/>
  <c r="P469" i="51"/>
  <c r="Q469" i="51"/>
  <c r="L470" i="51"/>
  <c r="N470" i="51"/>
  <c r="O470" i="51"/>
  <c r="P470" i="51"/>
  <c r="Q470" i="51"/>
  <c r="L471" i="51"/>
  <c r="N471" i="51"/>
  <c r="O471" i="51"/>
  <c r="P471" i="51"/>
  <c r="Q471" i="51"/>
  <c r="L472" i="51"/>
  <c r="N472" i="51"/>
  <c r="O472" i="51"/>
  <c r="P472" i="51"/>
  <c r="Q472" i="51"/>
  <c r="L473" i="51"/>
  <c r="N473" i="51"/>
  <c r="O473" i="51"/>
  <c r="P473" i="51"/>
  <c r="Q473" i="51"/>
  <c r="L474" i="51"/>
  <c r="N474" i="51"/>
  <c r="O474" i="51"/>
  <c r="P474" i="51"/>
  <c r="Q474" i="51"/>
  <c r="L475" i="51"/>
  <c r="N475" i="51"/>
  <c r="O475" i="51"/>
  <c r="P475" i="51"/>
  <c r="Q475" i="51"/>
  <c r="L476" i="51"/>
  <c r="N476" i="51"/>
  <c r="O476" i="51"/>
  <c r="P476" i="51"/>
  <c r="Q476" i="51"/>
  <c r="L477" i="51"/>
  <c r="N477" i="51"/>
  <c r="O477" i="51"/>
  <c r="P477" i="51"/>
  <c r="Q477" i="51"/>
  <c r="L478" i="51"/>
  <c r="N478" i="51"/>
  <c r="O478" i="51"/>
  <c r="P478" i="51"/>
  <c r="Q478" i="51"/>
  <c r="L479" i="51"/>
  <c r="N479" i="51"/>
  <c r="O479" i="51"/>
  <c r="P479" i="51"/>
  <c r="Q479" i="51"/>
  <c r="L480" i="51"/>
  <c r="N480" i="51"/>
  <c r="O480" i="51"/>
  <c r="P480" i="51"/>
  <c r="Q480" i="51"/>
  <c r="L481" i="51"/>
  <c r="N481" i="51"/>
  <c r="O481" i="51"/>
  <c r="P481" i="51"/>
  <c r="Q481" i="51"/>
  <c r="L482" i="51"/>
  <c r="N482" i="51"/>
  <c r="O482" i="51"/>
  <c r="P482" i="51"/>
  <c r="Q482" i="51"/>
  <c r="L483" i="51"/>
  <c r="N483" i="51"/>
  <c r="O483" i="51"/>
  <c r="P483" i="51"/>
  <c r="Q483" i="51"/>
  <c r="L484" i="51"/>
  <c r="N484" i="51"/>
  <c r="O484" i="51"/>
  <c r="P484" i="51"/>
  <c r="Q484" i="51"/>
  <c r="L485" i="51"/>
  <c r="N485" i="51"/>
  <c r="O485" i="51"/>
  <c r="P485" i="51"/>
  <c r="Q485" i="51"/>
  <c r="L486" i="51"/>
  <c r="N486" i="51"/>
  <c r="O486" i="51"/>
  <c r="P486" i="51"/>
  <c r="Q486" i="51"/>
  <c r="L487" i="51"/>
  <c r="N487" i="51"/>
  <c r="O487" i="51"/>
  <c r="P487" i="51"/>
  <c r="Q487" i="51"/>
  <c r="L488" i="51"/>
  <c r="N488" i="51"/>
  <c r="O488" i="51"/>
  <c r="P488" i="51"/>
  <c r="Q488" i="51"/>
  <c r="L489" i="51"/>
  <c r="N489" i="51"/>
  <c r="O489" i="51"/>
  <c r="P489" i="51"/>
  <c r="Q489" i="51"/>
  <c r="L490" i="51"/>
  <c r="N490" i="51"/>
  <c r="O490" i="51"/>
  <c r="P490" i="51"/>
  <c r="Q490" i="51"/>
  <c r="L491" i="51"/>
  <c r="N491" i="51"/>
  <c r="O491" i="51"/>
  <c r="P491" i="51"/>
  <c r="Q491" i="51"/>
  <c r="L492" i="51"/>
  <c r="N492" i="51"/>
  <c r="O492" i="51"/>
  <c r="P492" i="51"/>
  <c r="Q492" i="51"/>
  <c r="L493" i="51"/>
  <c r="N493" i="51"/>
  <c r="O493" i="51"/>
  <c r="P493" i="51"/>
  <c r="Q493" i="51"/>
  <c r="L494" i="51"/>
  <c r="N494" i="51"/>
  <c r="O494" i="51"/>
  <c r="P494" i="51"/>
  <c r="Q494" i="51"/>
  <c r="L495" i="51"/>
  <c r="N495" i="51"/>
  <c r="O495" i="51"/>
  <c r="P495" i="51"/>
  <c r="Q495" i="51"/>
  <c r="L496" i="51"/>
  <c r="N496" i="51"/>
  <c r="O496" i="51"/>
  <c r="P496" i="51"/>
  <c r="Q496" i="51"/>
  <c r="L497" i="51"/>
  <c r="N497" i="51"/>
  <c r="O497" i="51"/>
  <c r="P497" i="51"/>
  <c r="Q497" i="51"/>
  <c r="L498" i="51"/>
  <c r="N498" i="51"/>
  <c r="O498" i="51"/>
  <c r="P498" i="51"/>
  <c r="Q498" i="51"/>
  <c r="L499" i="51"/>
  <c r="N499" i="51"/>
  <c r="O499" i="51"/>
  <c r="P499" i="51"/>
  <c r="Q499" i="51"/>
  <c r="L500" i="51"/>
  <c r="N500" i="51"/>
  <c r="O500" i="51"/>
  <c r="P500" i="51"/>
  <c r="Q500" i="51"/>
  <c r="L501" i="51"/>
  <c r="N501" i="51"/>
  <c r="O501" i="51"/>
  <c r="P501" i="51"/>
  <c r="Q501" i="51"/>
  <c r="L502" i="51"/>
  <c r="N502" i="51"/>
  <c r="O502" i="51"/>
  <c r="P502" i="51"/>
  <c r="Q502" i="51"/>
  <c r="L503" i="51"/>
  <c r="N503" i="51"/>
  <c r="O503" i="51"/>
  <c r="P503" i="51"/>
  <c r="Q503" i="51"/>
  <c r="L504" i="51"/>
  <c r="N504" i="51"/>
  <c r="O504" i="51"/>
  <c r="P504" i="51"/>
  <c r="Q504" i="51"/>
  <c r="L505" i="51"/>
  <c r="N505" i="51"/>
  <c r="O505" i="51"/>
  <c r="P505" i="51"/>
  <c r="Q505" i="51"/>
  <c r="L506" i="51"/>
  <c r="N506" i="51"/>
  <c r="O506" i="51"/>
  <c r="P506" i="51"/>
  <c r="Q506" i="51"/>
  <c r="L507" i="51"/>
  <c r="N507" i="51"/>
  <c r="O507" i="51"/>
  <c r="P507" i="51"/>
  <c r="Q507" i="51"/>
  <c r="L508" i="51"/>
  <c r="N508" i="51"/>
  <c r="O508" i="51"/>
  <c r="P508" i="51"/>
  <c r="Q508" i="51"/>
  <c r="L509" i="51"/>
  <c r="N509" i="51"/>
  <c r="O509" i="51"/>
  <c r="P509" i="51"/>
  <c r="Q509" i="51"/>
  <c r="L510" i="51"/>
  <c r="N510" i="51"/>
  <c r="O510" i="51"/>
  <c r="P510" i="51"/>
  <c r="Q510" i="51"/>
  <c r="L511" i="51"/>
  <c r="N511" i="51"/>
  <c r="O511" i="51"/>
  <c r="P511" i="51"/>
  <c r="Q511" i="51"/>
  <c r="L512" i="51"/>
  <c r="N512" i="51"/>
  <c r="O512" i="51"/>
  <c r="P512" i="51"/>
  <c r="Q512" i="51"/>
  <c r="L513" i="51"/>
  <c r="N513" i="51"/>
  <c r="O513" i="51"/>
  <c r="P513" i="51"/>
  <c r="Q513" i="51"/>
  <c r="L514" i="51"/>
  <c r="N514" i="51"/>
  <c r="O514" i="51"/>
  <c r="P514" i="51"/>
  <c r="Q514" i="51"/>
  <c r="L515" i="51"/>
  <c r="N515" i="51"/>
  <c r="O515" i="51"/>
  <c r="P515" i="51"/>
  <c r="Q515" i="51"/>
  <c r="L516" i="51"/>
  <c r="N516" i="51"/>
  <c r="O516" i="51"/>
  <c r="P516" i="51"/>
  <c r="Q516" i="51"/>
  <c r="L517" i="51"/>
  <c r="N517" i="51"/>
  <c r="O517" i="51"/>
  <c r="P517" i="51"/>
  <c r="Q517" i="51"/>
  <c r="L518" i="51"/>
  <c r="N518" i="51"/>
  <c r="O518" i="51"/>
  <c r="P518" i="51"/>
  <c r="Q518" i="51"/>
  <c r="L519" i="51"/>
  <c r="N519" i="51"/>
  <c r="O519" i="51"/>
  <c r="P519" i="51"/>
  <c r="Q519" i="51"/>
  <c r="L520" i="51"/>
  <c r="N520" i="51"/>
  <c r="O520" i="51"/>
  <c r="P520" i="51"/>
  <c r="Q520" i="51"/>
  <c r="L521" i="51"/>
  <c r="N521" i="51"/>
  <c r="O521" i="51"/>
  <c r="P521" i="51"/>
  <c r="Q521" i="51"/>
  <c r="L522" i="51"/>
  <c r="N522" i="51"/>
  <c r="O522" i="51"/>
  <c r="P522" i="51"/>
  <c r="Q522" i="51"/>
  <c r="L523" i="51"/>
  <c r="N523" i="51"/>
  <c r="O523" i="51"/>
  <c r="P523" i="51"/>
  <c r="Q523" i="51"/>
  <c r="L524" i="51"/>
  <c r="N524" i="51"/>
  <c r="O524" i="51"/>
  <c r="P524" i="51"/>
  <c r="Q524" i="51"/>
  <c r="L525" i="51"/>
  <c r="N525" i="51"/>
  <c r="O525" i="51"/>
  <c r="P525" i="51"/>
  <c r="Q525" i="51"/>
  <c r="L526" i="51"/>
  <c r="N526" i="51"/>
  <c r="O526" i="51"/>
  <c r="P526" i="51"/>
  <c r="Q526" i="51"/>
  <c r="L527" i="51"/>
  <c r="N527" i="51"/>
  <c r="O527" i="51"/>
  <c r="P527" i="51"/>
  <c r="Q527" i="51"/>
  <c r="L528" i="51"/>
  <c r="N528" i="51"/>
  <c r="O528" i="51"/>
  <c r="P528" i="51"/>
  <c r="Q528" i="51"/>
  <c r="L529" i="51"/>
  <c r="N529" i="51"/>
  <c r="O529" i="51"/>
  <c r="P529" i="51"/>
  <c r="Q529" i="51"/>
  <c r="L530" i="51"/>
  <c r="N530" i="51"/>
  <c r="O530" i="51"/>
  <c r="P530" i="51"/>
  <c r="Q530" i="51"/>
  <c r="L531" i="51"/>
  <c r="N531" i="51"/>
  <c r="O531" i="51"/>
  <c r="P531" i="51"/>
  <c r="Q531" i="51"/>
  <c r="L532" i="51"/>
  <c r="N532" i="51"/>
  <c r="O532" i="51"/>
  <c r="P532" i="51"/>
  <c r="Q532" i="51"/>
  <c r="L533" i="51"/>
  <c r="N533" i="51"/>
  <c r="O533" i="51"/>
  <c r="P533" i="51"/>
  <c r="Q533" i="51"/>
  <c r="L534" i="51"/>
  <c r="N534" i="51"/>
  <c r="O534" i="51"/>
  <c r="P534" i="51"/>
  <c r="Q534" i="51"/>
  <c r="L535" i="51"/>
  <c r="N535" i="51"/>
  <c r="O535" i="51"/>
  <c r="P535" i="51"/>
  <c r="Q535" i="51"/>
  <c r="L536" i="51"/>
  <c r="N536" i="51"/>
  <c r="O536" i="51"/>
  <c r="P536" i="51"/>
  <c r="Q536" i="51"/>
  <c r="L537" i="51"/>
  <c r="N537" i="51"/>
  <c r="O537" i="51"/>
  <c r="P537" i="51"/>
  <c r="Q537" i="51"/>
  <c r="L538" i="51"/>
  <c r="N538" i="51"/>
  <c r="O538" i="51"/>
  <c r="P538" i="51"/>
  <c r="Q538" i="51"/>
  <c r="L539" i="51"/>
  <c r="N539" i="51"/>
  <c r="O539" i="51"/>
  <c r="P539" i="51"/>
  <c r="Q539" i="51"/>
  <c r="L540" i="51"/>
  <c r="N540" i="51"/>
  <c r="O540" i="51"/>
  <c r="P540" i="51"/>
  <c r="Q540" i="51"/>
  <c r="L541" i="51"/>
  <c r="N541" i="51"/>
  <c r="O541" i="51"/>
  <c r="P541" i="51"/>
  <c r="Q541" i="51"/>
  <c r="L542" i="51"/>
  <c r="N542" i="51"/>
  <c r="O542" i="51"/>
  <c r="P542" i="51"/>
  <c r="Q542" i="51"/>
  <c r="L543" i="51"/>
  <c r="N543" i="51"/>
  <c r="O543" i="51"/>
  <c r="P543" i="51"/>
  <c r="Q543" i="51"/>
  <c r="L544" i="51"/>
  <c r="N544" i="51"/>
  <c r="O544" i="51"/>
  <c r="P544" i="51"/>
  <c r="Q544" i="51"/>
  <c r="L545" i="51"/>
  <c r="N545" i="51"/>
  <c r="O545" i="51"/>
  <c r="P545" i="51"/>
  <c r="Q545" i="51"/>
  <c r="L546" i="51"/>
  <c r="N546" i="51"/>
  <c r="O546" i="51"/>
  <c r="P546" i="51"/>
  <c r="Q546" i="51"/>
  <c r="L547" i="51"/>
  <c r="N547" i="51"/>
  <c r="O547" i="51"/>
  <c r="P547" i="51"/>
  <c r="Q547" i="51"/>
  <c r="L548" i="51"/>
  <c r="N548" i="51"/>
  <c r="O548" i="51"/>
  <c r="P548" i="51"/>
  <c r="Q548" i="51"/>
  <c r="L549" i="51"/>
  <c r="N549" i="51"/>
  <c r="O549" i="51"/>
  <c r="P549" i="51"/>
  <c r="Q549" i="51"/>
  <c r="L550" i="51"/>
  <c r="N550" i="51"/>
  <c r="O550" i="51"/>
  <c r="P550" i="51"/>
  <c r="Q550" i="51"/>
  <c r="L551" i="51"/>
  <c r="N551" i="51"/>
  <c r="O551" i="51"/>
  <c r="P551" i="51"/>
  <c r="Q551" i="51"/>
  <c r="L552" i="51"/>
  <c r="N552" i="51"/>
  <c r="O552" i="51"/>
  <c r="P552" i="51"/>
  <c r="Q552" i="51"/>
  <c r="L553" i="51"/>
  <c r="N553" i="51"/>
  <c r="O553" i="51"/>
  <c r="P553" i="51"/>
  <c r="Q553" i="51"/>
  <c r="L554" i="51"/>
  <c r="N554" i="51"/>
  <c r="O554" i="51"/>
  <c r="P554" i="51"/>
  <c r="Q554" i="51"/>
  <c r="L555" i="51"/>
  <c r="N555" i="51"/>
  <c r="O555" i="51"/>
  <c r="P555" i="51"/>
  <c r="Q555" i="51"/>
  <c r="L556" i="51"/>
  <c r="N556" i="51"/>
  <c r="O556" i="51"/>
  <c r="P556" i="51"/>
  <c r="Q556" i="51"/>
  <c r="L557" i="51"/>
  <c r="N557" i="51"/>
  <c r="O557" i="51"/>
  <c r="P557" i="51"/>
  <c r="Q557" i="51"/>
  <c r="L558" i="51"/>
  <c r="N558" i="51"/>
  <c r="O558" i="51"/>
  <c r="P558" i="51"/>
  <c r="Q558" i="51"/>
  <c r="L559" i="51"/>
  <c r="N559" i="51"/>
  <c r="O559" i="51"/>
  <c r="P559" i="51"/>
  <c r="Q559" i="51"/>
  <c r="L560" i="51"/>
  <c r="N560" i="51"/>
  <c r="O560" i="51"/>
  <c r="P560" i="51"/>
  <c r="Q560" i="51"/>
  <c r="L561" i="51"/>
  <c r="N561" i="51"/>
  <c r="O561" i="51"/>
  <c r="P561" i="51"/>
  <c r="Q561" i="51"/>
  <c r="L562" i="51"/>
  <c r="N562" i="51"/>
  <c r="O562" i="51"/>
  <c r="P562" i="51"/>
  <c r="Q562" i="51"/>
  <c r="L563" i="51"/>
  <c r="N563" i="51"/>
  <c r="O563" i="51"/>
  <c r="P563" i="51"/>
  <c r="Q563" i="51"/>
  <c r="L564" i="51"/>
  <c r="N564" i="51"/>
  <c r="O564" i="51"/>
  <c r="P564" i="51"/>
  <c r="Q564" i="51"/>
  <c r="L565" i="51"/>
  <c r="N565" i="51"/>
  <c r="O565" i="51"/>
  <c r="P565" i="51"/>
  <c r="Q565" i="51"/>
  <c r="L566" i="51"/>
  <c r="N566" i="51"/>
  <c r="O566" i="51"/>
  <c r="P566" i="51"/>
  <c r="Q566" i="51"/>
  <c r="L567" i="51"/>
  <c r="N567" i="51"/>
  <c r="O567" i="51"/>
  <c r="P567" i="51"/>
  <c r="Q567" i="51"/>
  <c r="L568" i="51"/>
  <c r="N568" i="51"/>
  <c r="O568" i="51"/>
  <c r="P568" i="51"/>
  <c r="Q568" i="51"/>
  <c r="L569" i="51"/>
  <c r="N569" i="51"/>
  <c r="O569" i="51"/>
  <c r="P569" i="51"/>
  <c r="Q569" i="51"/>
  <c r="L570" i="51"/>
  <c r="N570" i="51"/>
  <c r="O570" i="51"/>
  <c r="P570" i="51"/>
  <c r="Q570" i="51"/>
  <c r="L571" i="51"/>
  <c r="N571" i="51"/>
  <c r="O571" i="51"/>
  <c r="P571" i="51"/>
  <c r="Q571" i="51"/>
  <c r="L572" i="51"/>
  <c r="N572" i="51"/>
  <c r="O572" i="51"/>
  <c r="P572" i="51"/>
  <c r="Q572" i="51"/>
  <c r="L573" i="51"/>
  <c r="N573" i="51"/>
  <c r="O573" i="51"/>
  <c r="P573" i="51"/>
  <c r="Q573" i="51"/>
  <c r="L574" i="51"/>
  <c r="N574" i="51"/>
  <c r="O574" i="51"/>
  <c r="P574" i="51"/>
  <c r="Q574" i="51"/>
  <c r="L575" i="51"/>
  <c r="N575" i="51"/>
  <c r="O575" i="51"/>
  <c r="P575" i="51"/>
  <c r="Q575" i="51"/>
  <c r="L576" i="51"/>
  <c r="N576" i="51"/>
  <c r="O576" i="51"/>
  <c r="P576" i="51"/>
  <c r="Q576" i="51"/>
  <c r="L577" i="51"/>
  <c r="N577" i="51"/>
  <c r="O577" i="51"/>
  <c r="P577" i="51"/>
  <c r="Q577" i="51"/>
  <c r="L578" i="51"/>
  <c r="N578" i="51"/>
  <c r="O578" i="51"/>
  <c r="P578" i="51"/>
  <c r="Q578" i="51"/>
  <c r="L579" i="51"/>
  <c r="N579" i="51"/>
  <c r="O579" i="51"/>
  <c r="P579" i="51"/>
  <c r="Q579" i="51"/>
  <c r="L580" i="51"/>
  <c r="N580" i="51"/>
  <c r="O580" i="51"/>
  <c r="P580" i="51"/>
  <c r="Q580" i="51"/>
  <c r="L581" i="51"/>
  <c r="N581" i="51"/>
  <c r="O581" i="51"/>
  <c r="P581" i="51"/>
  <c r="Q581" i="51"/>
  <c r="L582" i="51"/>
  <c r="N582" i="51"/>
  <c r="O582" i="51"/>
  <c r="P582" i="51"/>
  <c r="Q582" i="51"/>
  <c r="L583" i="51"/>
  <c r="N583" i="51"/>
  <c r="O583" i="51"/>
  <c r="P583" i="51"/>
  <c r="Q583" i="51"/>
  <c r="L584" i="51"/>
  <c r="N584" i="51"/>
  <c r="O584" i="51"/>
  <c r="P584" i="51"/>
  <c r="Q584" i="51"/>
  <c r="L585" i="51"/>
  <c r="N585" i="51"/>
  <c r="O585" i="51"/>
  <c r="P585" i="51"/>
  <c r="Q585" i="51"/>
  <c r="L586" i="51"/>
  <c r="N586" i="51"/>
  <c r="O586" i="51"/>
  <c r="P586" i="51"/>
  <c r="Q586" i="51"/>
  <c r="L587" i="51"/>
  <c r="N587" i="51"/>
  <c r="O587" i="51"/>
  <c r="P587" i="51"/>
  <c r="Q587" i="51"/>
  <c r="L588" i="51"/>
  <c r="N588" i="51"/>
  <c r="O588" i="51"/>
  <c r="P588" i="51"/>
  <c r="Q588" i="51"/>
  <c r="L589" i="51"/>
  <c r="N589" i="51"/>
  <c r="O589" i="51"/>
  <c r="P589" i="51"/>
  <c r="Q589" i="51"/>
  <c r="L590" i="51"/>
  <c r="N590" i="51"/>
  <c r="O590" i="51"/>
  <c r="P590" i="51"/>
  <c r="Q590" i="51"/>
  <c r="L591" i="51"/>
  <c r="N591" i="51"/>
  <c r="O591" i="51"/>
  <c r="P591" i="51"/>
  <c r="Q591" i="51"/>
  <c r="L592" i="51"/>
  <c r="N592" i="51"/>
  <c r="O592" i="51"/>
  <c r="P592" i="51"/>
  <c r="Q592" i="51"/>
  <c r="L593" i="51"/>
  <c r="N593" i="51"/>
  <c r="O593" i="51"/>
  <c r="P593" i="51"/>
  <c r="Q593" i="51"/>
  <c r="L594" i="51"/>
  <c r="N594" i="51"/>
  <c r="O594" i="51"/>
  <c r="P594" i="51"/>
  <c r="Q594" i="51"/>
  <c r="L595" i="51"/>
  <c r="N595" i="51"/>
  <c r="O595" i="51"/>
  <c r="P595" i="51"/>
  <c r="Q595" i="51"/>
  <c r="L596" i="51"/>
  <c r="N596" i="51"/>
  <c r="O596" i="51"/>
  <c r="P596" i="51"/>
  <c r="Q596" i="51"/>
  <c r="L597" i="51"/>
  <c r="N597" i="51"/>
  <c r="O597" i="51"/>
  <c r="P597" i="51"/>
  <c r="Q597" i="51"/>
  <c r="L598" i="51"/>
  <c r="N598" i="51"/>
  <c r="O598" i="51"/>
  <c r="P598" i="51"/>
  <c r="Q598" i="51"/>
  <c r="L599" i="51"/>
  <c r="N599" i="51"/>
  <c r="O599" i="51"/>
  <c r="P599" i="51"/>
  <c r="Q599" i="51"/>
  <c r="L600" i="51"/>
  <c r="N600" i="51"/>
  <c r="O600" i="51"/>
  <c r="P600" i="51"/>
  <c r="Q600" i="51"/>
  <c r="L601" i="51"/>
  <c r="N601" i="51"/>
  <c r="O601" i="51"/>
  <c r="P601" i="51"/>
  <c r="Q601" i="51"/>
  <c r="L602" i="51"/>
  <c r="N602" i="51"/>
  <c r="O602" i="51"/>
  <c r="P602" i="51"/>
  <c r="Q602" i="51"/>
  <c r="L603" i="51"/>
  <c r="N603" i="51"/>
  <c r="O603" i="51"/>
  <c r="P603" i="51"/>
  <c r="Q603" i="51"/>
  <c r="L604" i="51"/>
  <c r="N604" i="51"/>
  <c r="O604" i="51"/>
  <c r="P604" i="51"/>
  <c r="Q604" i="51"/>
  <c r="L605" i="51"/>
  <c r="N605" i="51"/>
  <c r="O605" i="51"/>
  <c r="P605" i="51"/>
  <c r="Q605" i="51"/>
  <c r="L606" i="51"/>
  <c r="N606" i="51"/>
  <c r="O606" i="51"/>
  <c r="P606" i="51"/>
  <c r="Q606" i="51"/>
  <c r="L607" i="51"/>
  <c r="N607" i="51"/>
  <c r="O607" i="51"/>
  <c r="P607" i="51"/>
  <c r="Q607" i="51"/>
  <c r="L608" i="51"/>
  <c r="N608" i="51"/>
  <c r="O608" i="51"/>
  <c r="P608" i="51"/>
  <c r="Q608" i="51"/>
  <c r="L609" i="51"/>
  <c r="N609" i="51"/>
  <c r="O609" i="51"/>
  <c r="P609" i="51"/>
  <c r="Q609" i="51"/>
  <c r="L610" i="51"/>
  <c r="N610" i="51"/>
  <c r="O610" i="51"/>
  <c r="P610" i="51"/>
  <c r="Q610" i="51"/>
  <c r="L611" i="51"/>
  <c r="N611" i="51"/>
  <c r="O611" i="51"/>
  <c r="P611" i="51"/>
  <c r="Q611" i="51"/>
  <c r="L612" i="51"/>
  <c r="N612" i="51"/>
  <c r="O612" i="51"/>
  <c r="P612" i="51"/>
  <c r="Q612" i="51"/>
  <c r="L613" i="51"/>
  <c r="N613" i="51"/>
  <c r="O613" i="51"/>
  <c r="P613" i="51"/>
  <c r="Q613" i="51"/>
  <c r="L614" i="51"/>
  <c r="N614" i="51"/>
  <c r="O614" i="51"/>
  <c r="P614" i="51"/>
  <c r="Q614" i="51"/>
  <c r="L615" i="51"/>
  <c r="N615" i="51"/>
  <c r="O615" i="51"/>
  <c r="P615" i="51"/>
  <c r="Q615" i="51"/>
  <c r="L616" i="51"/>
  <c r="N616" i="51"/>
  <c r="O616" i="51"/>
  <c r="P616" i="51"/>
  <c r="Q616" i="51"/>
  <c r="L617" i="51"/>
  <c r="N617" i="51"/>
  <c r="O617" i="51"/>
  <c r="P617" i="51"/>
  <c r="Q617" i="51"/>
  <c r="L618" i="51"/>
  <c r="N618" i="51"/>
  <c r="O618" i="51"/>
  <c r="P618" i="51"/>
  <c r="Q618" i="51"/>
  <c r="L619" i="51"/>
  <c r="N619" i="51"/>
  <c r="O619" i="51"/>
  <c r="P619" i="51"/>
  <c r="Q619" i="51"/>
  <c r="L620" i="51"/>
  <c r="N620" i="51"/>
  <c r="O620" i="51"/>
  <c r="P620" i="51"/>
  <c r="Q620" i="51"/>
  <c r="L621" i="51"/>
  <c r="N621" i="51"/>
  <c r="O621" i="51"/>
  <c r="P621" i="51"/>
  <c r="Q621" i="51"/>
  <c r="L622" i="51"/>
  <c r="N622" i="51"/>
  <c r="O622" i="51"/>
  <c r="P622" i="51"/>
  <c r="Q622" i="51"/>
  <c r="L623" i="51"/>
  <c r="N623" i="51"/>
  <c r="O623" i="51"/>
  <c r="P623" i="51"/>
  <c r="Q623" i="51"/>
  <c r="L624" i="51"/>
  <c r="N624" i="51"/>
  <c r="O624" i="51"/>
  <c r="P624" i="51"/>
  <c r="Q624" i="51"/>
  <c r="L625" i="51"/>
  <c r="N625" i="51"/>
  <c r="O625" i="51"/>
  <c r="P625" i="51"/>
  <c r="Q625" i="51"/>
  <c r="L626" i="51"/>
  <c r="N626" i="51"/>
  <c r="O626" i="51"/>
  <c r="P626" i="51"/>
  <c r="Q626" i="51"/>
  <c r="L627" i="51"/>
  <c r="N627" i="51"/>
  <c r="O627" i="51"/>
  <c r="P627" i="51"/>
  <c r="Q627" i="51"/>
  <c r="L628" i="51"/>
  <c r="N628" i="51"/>
  <c r="O628" i="51"/>
  <c r="P628" i="51"/>
  <c r="Q628" i="51"/>
  <c r="L629" i="51"/>
  <c r="N629" i="51"/>
  <c r="O629" i="51"/>
  <c r="P629" i="51"/>
  <c r="Q629" i="51"/>
  <c r="L630" i="51"/>
  <c r="N630" i="51"/>
  <c r="O630" i="51"/>
  <c r="P630" i="51"/>
  <c r="Q630" i="51"/>
  <c r="L631" i="51"/>
  <c r="N631" i="51"/>
  <c r="O631" i="51"/>
  <c r="P631" i="51"/>
  <c r="Q631" i="51"/>
  <c r="L632" i="51"/>
  <c r="N632" i="51"/>
  <c r="O632" i="51"/>
  <c r="P632" i="51"/>
  <c r="Q632" i="51"/>
  <c r="L633" i="51"/>
  <c r="N633" i="51"/>
  <c r="O633" i="51"/>
  <c r="P633" i="51"/>
  <c r="Q633" i="51"/>
  <c r="L634" i="51"/>
  <c r="N634" i="51"/>
  <c r="O634" i="51"/>
  <c r="P634" i="51"/>
  <c r="Q634" i="51"/>
  <c r="L635" i="51"/>
  <c r="N635" i="51"/>
  <c r="O635" i="51"/>
  <c r="P635" i="51"/>
  <c r="Q635" i="51"/>
  <c r="L636" i="51"/>
  <c r="N636" i="51"/>
  <c r="O636" i="51"/>
  <c r="P636" i="51"/>
  <c r="Q636" i="51"/>
  <c r="L637" i="51"/>
  <c r="N637" i="51"/>
  <c r="O637" i="51"/>
  <c r="P637" i="51"/>
  <c r="Q637" i="51"/>
  <c r="L638" i="51"/>
  <c r="N638" i="51"/>
  <c r="O638" i="51"/>
  <c r="P638" i="51"/>
  <c r="Q638" i="51"/>
  <c r="L639" i="51"/>
  <c r="N639" i="51"/>
  <c r="O639" i="51"/>
  <c r="P639" i="51"/>
  <c r="Q639" i="51"/>
  <c r="L640" i="51"/>
  <c r="N640" i="51"/>
  <c r="O640" i="51"/>
  <c r="P640" i="51"/>
  <c r="Q640" i="51"/>
  <c r="L641" i="51"/>
  <c r="N641" i="51"/>
  <c r="O641" i="51"/>
  <c r="P641" i="51"/>
  <c r="Q641" i="51"/>
  <c r="L642" i="51"/>
  <c r="N642" i="51"/>
  <c r="O642" i="51"/>
  <c r="P642" i="51"/>
  <c r="Q642" i="51"/>
  <c r="L643" i="51"/>
  <c r="N643" i="51"/>
  <c r="O643" i="51"/>
  <c r="P643" i="51"/>
  <c r="Q643" i="51"/>
  <c r="L644" i="51"/>
  <c r="N644" i="51"/>
  <c r="O644" i="51"/>
  <c r="P644" i="51"/>
  <c r="Q644" i="51"/>
  <c r="L645" i="51"/>
  <c r="N645" i="51"/>
  <c r="O645" i="51"/>
  <c r="P645" i="51"/>
  <c r="Q645" i="51"/>
  <c r="L646" i="51"/>
  <c r="N646" i="51"/>
  <c r="O646" i="51"/>
  <c r="P646" i="51"/>
  <c r="Q646" i="51"/>
  <c r="L647" i="51"/>
  <c r="N647" i="51"/>
  <c r="O647" i="51"/>
  <c r="P647" i="51"/>
  <c r="Q647" i="51"/>
  <c r="L648" i="51"/>
  <c r="N648" i="51"/>
  <c r="O648" i="51"/>
  <c r="P648" i="51"/>
  <c r="Q648" i="51"/>
  <c r="L649" i="51"/>
  <c r="N649" i="51"/>
  <c r="O649" i="51"/>
  <c r="P649" i="51"/>
  <c r="Q649" i="51"/>
  <c r="L650" i="51"/>
  <c r="N650" i="51"/>
  <c r="O650" i="51"/>
  <c r="P650" i="51"/>
  <c r="Q650" i="51"/>
  <c r="L651" i="51"/>
  <c r="N651" i="51"/>
  <c r="O651" i="51"/>
  <c r="P651" i="51"/>
  <c r="Q651" i="51"/>
  <c r="L652" i="51"/>
  <c r="N652" i="51"/>
  <c r="O652" i="51"/>
  <c r="P652" i="51"/>
  <c r="Q652" i="51"/>
  <c r="L653" i="51"/>
  <c r="N653" i="51"/>
  <c r="O653" i="51"/>
  <c r="P653" i="51"/>
  <c r="Q653" i="51"/>
  <c r="L654" i="51"/>
  <c r="N654" i="51"/>
  <c r="O654" i="51"/>
  <c r="P654" i="51"/>
  <c r="Q654" i="51"/>
  <c r="L655" i="51"/>
  <c r="N655" i="51"/>
  <c r="O655" i="51"/>
  <c r="P655" i="51"/>
  <c r="Q655" i="51"/>
  <c r="L656" i="51"/>
  <c r="N656" i="51"/>
  <c r="O656" i="51"/>
  <c r="P656" i="51"/>
  <c r="Q656" i="51"/>
  <c r="L657" i="51"/>
  <c r="N657" i="51"/>
  <c r="O657" i="51"/>
  <c r="P657" i="51"/>
  <c r="Q657" i="51"/>
  <c r="L658" i="51"/>
  <c r="N658" i="51"/>
  <c r="O658" i="51"/>
  <c r="P658" i="51"/>
  <c r="Q658" i="51"/>
  <c r="L659" i="51"/>
  <c r="N659" i="51"/>
  <c r="O659" i="51"/>
  <c r="P659" i="51"/>
  <c r="Q659" i="51"/>
  <c r="L660" i="51"/>
  <c r="N660" i="51"/>
  <c r="O660" i="51"/>
  <c r="P660" i="51"/>
  <c r="Q660" i="51"/>
  <c r="L661" i="51"/>
  <c r="N661" i="51"/>
  <c r="O661" i="51"/>
  <c r="P661" i="51"/>
  <c r="Q661" i="51"/>
  <c r="L662" i="51"/>
  <c r="N662" i="51"/>
  <c r="O662" i="51"/>
  <c r="P662" i="51"/>
  <c r="Q662" i="51"/>
  <c r="L663" i="51"/>
  <c r="N663" i="51"/>
  <c r="O663" i="51"/>
  <c r="P663" i="51"/>
  <c r="Q663" i="51"/>
  <c r="L664" i="51"/>
  <c r="N664" i="51"/>
  <c r="O664" i="51"/>
  <c r="P664" i="51"/>
  <c r="Q664" i="51"/>
  <c r="L665" i="51"/>
  <c r="N665" i="51"/>
  <c r="O665" i="51"/>
  <c r="P665" i="51"/>
  <c r="Q665" i="51"/>
  <c r="L666" i="51"/>
  <c r="N666" i="51"/>
  <c r="O666" i="51"/>
  <c r="P666" i="51"/>
  <c r="Q666" i="51"/>
  <c r="L667" i="51"/>
  <c r="N667" i="51"/>
  <c r="O667" i="51"/>
  <c r="P667" i="51"/>
  <c r="Q667" i="51"/>
  <c r="L668" i="51"/>
  <c r="N668" i="51"/>
  <c r="O668" i="51"/>
  <c r="P668" i="51"/>
  <c r="Q668" i="51"/>
  <c r="L669" i="51"/>
  <c r="N669" i="51"/>
  <c r="O669" i="51"/>
  <c r="P669" i="51"/>
  <c r="Q669" i="51"/>
  <c r="L670" i="51"/>
  <c r="N670" i="51"/>
  <c r="O670" i="51"/>
  <c r="P670" i="51"/>
  <c r="Q670" i="51"/>
  <c r="L671" i="51"/>
  <c r="N671" i="51"/>
  <c r="O671" i="51"/>
  <c r="P671" i="51"/>
  <c r="Q671" i="51"/>
  <c r="L672" i="51"/>
  <c r="N672" i="51"/>
  <c r="O672" i="51"/>
  <c r="P672" i="51"/>
  <c r="Q672" i="51"/>
  <c r="L673" i="51"/>
  <c r="N673" i="51"/>
  <c r="O673" i="51"/>
  <c r="P673" i="51"/>
  <c r="Q673" i="51"/>
  <c r="L674" i="51"/>
  <c r="N674" i="51"/>
  <c r="O674" i="51"/>
  <c r="P674" i="51"/>
  <c r="Q674" i="51"/>
  <c r="L675" i="51"/>
  <c r="N675" i="51"/>
  <c r="O675" i="51"/>
  <c r="P675" i="51"/>
  <c r="Q675" i="51"/>
  <c r="L676" i="51"/>
  <c r="N676" i="51"/>
  <c r="O676" i="51"/>
  <c r="P676" i="51"/>
  <c r="Q676" i="51"/>
  <c r="L677" i="51"/>
  <c r="N677" i="51"/>
  <c r="O677" i="51"/>
  <c r="P677" i="51"/>
  <c r="Q677" i="51"/>
  <c r="L678" i="51"/>
  <c r="N678" i="51"/>
  <c r="O678" i="51"/>
  <c r="P678" i="51"/>
  <c r="Q678" i="51"/>
  <c r="L679" i="51"/>
  <c r="N679" i="51"/>
  <c r="O679" i="51"/>
  <c r="P679" i="51"/>
  <c r="Q679" i="51"/>
  <c r="L680" i="51"/>
  <c r="N680" i="51"/>
  <c r="O680" i="51"/>
  <c r="P680" i="51"/>
  <c r="Q680" i="51"/>
  <c r="L681" i="51"/>
  <c r="N681" i="51"/>
  <c r="O681" i="51"/>
  <c r="P681" i="51"/>
  <c r="Q681" i="51"/>
  <c r="L682" i="51"/>
  <c r="N682" i="51"/>
  <c r="O682" i="51"/>
  <c r="P682" i="51"/>
  <c r="Q682" i="51"/>
  <c r="L683" i="51"/>
  <c r="N683" i="51"/>
  <c r="O683" i="51"/>
  <c r="P683" i="51"/>
  <c r="Q683" i="51"/>
  <c r="L684" i="51"/>
  <c r="N684" i="51"/>
  <c r="O684" i="51"/>
  <c r="P684" i="51"/>
  <c r="Q684" i="51"/>
  <c r="L685" i="51"/>
  <c r="N685" i="51"/>
  <c r="O685" i="51"/>
  <c r="P685" i="51"/>
  <c r="Q685" i="51"/>
  <c r="L686" i="51"/>
  <c r="N686" i="51"/>
  <c r="O686" i="51"/>
  <c r="P686" i="51"/>
  <c r="Q686" i="51"/>
  <c r="L687" i="51"/>
  <c r="N687" i="51"/>
  <c r="O687" i="51"/>
  <c r="P687" i="51"/>
  <c r="Q687" i="51"/>
  <c r="L688" i="51"/>
  <c r="N688" i="51"/>
  <c r="O688" i="51"/>
  <c r="P688" i="51"/>
  <c r="Q688" i="51"/>
  <c r="L689" i="51"/>
  <c r="N689" i="51"/>
  <c r="O689" i="51"/>
  <c r="P689" i="51"/>
  <c r="Q689" i="51"/>
  <c r="L690" i="51"/>
  <c r="N690" i="51"/>
  <c r="O690" i="51"/>
  <c r="P690" i="51"/>
  <c r="Q690" i="51"/>
  <c r="L691" i="51"/>
  <c r="N691" i="51"/>
  <c r="O691" i="51"/>
  <c r="P691" i="51"/>
  <c r="Q691" i="51"/>
  <c r="L692" i="51"/>
  <c r="N692" i="51"/>
  <c r="O692" i="51"/>
  <c r="P692" i="51"/>
  <c r="Q692" i="51"/>
  <c r="L693" i="51"/>
  <c r="N693" i="51"/>
  <c r="O693" i="51"/>
  <c r="P693" i="51"/>
  <c r="Q693" i="51"/>
  <c r="L694" i="51"/>
  <c r="N694" i="51"/>
  <c r="O694" i="51"/>
  <c r="P694" i="51"/>
  <c r="Q694" i="51"/>
  <c r="L695" i="51"/>
  <c r="N695" i="51"/>
  <c r="O695" i="51"/>
  <c r="P695" i="51"/>
  <c r="Q695" i="51"/>
  <c r="L696" i="51"/>
  <c r="N696" i="51"/>
  <c r="O696" i="51"/>
  <c r="P696" i="51"/>
  <c r="Q696" i="51"/>
  <c r="L697" i="51"/>
  <c r="N697" i="51"/>
  <c r="O697" i="51"/>
  <c r="P697" i="51"/>
  <c r="Q697" i="51"/>
  <c r="L698" i="51"/>
  <c r="N698" i="51"/>
  <c r="O698" i="51"/>
  <c r="P698" i="51"/>
  <c r="Q698" i="51"/>
  <c r="L699" i="51"/>
  <c r="N699" i="51"/>
  <c r="O699" i="51"/>
  <c r="P699" i="51"/>
  <c r="Q699" i="51"/>
  <c r="L700" i="51"/>
  <c r="N700" i="51"/>
  <c r="O700" i="51"/>
  <c r="P700" i="51"/>
  <c r="Q700" i="51"/>
  <c r="L701" i="51"/>
  <c r="N701" i="51"/>
  <c r="O701" i="51"/>
  <c r="P701" i="51"/>
  <c r="Q701" i="51"/>
  <c r="L702" i="51"/>
  <c r="N702" i="51"/>
  <c r="O702" i="51"/>
  <c r="P702" i="51"/>
  <c r="Q702" i="51"/>
  <c r="L703" i="51"/>
  <c r="N703" i="51"/>
  <c r="O703" i="51"/>
  <c r="P703" i="51"/>
  <c r="Q703" i="51"/>
  <c r="L704" i="51"/>
  <c r="N704" i="51"/>
  <c r="O704" i="51"/>
  <c r="P704" i="51"/>
  <c r="Q704" i="51"/>
  <c r="L705" i="51"/>
  <c r="N705" i="51"/>
  <c r="O705" i="51"/>
  <c r="P705" i="51"/>
  <c r="Q705" i="51"/>
  <c r="L706" i="51"/>
  <c r="N706" i="51"/>
  <c r="O706" i="51"/>
  <c r="P706" i="51"/>
  <c r="Q706" i="51"/>
  <c r="L707" i="51"/>
  <c r="N707" i="51"/>
  <c r="O707" i="51"/>
  <c r="P707" i="51"/>
  <c r="Q707" i="51"/>
  <c r="L708" i="51"/>
  <c r="N708" i="51"/>
  <c r="O708" i="51"/>
  <c r="P708" i="51"/>
  <c r="Q708" i="51"/>
  <c r="L709" i="51"/>
  <c r="N709" i="51"/>
  <c r="O709" i="51"/>
  <c r="P709" i="51"/>
  <c r="Q709" i="51"/>
  <c r="L710" i="51"/>
  <c r="N710" i="51"/>
  <c r="O710" i="51"/>
  <c r="P710" i="51"/>
  <c r="Q710" i="51"/>
  <c r="L711" i="51"/>
  <c r="N711" i="51"/>
  <c r="O711" i="51"/>
  <c r="P711" i="51"/>
  <c r="Q711" i="51"/>
  <c r="L712" i="51"/>
  <c r="N712" i="51"/>
  <c r="O712" i="51"/>
  <c r="P712" i="51"/>
  <c r="Q712" i="51"/>
  <c r="L713" i="51"/>
  <c r="N713" i="51"/>
  <c r="O713" i="51"/>
  <c r="P713" i="51"/>
  <c r="Q713" i="51"/>
  <c r="L714" i="51"/>
  <c r="N714" i="51"/>
  <c r="O714" i="51"/>
  <c r="P714" i="51"/>
  <c r="Q714" i="51"/>
  <c r="L715" i="51"/>
  <c r="N715" i="51"/>
  <c r="O715" i="51"/>
  <c r="P715" i="51"/>
  <c r="Q715" i="51"/>
  <c r="L716" i="51"/>
  <c r="N716" i="51"/>
  <c r="O716" i="51"/>
  <c r="P716" i="51"/>
  <c r="Q716" i="51"/>
  <c r="L717" i="51"/>
  <c r="N717" i="51"/>
  <c r="O717" i="51"/>
  <c r="P717" i="51"/>
  <c r="Q717" i="51"/>
  <c r="L718" i="51"/>
  <c r="N718" i="51"/>
  <c r="O718" i="51"/>
  <c r="P718" i="51"/>
  <c r="Q718" i="51"/>
  <c r="L719" i="51"/>
  <c r="N719" i="51"/>
  <c r="O719" i="51"/>
  <c r="P719" i="51"/>
  <c r="Q719" i="51"/>
  <c r="L720" i="51"/>
  <c r="N720" i="51"/>
  <c r="O720" i="51"/>
  <c r="P720" i="51"/>
  <c r="Q720" i="51"/>
  <c r="L721" i="51"/>
  <c r="N721" i="51"/>
  <c r="O721" i="51"/>
  <c r="P721" i="51"/>
  <c r="Q721" i="51"/>
  <c r="L722" i="51"/>
  <c r="N722" i="51"/>
  <c r="O722" i="51"/>
  <c r="P722" i="51"/>
  <c r="Q722" i="51"/>
  <c r="L723" i="51"/>
  <c r="N723" i="51"/>
  <c r="O723" i="51"/>
  <c r="P723" i="51"/>
  <c r="Q723" i="51"/>
  <c r="L724" i="51"/>
  <c r="N724" i="51"/>
  <c r="O724" i="51"/>
  <c r="P724" i="51"/>
  <c r="Q724" i="51"/>
  <c r="L725" i="51"/>
  <c r="N725" i="51"/>
  <c r="O725" i="51"/>
  <c r="P725" i="51"/>
  <c r="Q725" i="51"/>
  <c r="L726" i="51"/>
  <c r="N726" i="51"/>
  <c r="O726" i="51"/>
  <c r="P726" i="51"/>
  <c r="Q726" i="51"/>
  <c r="L727" i="51"/>
  <c r="N727" i="51"/>
  <c r="O727" i="51"/>
  <c r="P727" i="51"/>
  <c r="Q727" i="51"/>
  <c r="L728" i="51"/>
  <c r="N728" i="51"/>
  <c r="O728" i="51"/>
  <c r="P728" i="51"/>
  <c r="Q728" i="51"/>
  <c r="L729" i="51"/>
  <c r="N729" i="51"/>
  <c r="O729" i="51"/>
  <c r="P729" i="51"/>
  <c r="Q729" i="51"/>
  <c r="L730" i="51"/>
  <c r="N730" i="51"/>
  <c r="O730" i="51"/>
  <c r="P730" i="51"/>
  <c r="Q730" i="51"/>
  <c r="L731" i="51"/>
  <c r="N731" i="51"/>
  <c r="O731" i="51"/>
  <c r="P731" i="51"/>
  <c r="Q731" i="51"/>
  <c r="L732" i="51"/>
  <c r="N732" i="51"/>
  <c r="O732" i="51"/>
  <c r="P732" i="51"/>
  <c r="Q732" i="51"/>
  <c r="L733" i="51"/>
  <c r="N733" i="51"/>
  <c r="O733" i="51"/>
  <c r="P733" i="51"/>
  <c r="Q733" i="51"/>
  <c r="L734" i="51"/>
  <c r="N734" i="51"/>
  <c r="O734" i="51"/>
  <c r="P734" i="51"/>
  <c r="Q734" i="51"/>
  <c r="L735" i="51"/>
  <c r="N735" i="51"/>
  <c r="O735" i="51"/>
  <c r="P735" i="51"/>
  <c r="Q735" i="51"/>
  <c r="L736" i="51"/>
  <c r="N736" i="51"/>
  <c r="O736" i="51"/>
  <c r="P736" i="51"/>
  <c r="Q736" i="51"/>
  <c r="L737" i="51"/>
  <c r="N737" i="51"/>
  <c r="O737" i="51"/>
  <c r="P737" i="51"/>
  <c r="Q737" i="51"/>
  <c r="L738" i="51"/>
  <c r="N738" i="51"/>
  <c r="O738" i="51"/>
  <c r="P738" i="51"/>
  <c r="Q738" i="51"/>
  <c r="L739" i="51"/>
  <c r="N739" i="51"/>
  <c r="O739" i="51"/>
  <c r="P739" i="51"/>
  <c r="Q739" i="51"/>
  <c r="L740" i="51"/>
  <c r="N740" i="51"/>
  <c r="O740" i="51"/>
  <c r="P740" i="51"/>
  <c r="Q740" i="51"/>
  <c r="L741" i="51"/>
  <c r="N741" i="51"/>
  <c r="O741" i="51"/>
  <c r="P741" i="51"/>
  <c r="Q741" i="51"/>
  <c r="L742" i="51"/>
  <c r="N742" i="51"/>
  <c r="O742" i="51"/>
  <c r="P742" i="51"/>
  <c r="Q742" i="51"/>
  <c r="L743" i="51"/>
  <c r="N743" i="51"/>
  <c r="O743" i="51"/>
  <c r="P743" i="51"/>
  <c r="Q743" i="51"/>
  <c r="L744" i="51"/>
  <c r="N744" i="51"/>
  <c r="O744" i="51"/>
  <c r="P744" i="51"/>
  <c r="Q744" i="51"/>
  <c r="L745" i="51"/>
  <c r="N745" i="51"/>
  <c r="O745" i="51"/>
  <c r="P745" i="51"/>
  <c r="Q745" i="51"/>
  <c r="L746" i="51"/>
  <c r="N746" i="51"/>
  <c r="O746" i="51"/>
  <c r="P746" i="51"/>
  <c r="Q746" i="51"/>
  <c r="L747" i="51"/>
  <c r="N747" i="51"/>
  <c r="O747" i="51"/>
  <c r="P747" i="51"/>
  <c r="Q747" i="51"/>
  <c r="L748" i="51"/>
  <c r="N748" i="51"/>
  <c r="O748" i="51"/>
  <c r="P748" i="51"/>
  <c r="Q748" i="51"/>
  <c r="L749" i="51"/>
  <c r="N749" i="51"/>
  <c r="O749" i="51"/>
  <c r="P749" i="51"/>
  <c r="Q749" i="51"/>
  <c r="L750" i="51"/>
  <c r="N750" i="51"/>
  <c r="O750" i="51"/>
  <c r="P750" i="51"/>
  <c r="Q750" i="51"/>
  <c r="L751" i="51"/>
  <c r="N751" i="51"/>
  <c r="O751" i="51"/>
  <c r="P751" i="51"/>
  <c r="Q751" i="51"/>
  <c r="L752" i="51"/>
  <c r="N752" i="51"/>
  <c r="O752" i="51"/>
  <c r="P752" i="51"/>
  <c r="Q752" i="51"/>
  <c r="L753" i="51"/>
  <c r="N753" i="51"/>
  <c r="O753" i="51"/>
  <c r="P753" i="51"/>
  <c r="Q753" i="51"/>
  <c r="L754" i="51"/>
  <c r="N754" i="51"/>
  <c r="O754" i="51"/>
  <c r="P754" i="51"/>
  <c r="Q754" i="51"/>
  <c r="L755" i="51"/>
  <c r="N755" i="51"/>
  <c r="O755" i="51"/>
  <c r="P755" i="51"/>
  <c r="Q755" i="51"/>
  <c r="L756" i="51"/>
  <c r="N756" i="51"/>
  <c r="O756" i="51"/>
  <c r="P756" i="51"/>
  <c r="Q756" i="51"/>
  <c r="L757" i="51"/>
  <c r="N757" i="51"/>
  <c r="O757" i="51"/>
  <c r="P757" i="51"/>
  <c r="Q757" i="51"/>
  <c r="L758" i="51"/>
  <c r="N758" i="51"/>
  <c r="O758" i="51"/>
  <c r="P758" i="51"/>
  <c r="Q758" i="51"/>
  <c r="L759" i="51"/>
  <c r="N759" i="51"/>
  <c r="O759" i="51"/>
  <c r="P759" i="51"/>
  <c r="Q759" i="51"/>
  <c r="L760" i="51"/>
  <c r="N760" i="51"/>
  <c r="O760" i="51"/>
  <c r="P760" i="51"/>
  <c r="Q760" i="51"/>
  <c r="L761" i="51"/>
  <c r="N761" i="51"/>
  <c r="O761" i="51"/>
  <c r="P761" i="51"/>
  <c r="Q761" i="51"/>
  <c r="L762" i="51"/>
  <c r="N762" i="51"/>
  <c r="O762" i="51"/>
  <c r="P762" i="51"/>
  <c r="Q762" i="51"/>
  <c r="L763" i="51"/>
  <c r="N763" i="51"/>
  <c r="O763" i="51"/>
  <c r="P763" i="51"/>
  <c r="Q763" i="51"/>
  <c r="L764" i="51"/>
  <c r="N764" i="51"/>
  <c r="O764" i="51"/>
  <c r="P764" i="51"/>
  <c r="Q764" i="51"/>
  <c r="L765" i="51"/>
  <c r="N765" i="51"/>
  <c r="O765" i="51"/>
  <c r="P765" i="51"/>
  <c r="Q765" i="51"/>
  <c r="L766" i="51"/>
  <c r="N766" i="51"/>
  <c r="O766" i="51"/>
  <c r="P766" i="51"/>
  <c r="Q766" i="51"/>
  <c r="L767" i="51"/>
  <c r="N767" i="51"/>
  <c r="O767" i="51"/>
  <c r="P767" i="51"/>
  <c r="Q767" i="51"/>
  <c r="L768" i="51"/>
  <c r="N768" i="51"/>
  <c r="O768" i="51"/>
  <c r="P768" i="51"/>
  <c r="Q768" i="51"/>
  <c r="L769" i="51"/>
  <c r="N769" i="51"/>
  <c r="O769" i="51"/>
  <c r="P769" i="51"/>
  <c r="Q769" i="51"/>
  <c r="L770" i="51"/>
  <c r="N770" i="51"/>
  <c r="O770" i="51"/>
  <c r="P770" i="51"/>
  <c r="Q770" i="51"/>
  <c r="L771" i="51"/>
  <c r="N771" i="51"/>
  <c r="O771" i="51"/>
  <c r="P771" i="51"/>
  <c r="Q771" i="51"/>
  <c r="L772" i="51"/>
  <c r="N772" i="51"/>
  <c r="O772" i="51"/>
  <c r="P772" i="51"/>
  <c r="Q772" i="51"/>
  <c r="L773" i="51"/>
  <c r="N773" i="51"/>
  <c r="O773" i="51"/>
  <c r="P773" i="51"/>
  <c r="Q773" i="51"/>
  <c r="L774" i="51"/>
  <c r="N774" i="51"/>
  <c r="O774" i="51"/>
  <c r="P774" i="51"/>
  <c r="Q774" i="51"/>
  <c r="L775" i="51"/>
  <c r="N775" i="51"/>
  <c r="O775" i="51"/>
  <c r="P775" i="51"/>
  <c r="Q775" i="51"/>
  <c r="L776" i="51"/>
  <c r="N776" i="51"/>
  <c r="O776" i="51"/>
  <c r="P776" i="51"/>
  <c r="Q776" i="51"/>
  <c r="L777" i="51"/>
  <c r="N777" i="51"/>
  <c r="O777" i="51"/>
  <c r="P777" i="51"/>
  <c r="Q777" i="51"/>
  <c r="L778" i="51"/>
  <c r="N778" i="51"/>
  <c r="O778" i="51"/>
  <c r="P778" i="51"/>
  <c r="Q778" i="51"/>
  <c r="L779" i="51"/>
  <c r="N779" i="51"/>
  <c r="O779" i="51"/>
  <c r="P779" i="51"/>
  <c r="Q779" i="51"/>
  <c r="L780" i="51"/>
  <c r="N780" i="51"/>
  <c r="O780" i="51"/>
  <c r="P780" i="51"/>
  <c r="Q780" i="51"/>
  <c r="L781" i="51"/>
  <c r="N781" i="51"/>
  <c r="O781" i="51"/>
  <c r="P781" i="51"/>
  <c r="Q781" i="51"/>
  <c r="L782" i="51"/>
  <c r="N782" i="51"/>
  <c r="O782" i="51"/>
  <c r="P782" i="51"/>
  <c r="Q782" i="51"/>
  <c r="L783" i="51"/>
  <c r="N783" i="51"/>
  <c r="O783" i="51"/>
  <c r="P783" i="51"/>
  <c r="Q783" i="51"/>
  <c r="L784" i="51"/>
  <c r="N784" i="51"/>
  <c r="O784" i="51"/>
  <c r="P784" i="51"/>
  <c r="Q784" i="51"/>
  <c r="L785" i="51"/>
  <c r="N785" i="51"/>
  <c r="O785" i="51"/>
  <c r="P785" i="51"/>
  <c r="Q785" i="51"/>
  <c r="L786" i="51"/>
  <c r="N786" i="51"/>
  <c r="O786" i="51"/>
  <c r="P786" i="51"/>
  <c r="Q786" i="51"/>
  <c r="L787" i="51"/>
  <c r="N787" i="51"/>
  <c r="O787" i="51"/>
  <c r="P787" i="51"/>
  <c r="Q787" i="51"/>
  <c r="L788" i="51"/>
  <c r="N788" i="51"/>
  <c r="O788" i="51"/>
  <c r="P788" i="51"/>
  <c r="Q788" i="51"/>
  <c r="L789" i="51"/>
  <c r="N789" i="51"/>
  <c r="O789" i="51"/>
  <c r="P789" i="51"/>
  <c r="Q789" i="51"/>
  <c r="L790" i="51"/>
  <c r="N790" i="51"/>
  <c r="O790" i="51"/>
  <c r="P790" i="51"/>
  <c r="Q790" i="51"/>
  <c r="L791" i="51"/>
  <c r="N791" i="51"/>
  <c r="O791" i="51"/>
  <c r="P791" i="51"/>
  <c r="Q791" i="51"/>
  <c r="L792" i="51"/>
  <c r="N792" i="51"/>
  <c r="O792" i="51"/>
  <c r="P792" i="51"/>
  <c r="Q792" i="51"/>
  <c r="L793" i="51"/>
  <c r="N793" i="51"/>
  <c r="O793" i="51"/>
  <c r="P793" i="51"/>
  <c r="Q793" i="51"/>
  <c r="L794" i="51"/>
  <c r="N794" i="51"/>
  <c r="O794" i="51"/>
  <c r="P794" i="51"/>
  <c r="Q794" i="51"/>
  <c r="L795" i="51"/>
  <c r="N795" i="51"/>
  <c r="O795" i="51"/>
  <c r="P795" i="51"/>
  <c r="Q795" i="51"/>
  <c r="L796" i="51"/>
  <c r="N796" i="51"/>
  <c r="O796" i="51"/>
  <c r="P796" i="51"/>
  <c r="Q796" i="51"/>
  <c r="L797" i="51"/>
  <c r="N797" i="51"/>
  <c r="O797" i="51"/>
  <c r="P797" i="51"/>
  <c r="Q797" i="51"/>
  <c r="L798" i="51"/>
  <c r="N798" i="51"/>
  <c r="O798" i="51"/>
  <c r="P798" i="51"/>
  <c r="Q798" i="51"/>
  <c r="L799" i="51"/>
  <c r="N799" i="51"/>
  <c r="O799" i="51"/>
  <c r="P799" i="51"/>
  <c r="Q799" i="51"/>
  <c r="L800" i="51"/>
  <c r="N800" i="51"/>
  <c r="O800" i="51"/>
  <c r="P800" i="51"/>
  <c r="Q800" i="51"/>
  <c r="L801" i="51"/>
  <c r="N801" i="51"/>
  <c r="O801" i="51"/>
  <c r="P801" i="51"/>
  <c r="Q801" i="51"/>
  <c r="L802" i="51"/>
  <c r="N802" i="51"/>
  <c r="O802" i="51"/>
  <c r="P802" i="51"/>
  <c r="Q802" i="51"/>
  <c r="L803" i="51"/>
  <c r="N803" i="51"/>
  <c r="O803" i="51"/>
  <c r="P803" i="51"/>
  <c r="Q803" i="51"/>
  <c r="L804" i="51"/>
  <c r="N804" i="51"/>
  <c r="O804" i="51"/>
  <c r="P804" i="51"/>
  <c r="Q804" i="51"/>
  <c r="L805" i="51"/>
  <c r="N805" i="51"/>
  <c r="O805" i="51"/>
  <c r="P805" i="51"/>
  <c r="Q805" i="51"/>
  <c r="L806" i="51"/>
  <c r="N806" i="51"/>
  <c r="O806" i="51"/>
  <c r="P806" i="51"/>
  <c r="Q806" i="51"/>
  <c r="L807" i="51"/>
  <c r="N807" i="51"/>
  <c r="O807" i="51"/>
  <c r="P807" i="51"/>
  <c r="Q807" i="51"/>
  <c r="L808" i="51"/>
  <c r="N808" i="51"/>
  <c r="O808" i="51"/>
  <c r="P808" i="51"/>
  <c r="Q808" i="51"/>
  <c r="L809" i="51"/>
  <c r="N809" i="51"/>
  <c r="O809" i="51"/>
  <c r="P809" i="51"/>
  <c r="Q809" i="51"/>
  <c r="L810" i="51"/>
  <c r="N810" i="51"/>
  <c r="O810" i="51"/>
  <c r="P810" i="51"/>
  <c r="Q810" i="51"/>
  <c r="L811" i="51"/>
  <c r="N811" i="51"/>
  <c r="O811" i="51"/>
  <c r="P811" i="51"/>
  <c r="Q811" i="51"/>
  <c r="L812" i="51"/>
  <c r="N812" i="51"/>
  <c r="O812" i="51"/>
  <c r="P812" i="51"/>
  <c r="Q812" i="51"/>
  <c r="L813" i="51"/>
  <c r="N813" i="51"/>
  <c r="O813" i="51"/>
  <c r="P813" i="51"/>
  <c r="Q813" i="51"/>
  <c r="L814" i="51"/>
  <c r="N814" i="51"/>
  <c r="O814" i="51"/>
  <c r="P814" i="51"/>
  <c r="Q814" i="51"/>
  <c r="L815" i="51"/>
  <c r="N815" i="51"/>
  <c r="O815" i="51"/>
  <c r="P815" i="51"/>
  <c r="Q815" i="51"/>
  <c r="L816" i="51"/>
  <c r="N816" i="51"/>
  <c r="O816" i="51"/>
  <c r="P816" i="51"/>
  <c r="Q816" i="51"/>
  <c r="L817" i="51"/>
  <c r="N817" i="51"/>
  <c r="O817" i="51"/>
  <c r="P817" i="51"/>
  <c r="Q817" i="51"/>
  <c r="L818" i="51"/>
  <c r="N818" i="51"/>
  <c r="O818" i="51"/>
  <c r="P818" i="51"/>
  <c r="Q818" i="51"/>
  <c r="L819" i="51"/>
  <c r="N819" i="51"/>
  <c r="O819" i="51"/>
  <c r="P819" i="51"/>
  <c r="Q819" i="51"/>
  <c r="L820" i="51"/>
  <c r="N820" i="51"/>
  <c r="O820" i="51"/>
  <c r="P820" i="51"/>
  <c r="Q820" i="51"/>
  <c r="L821" i="51"/>
  <c r="N821" i="51"/>
  <c r="O821" i="51"/>
  <c r="P821" i="51"/>
  <c r="Q821" i="51"/>
  <c r="L822" i="51"/>
  <c r="N822" i="51"/>
  <c r="O822" i="51"/>
  <c r="P822" i="51"/>
  <c r="Q822" i="51"/>
  <c r="L823" i="51"/>
  <c r="N823" i="51"/>
  <c r="O823" i="51"/>
  <c r="P823" i="51"/>
  <c r="Q823" i="51"/>
  <c r="L824" i="51"/>
  <c r="N824" i="51"/>
  <c r="O824" i="51"/>
  <c r="P824" i="51"/>
  <c r="Q824" i="51"/>
  <c r="L825" i="51"/>
  <c r="N825" i="51"/>
  <c r="O825" i="51"/>
  <c r="P825" i="51"/>
  <c r="Q825" i="51"/>
  <c r="L826" i="51"/>
  <c r="N826" i="51"/>
  <c r="O826" i="51"/>
  <c r="P826" i="51"/>
  <c r="Q826" i="51"/>
  <c r="L827" i="51"/>
  <c r="N827" i="51"/>
  <c r="O827" i="51"/>
  <c r="P827" i="51"/>
  <c r="Q827" i="51"/>
  <c r="L828" i="51"/>
  <c r="N828" i="51"/>
  <c r="O828" i="51"/>
  <c r="P828" i="51"/>
  <c r="Q828" i="51"/>
  <c r="L829" i="51"/>
  <c r="N829" i="51"/>
  <c r="O829" i="51"/>
  <c r="P829" i="51"/>
  <c r="Q829" i="51"/>
  <c r="L830" i="51"/>
  <c r="N830" i="51"/>
  <c r="O830" i="51"/>
  <c r="P830" i="51"/>
  <c r="Q830" i="51"/>
  <c r="L831" i="51"/>
  <c r="N831" i="51"/>
  <c r="O831" i="51"/>
  <c r="P831" i="51"/>
  <c r="Q831" i="51"/>
  <c r="L832" i="51"/>
  <c r="N832" i="51"/>
  <c r="O832" i="51"/>
  <c r="P832" i="51"/>
  <c r="Q832" i="51"/>
  <c r="L833" i="51"/>
  <c r="N833" i="51"/>
  <c r="O833" i="51"/>
  <c r="P833" i="51"/>
  <c r="Q833" i="51"/>
  <c r="L834" i="51"/>
  <c r="N834" i="51"/>
  <c r="O834" i="51"/>
  <c r="P834" i="51"/>
  <c r="Q834" i="51"/>
  <c r="L835" i="51"/>
  <c r="N835" i="51"/>
  <c r="O835" i="51"/>
  <c r="P835" i="51"/>
  <c r="Q835" i="51"/>
  <c r="L836" i="51"/>
  <c r="N836" i="51"/>
  <c r="O836" i="51"/>
  <c r="P836" i="51"/>
  <c r="Q836" i="51"/>
  <c r="L837" i="51"/>
  <c r="N837" i="51"/>
  <c r="O837" i="51"/>
  <c r="P837" i="51"/>
  <c r="Q837" i="51"/>
  <c r="L838" i="51"/>
  <c r="N838" i="51"/>
  <c r="O838" i="51"/>
  <c r="P838" i="51"/>
  <c r="Q838" i="51"/>
  <c r="L839" i="51"/>
  <c r="N839" i="51"/>
  <c r="O839" i="51"/>
  <c r="P839" i="51"/>
  <c r="Q839" i="51"/>
  <c r="L840" i="51"/>
  <c r="N840" i="51"/>
  <c r="O840" i="51"/>
  <c r="P840" i="51"/>
  <c r="Q840" i="51"/>
  <c r="L841" i="51"/>
  <c r="N841" i="51"/>
  <c r="O841" i="51"/>
  <c r="P841" i="51"/>
  <c r="Q841" i="51"/>
  <c r="L842" i="51"/>
  <c r="N842" i="51"/>
  <c r="O842" i="51"/>
  <c r="P842" i="51"/>
  <c r="Q842" i="51"/>
  <c r="L843" i="51"/>
  <c r="N843" i="51"/>
  <c r="O843" i="51"/>
  <c r="P843" i="51"/>
  <c r="Q843" i="51"/>
  <c r="L844" i="51"/>
  <c r="N844" i="51"/>
  <c r="O844" i="51"/>
  <c r="P844" i="51"/>
  <c r="Q844" i="51"/>
  <c r="L845" i="51"/>
  <c r="N845" i="51"/>
  <c r="O845" i="51"/>
  <c r="P845" i="51"/>
  <c r="Q845" i="51"/>
  <c r="L846" i="51"/>
  <c r="N846" i="51"/>
  <c r="O846" i="51"/>
  <c r="P846" i="51"/>
  <c r="Q846" i="51"/>
  <c r="L847" i="51"/>
  <c r="N847" i="51"/>
  <c r="O847" i="51"/>
  <c r="P847" i="51"/>
  <c r="Q847" i="51"/>
  <c r="L848" i="51"/>
  <c r="N848" i="51"/>
  <c r="O848" i="51"/>
  <c r="P848" i="51"/>
  <c r="Q848" i="51"/>
  <c r="L849" i="51"/>
  <c r="N849" i="51"/>
  <c r="O849" i="51"/>
  <c r="P849" i="51"/>
  <c r="Q849" i="51"/>
  <c r="L850" i="51"/>
  <c r="N850" i="51"/>
  <c r="O850" i="51"/>
  <c r="P850" i="51"/>
  <c r="Q850" i="51"/>
  <c r="L851" i="51"/>
  <c r="N851" i="51"/>
  <c r="O851" i="51"/>
  <c r="P851" i="51"/>
  <c r="Q851" i="51"/>
  <c r="L852" i="51"/>
  <c r="N852" i="51"/>
  <c r="O852" i="51"/>
  <c r="P852" i="51"/>
  <c r="Q852" i="51"/>
  <c r="L853" i="51"/>
  <c r="N853" i="51"/>
  <c r="O853" i="51"/>
  <c r="P853" i="51"/>
  <c r="Q853" i="51"/>
  <c r="L854" i="51"/>
  <c r="N854" i="51"/>
  <c r="O854" i="51"/>
  <c r="P854" i="51"/>
  <c r="Q854" i="51"/>
  <c r="L855" i="51"/>
  <c r="N855" i="51"/>
  <c r="O855" i="51"/>
  <c r="P855" i="51"/>
  <c r="Q855" i="51"/>
  <c r="L856" i="51"/>
  <c r="N856" i="51"/>
  <c r="O856" i="51"/>
  <c r="P856" i="51"/>
  <c r="Q856" i="51"/>
  <c r="L857" i="51"/>
  <c r="N857" i="51"/>
  <c r="O857" i="51"/>
  <c r="P857" i="51"/>
  <c r="Q857" i="51"/>
  <c r="L858" i="51"/>
  <c r="N858" i="51"/>
  <c r="O858" i="51"/>
  <c r="P858" i="51"/>
  <c r="Q858" i="51"/>
  <c r="L859" i="51"/>
  <c r="N859" i="51"/>
  <c r="O859" i="51"/>
  <c r="P859" i="51"/>
  <c r="Q859" i="51"/>
  <c r="L860" i="51"/>
  <c r="N860" i="51"/>
  <c r="O860" i="51"/>
  <c r="P860" i="51"/>
  <c r="Q860" i="51"/>
  <c r="L861" i="51"/>
  <c r="N861" i="51"/>
  <c r="O861" i="51"/>
  <c r="P861" i="51"/>
  <c r="Q861" i="51"/>
  <c r="L862" i="51"/>
  <c r="N862" i="51"/>
  <c r="O862" i="51"/>
  <c r="P862" i="51"/>
  <c r="Q862" i="51"/>
  <c r="L863" i="51"/>
  <c r="N863" i="51"/>
  <c r="O863" i="51"/>
  <c r="P863" i="51"/>
  <c r="Q863" i="51"/>
  <c r="L864" i="51"/>
  <c r="N864" i="51"/>
  <c r="O864" i="51"/>
  <c r="P864" i="51"/>
  <c r="Q864" i="51"/>
  <c r="L865" i="51"/>
  <c r="N865" i="51"/>
  <c r="O865" i="51"/>
  <c r="P865" i="51"/>
  <c r="Q865" i="51"/>
  <c r="L866" i="51"/>
  <c r="N866" i="51"/>
  <c r="O866" i="51"/>
  <c r="P866" i="51"/>
  <c r="Q866" i="51"/>
  <c r="L867" i="51"/>
  <c r="N867" i="51"/>
  <c r="O867" i="51"/>
  <c r="P867" i="51"/>
  <c r="Q867" i="51"/>
  <c r="L868" i="51"/>
  <c r="N868" i="51"/>
  <c r="O868" i="51"/>
  <c r="P868" i="51"/>
  <c r="Q868" i="51"/>
  <c r="L869" i="51"/>
  <c r="N869" i="51"/>
  <c r="O869" i="51"/>
  <c r="P869" i="51"/>
  <c r="Q869" i="51"/>
  <c r="L870" i="51"/>
  <c r="N870" i="51"/>
  <c r="O870" i="51"/>
  <c r="P870" i="51"/>
  <c r="Q870" i="51"/>
  <c r="L871" i="51"/>
  <c r="N871" i="51"/>
  <c r="O871" i="51"/>
  <c r="P871" i="51"/>
  <c r="Q871" i="51"/>
  <c r="L872" i="51"/>
  <c r="N872" i="51"/>
  <c r="O872" i="51"/>
  <c r="P872" i="51"/>
  <c r="Q872" i="51"/>
  <c r="L873" i="51"/>
  <c r="N873" i="51"/>
  <c r="O873" i="51"/>
  <c r="P873" i="51"/>
  <c r="Q873" i="51"/>
  <c r="L874" i="51"/>
  <c r="N874" i="51"/>
  <c r="O874" i="51"/>
  <c r="P874" i="51"/>
  <c r="Q874" i="51"/>
  <c r="L875" i="51"/>
  <c r="N875" i="51"/>
  <c r="O875" i="51"/>
  <c r="P875" i="51"/>
  <c r="Q875" i="51"/>
  <c r="L876" i="51"/>
  <c r="N876" i="51"/>
  <c r="O876" i="51"/>
  <c r="P876" i="51"/>
  <c r="Q876" i="51"/>
  <c r="L877" i="51"/>
  <c r="N877" i="51"/>
  <c r="O877" i="51"/>
  <c r="P877" i="51"/>
  <c r="Q877" i="51"/>
  <c r="L878" i="51"/>
  <c r="N878" i="51"/>
  <c r="O878" i="51"/>
  <c r="P878" i="51"/>
  <c r="Q878" i="51"/>
  <c r="L879" i="51"/>
  <c r="N879" i="51"/>
  <c r="O879" i="51"/>
  <c r="P879" i="51"/>
  <c r="Q879" i="51"/>
  <c r="L880" i="51"/>
  <c r="N880" i="51"/>
  <c r="O880" i="51"/>
  <c r="P880" i="51"/>
  <c r="Q880" i="51"/>
  <c r="L881" i="51"/>
  <c r="N881" i="51"/>
  <c r="O881" i="51"/>
  <c r="P881" i="51"/>
  <c r="Q881" i="51"/>
  <c r="L882" i="51"/>
  <c r="N882" i="51"/>
  <c r="O882" i="51"/>
  <c r="P882" i="51"/>
  <c r="Q882" i="51"/>
  <c r="L883" i="51"/>
  <c r="N883" i="51"/>
  <c r="O883" i="51"/>
  <c r="P883" i="51"/>
  <c r="Q883" i="51"/>
  <c r="L884" i="51"/>
  <c r="N884" i="51"/>
  <c r="O884" i="51"/>
  <c r="P884" i="51"/>
  <c r="Q884" i="51"/>
  <c r="L885" i="51"/>
  <c r="N885" i="51"/>
  <c r="O885" i="51"/>
  <c r="P885" i="51"/>
  <c r="Q885" i="51"/>
  <c r="L886" i="51"/>
  <c r="N886" i="51"/>
  <c r="O886" i="51"/>
  <c r="P886" i="51"/>
  <c r="Q886" i="51"/>
  <c r="L887" i="51"/>
  <c r="N887" i="51"/>
  <c r="O887" i="51"/>
  <c r="P887" i="51"/>
  <c r="Q887" i="51"/>
  <c r="L888" i="51"/>
  <c r="N888" i="51"/>
  <c r="O888" i="51"/>
  <c r="P888" i="51"/>
  <c r="Q888" i="51"/>
  <c r="L889" i="51"/>
  <c r="N889" i="51"/>
  <c r="O889" i="51"/>
  <c r="P889" i="51"/>
  <c r="Q889" i="51"/>
  <c r="L890" i="51"/>
  <c r="N890" i="51"/>
  <c r="O890" i="51"/>
  <c r="P890" i="51"/>
  <c r="Q890" i="51"/>
  <c r="L891" i="51"/>
  <c r="N891" i="51"/>
  <c r="O891" i="51"/>
  <c r="P891" i="51"/>
  <c r="Q891" i="51"/>
  <c r="L892" i="51"/>
  <c r="N892" i="51"/>
  <c r="O892" i="51"/>
  <c r="P892" i="51"/>
  <c r="Q892" i="51"/>
  <c r="L893" i="51"/>
  <c r="N893" i="51"/>
  <c r="O893" i="51"/>
  <c r="P893" i="51"/>
  <c r="Q893" i="51"/>
  <c r="L894" i="51"/>
  <c r="N894" i="51"/>
  <c r="O894" i="51"/>
  <c r="P894" i="51"/>
  <c r="Q894" i="51"/>
  <c r="L895" i="51"/>
  <c r="N895" i="51"/>
  <c r="O895" i="51"/>
  <c r="P895" i="51"/>
  <c r="Q895" i="51"/>
  <c r="L896" i="51"/>
  <c r="N896" i="51"/>
  <c r="O896" i="51"/>
  <c r="P896" i="51"/>
  <c r="Q896" i="51"/>
  <c r="L897" i="51"/>
  <c r="N897" i="51"/>
  <c r="O897" i="51"/>
  <c r="P897" i="51"/>
  <c r="Q897" i="51"/>
  <c r="L898" i="51"/>
  <c r="N898" i="51"/>
  <c r="O898" i="51"/>
  <c r="P898" i="51"/>
  <c r="Q898" i="51"/>
  <c r="L899" i="51"/>
  <c r="N899" i="51"/>
  <c r="O899" i="51"/>
  <c r="P899" i="51"/>
  <c r="Q899" i="51"/>
  <c r="L900" i="51"/>
  <c r="N900" i="51"/>
  <c r="O900" i="51"/>
  <c r="P900" i="51"/>
  <c r="Q900" i="51"/>
  <c r="L901" i="51"/>
  <c r="N901" i="51"/>
  <c r="O901" i="51"/>
  <c r="P901" i="51"/>
  <c r="Q901" i="51"/>
  <c r="L902" i="51"/>
  <c r="N902" i="51"/>
  <c r="O902" i="51"/>
  <c r="P902" i="51"/>
  <c r="Q902" i="51"/>
  <c r="L903" i="51"/>
  <c r="N903" i="51"/>
  <c r="O903" i="51"/>
  <c r="P903" i="51"/>
  <c r="Q903" i="51"/>
  <c r="L904" i="51"/>
  <c r="N904" i="51"/>
  <c r="O904" i="51"/>
  <c r="P904" i="51"/>
  <c r="Q904" i="51"/>
  <c r="L905" i="51"/>
  <c r="N905" i="51"/>
  <c r="O905" i="51"/>
  <c r="P905" i="51"/>
  <c r="Q905" i="51"/>
  <c r="L906" i="51"/>
  <c r="N906" i="51"/>
  <c r="O906" i="51"/>
  <c r="P906" i="51"/>
  <c r="Q906" i="51"/>
  <c r="L907" i="51"/>
  <c r="N907" i="51"/>
  <c r="O907" i="51"/>
  <c r="P907" i="51"/>
  <c r="Q907" i="51"/>
  <c r="L908" i="51"/>
  <c r="N908" i="51"/>
  <c r="O908" i="51"/>
  <c r="P908" i="51"/>
  <c r="Q908" i="51"/>
  <c r="L909" i="51"/>
  <c r="N909" i="51"/>
  <c r="O909" i="51"/>
  <c r="P909" i="51"/>
  <c r="Q909" i="51"/>
  <c r="L910" i="51"/>
  <c r="N910" i="51"/>
  <c r="O910" i="51"/>
  <c r="P910" i="51"/>
  <c r="Q910" i="51"/>
  <c r="L911" i="51"/>
  <c r="N911" i="51"/>
  <c r="O911" i="51"/>
  <c r="P911" i="51"/>
  <c r="Q911" i="51"/>
  <c r="L912" i="51"/>
  <c r="N912" i="51"/>
  <c r="O912" i="51"/>
  <c r="P912" i="51"/>
  <c r="Q912" i="51"/>
  <c r="L913" i="51"/>
  <c r="N913" i="51"/>
  <c r="O913" i="51"/>
  <c r="P913" i="51"/>
  <c r="Q913" i="51"/>
  <c r="L914" i="51"/>
  <c r="N914" i="51"/>
  <c r="O914" i="51"/>
  <c r="P914" i="51"/>
  <c r="Q914" i="51"/>
  <c r="L915" i="51"/>
  <c r="N915" i="51"/>
  <c r="O915" i="51"/>
  <c r="P915" i="51"/>
  <c r="Q915" i="51"/>
  <c r="L916" i="51"/>
  <c r="N916" i="51"/>
  <c r="O916" i="51"/>
  <c r="P916" i="51"/>
  <c r="Q916" i="51"/>
  <c r="L917" i="51"/>
  <c r="N917" i="51"/>
  <c r="O917" i="51"/>
  <c r="P917" i="51"/>
  <c r="Q917" i="51"/>
  <c r="L918" i="51"/>
  <c r="N918" i="51"/>
  <c r="O918" i="51"/>
  <c r="P918" i="51"/>
  <c r="Q918" i="51"/>
  <c r="L919" i="51"/>
  <c r="N919" i="51"/>
  <c r="O919" i="51"/>
  <c r="P919" i="51"/>
  <c r="Q919" i="51"/>
  <c r="L920" i="51"/>
  <c r="N920" i="51"/>
  <c r="O920" i="51"/>
  <c r="P920" i="51"/>
  <c r="Q920" i="51"/>
  <c r="L921" i="51"/>
  <c r="N921" i="51"/>
  <c r="O921" i="51"/>
  <c r="P921" i="51"/>
  <c r="Q921" i="51"/>
  <c r="L922" i="51"/>
  <c r="N922" i="51"/>
  <c r="O922" i="51"/>
  <c r="P922" i="51"/>
  <c r="Q922" i="51"/>
  <c r="L923" i="51"/>
  <c r="N923" i="51"/>
  <c r="O923" i="51"/>
  <c r="P923" i="51"/>
  <c r="Q923" i="51"/>
  <c r="L924" i="51"/>
  <c r="N924" i="51"/>
  <c r="O924" i="51"/>
  <c r="P924" i="51"/>
  <c r="Q924" i="51"/>
  <c r="L925" i="51"/>
  <c r="N925" i="51"/>
  <c r="O925" i="51"/>
  <c r="P925" i="51"/>
  <c r="Q925" i="51"/>
  <c r="L926" i="51"/>
  <c r="N926" i="51"/>
  <c r="O926" i="51"/>
  <c r="P926" i="51"/>
  <c r="Q926" i="51"/>
  <c r="L927" i="51"/>
  <c r="N927" i="51"/>
  <c r="O927" i="51"/>
  <c r="P927" i="51"/>
  <c r="Q927" i="51"/>
  <c r="L928" i="51"/>
  <c r="N928" i="51"/>
  <c r="O928" i="51"/>
  <c r="P928" i="51"/>
  <c r="Q928" i="51"/>
  <c r="L929" i="51"/>
  <c r="N929" i="51"/>
  <c r="O929" i="51"/>
  <c r="P929" i="51"/>
  <c r="Q929" i="51"/>
  <c r="L930" i="51"/>
  <c r="N930" i="51"/>
  <c r="O930" i="51"/>
  <c r="P930" i="51"/>
  <c r="Q930" i="51"/>
  <c r="L931" i="51"/>
  <c r="N931" i="51"/>
  <c r="O931" i="51"/>
  <c r="P931" i="51"/>
  <c r="Q931" i="51"/>
  <c r="L932" i="51"/>
  <c r="N932" i="51"/>
  <c r="O932" i="51"/>
  <c r="P932" i="51"/>
  <c r="Q932" i="51"/>
  <c r="L933" i="51"/>
  <c r="N933" i="51"/>
  <c r="O933" i="51"/>
  <c r="P933" i="51"/>
  <c r="Q933" i="51"/>
  <c r="L934" i="51"/>
  <c r="N934" i="51"/>
  <c r="O934" i="51"/>
  <c r="P934" i="51"/>
  <c r="Q934" i="51"/>
  <c r="L935" i="51"/>
  <c r="N935" i="51"/>
  <c r="O935" i="51"/>
  <c r="P935" i="51"/>
  <c r="Q935" i="51"/>
  <c r="L936" i="51"/>
  <c r="N936" i="51"/>
  <c r="O936" i="51"/>
  <c r="P936" i="51"/>
  <c r="Q936" i="51"/>
  <c r="L937" i="51"/>
  <c r="N937" i="51"/>
  <c r="O937" i="51"/>
  <c r="P937" i="51"/>
  <c r="Q937" i="51"/>
  <c r="L938" i="51"/>
  <c r="N938" i="51"/>
  <c r="O938" i="51"/>
  <c r="P938" i="51"/>
  <c r="Q938" i="51"/>
  <c r="L939" i="51"/>
  <c r="N939" i="51"/>
  <c r="O939" i="51"/>
  <c r="P939" i="51"/>
  <c r="Q939" i="51"/>
  <c r="L940" i="51"/>
  <c r="N940" i="51"/>
  <c r="O940" i="51"/>
  <c r="P940" i="51"/>
  <c r="Q940" i="51"/>
  <c r="L941" i="51"/>
  <c r="N941" i="51"/>
  <c r="O941" i="51"/>
  <c r="P941" i="51"/>
  <c r="Q941" i="51"/>
  <c r="L942" i="51"/>
  <c r="N942" i="51"/>
  <c r="O942" i="51"/>
  <c r="P942" i="51"/>
  <c r="Q942" i="51"/>
  <c r="L943" i="51"/>
  <c r="N943" i="51"/>
  <c r="O943" i="51"/>
  <c r="P943" i="51"/>
  <c r="Q943" i="51"/>
  <c r="L944" i="51"/>
  <c r="N944" i="51"/>
  <c r="O944" i="51"/>
  <c r="P944" i="51"/>
  <c r="Q944" i="51"/>
  <c r="L945" i="51"/>
  <c r="N945" i="51"/>
  <c r="O945" i="51"/>
  <c r="P945" i="51"/>
  <c r="Q945" i="51"/>
  <c r="L946" i="51"/>
  <c r="N946" i="51"/>
  <c r="O946" i="51"/>
  <c r="P946" i="51"/>
  <c r="Q946" i="51"/>
  <c r="L947" i="51"/>
  <c r="N947" i="51"/>
  <c r="O947" i="51"/>
  <c r="P947" i="51"/>
  <c r="Q947" i="51"/>
  <c r="L948" i="51"/>
  <c r="N948" i="51"/>
  <c r="O948" i="51"/>
  <c r="P948" i="51"/>
  <c r="Q948" i="51"/>
  <c r="L949" i="51"/>
  <c r="N949" i="51"/>
  <c r="O949" i="51"/>
  <c r="P949" i="51"/>
  <c r="Q949" i="51"/>
  <c r="L950" i="51"/>
  <c r="N950" i="51"/>
  <c r="O950" i="51"/>
  <c r="P950" i="51"/>
  <c r="Q950" i="51"/>
  <c r="L951" i="51"/>
  <c r="N951" i="51"/>
  <c r="O951" i="51"/>
  <c r="P951" i="51"/>
  <c r="Q951" i="51"/>
  <c r="L952" i="51"/>
  <c r="N952" i="51"/>
  <c r="O952" i="51"/>
  <c r="P952" i="51"/>
  <c r="Q952" i="51"/>
  <c r="L953" i="51"/>
  <c r="N953" i="51"/>
  <c r="O953" i="51"/>
  <c r="P953" i="51"/>
  <c r="Q953" i="51"/>
  <c r="L954" i="51"/>
  <c r="N954" i="51"/>
  <c r="O954" i="51"/>
  <c r="P954" i="51"/>
  <c r="Q954" i="51"/>
  <c r="L955" i="51"/>
  <c r="N955" i="51"/>
  <c r="O955" i="51"/>
  <c r="P955" i="51"/>
  <c r="Q955" i="51"/>
  <c r="L956" i="51"/>
  <c r="N956" i="51"/>
  <c r="O956" i="51"/>
  <c r="P956" i="51"/>
  <c r="Q956" i="51"/>
  <c r="L957" i="51"/>
  <c r="N957" i="51"/>
  <c r="O957" i="51"/>
  <c r="P957" i="51"/>
  <c r="Q957" i="51"/>
  <c r="L958" i="51"/>
  <c r="N958" i="51"/>
  <c r="O958" i="51"/>
  <c r="P958" i="51"/>
  <c r="Q958" i="51"/>
  <c r="L959" i="51"/>
  <c r="N959" i="51"/>
  <c r="O959" i="51"/>
  <c r="P959" i="51"/>
  <c r="Q959" i="51"/>
  <c r="L960" i="51"/>
  <c r="N960" i="51"/>
  <c r="O960" i="51"/>
  <c r="P960" i="51"/>
  <c r="Q960" i="51"/>
  <c r="L961" i="51"/>
  <c r="N961" i="51"/>
  <c r="O961" i="51"/>
  <c r="P961" i="51"/>
  <c r="Q961" i="51"/>
  <c r="L962" i="51"/>
  <c r="N962" i="51"/>
  <c r="O962" i="51"/>
  <c r="P962" i="51"/>
  <c r="Q962" i="51"/>
  <c r="L963" i="51"/>
  <c r="N963" i="51"/>
  <c r="O963" i="51"/>
  <c r="P963" i="51"/>
  <c r="Q963" i="51"/>
  <c r="L964" i="51"/>
  <c r="N964" i="51"/>
  <c r="O964" i="51"/>
  <c r="P964" i="51"/>
  <c r="Q964" i="51"/>
  <c r="L965" i="51"/>
  <c r="N965" i="51"/>
  <c r="O965" i="51"/>
  <c r="P965" i="51"/>
  <c r="Q965" i="51"/>
  <c r="L966" i="51"/>
  <c r="N966" i="51"/>
  <c r="O966" i="51"/>
  <c r="P966" i="51"/>
  <c r="Q966" i="51"/>
  <c r="L967" i="51"/>
  <c r="N967" i="51"/>
  <c r="O967" i="51"/>
  <c r="P967" i="51"/>
  <c r="Q967" i="51"/>
  <c r="L968" i="51"/>
  <c r="N968" i="51"/>
  <c r="O968" i="51"/>
  <c r="P968" i="51"/>
  <c r="Q968" i="51"/>
  <c r="L969" i="51"/>
  <c r="N969" i="51"/>
  <c r="O969" i="51"/>
  <c r="P969" i="51"/>
  <c r="Q969" i="51"/>
  <c r="L970" i="51"/>
  <c r="N970" i="51"/>
  <c r="O970" i="51"/>
  <c r="P970" i="51"/>
  <c r="Q970" i="51"/>
  <c r="L971" i="51"/>
  <c r="N971" i="51"/>
  <c r="O971" i="51"/>
  <c r="P971" i="51"/>
  <c r="Q971" i="51"/>
  <c r="L972" i="51"/>
  <c r="N972" i="51"/>
  <c r="O972" i="51"/>
  <c r="P972" i="51"/>
  <c r="Q972" i="51"/>
  <c r="L973" i="51"/>
  <c r="N973" i="51"/>
  <c r="O973" i="51"/>
  <c r="P973" i="51"/>
  <c r="Q973" i="51"/>
  <c r="L974" i="51"/>
  <c r="N974" i="51"/>
  <c r="O974" i="51"/>
  <c r="P974" i="51"/>
  <c r="Q974" i="51"/>
  <c r="L975" i="51"/>
  <c r="N975" i="51"/>
  <c r="O975" i="51"/>
  <c r="P975" i="51"/>
  <c r="Q975" i="51"/>
  <c r="L976" i="51"/>
  <c r="N976" i="51"/>
  <c r="O976" i="51"/>
  <c r="P976" i="51"/>
  <c r="Q976" i="51"/>
  <c r="L977" i="51"/>
  <c r="N977" i="51"/>
  <c r="O977" i="51"/>
  <c r="P977" i="51"/>
  <c r="Q977" i="51"/>
  <c r="L978" i="51"/>
  <c r="N978" i="51"/>
  <c r="O978" i="51"/>
  <c r="P978" i="51"/>
  <c r="Q978" i="51"/>
  <c r="L979" i="51"/>
  <c r="N979" i="51"/>
  <c r="O979" i="51"/>
  <c r="P979" i="51"/>
  <c r="Q979" i="51"/>
  <c r="L980" i="51"/>
  <c r="N980" i="51"/>
  <c r="O980" i="51"/>
  <c r="P980" i="51"/>
  <c r="Q980" i="51"/>
  <c r="L981" i="51"/>
  <c r="N981" i="51"/>
  <c r="O981" i="51"/>
  <c r="P981" i="51"/>
  <c r="Q981" i="51"/>
  <c r="L982" i="51"/>
  <c r="N982" i="51"/>
  <c r="O982" i="51"/>
  <c r="P982" i="51"/>
  <c r="Q982" i="51"/>
  <c r="L983" i="51"/>
  <c r="N983" i="51"/>
  <c r="O983" i="51"/>
  <c r="P983" i="51"/>
  <c r="Q983" i="51"/>
  <c r="L984" i="51"/>
  <c r="N984" i="51"/>
  <c r="O984" i="51"/>
  <c r="P984" i="51"/>
  <c r="Q984" i="51"/>
  <c r="L985" i="51"/>
  <c r="N985" i="51"/>
  <c r="O985" i="51"/>
  <c r="P985" i="51"/>
  <c r="Q985" i="51"/>
  <c r="L986" i="51"/>
  <c r="N986" i="51"/>
  <c r="O986" i="51"/>
  <c r="P986" i="51"/>
  <c r="Q986" i="51"/>
  <c r="L987" i="51"/>
  <c r="N987" i="51"/>
  <c r="O987" i="51"/>
  <c r="P987" i="51"/>
  <c r="Q987" i="51"/>
  <c r="L988" i="51"/>
  <c r="N988" i="51"/>
  <c r="O988" i="51"/>
  <c r="P988" i="51"/>
  <c r="Q988" i="51"/>
  <c r="L989" i="51"/>
  <c r="N989" i="51"/>
  <c r="O989" i="51"/>
  <c r="P989" i="51"/>
  <c r="Q989" i="51"/>
  <c r="L990" i="51"/>
  <c r="N990" i="51"/>
  <c r="O990" i="51"/>
  <c r="P990" i="51"/>
  <c r="Q990" i="51"/>
  <c r="L991" i="51"/>
  <c r="N991" i="51"/>
  <c r="O991" i="51"/>
  <c r="P991" i="51"/>
  <c r="Q991" i="51"/>
  <c r="L992" i="51"/>
  <c r="N992" i="51"/>
  <c r="O992" i="51"/>
  <c r="P992" i="51"/>
  <c r="Q992" i="51"/>
  <c r="L993" i="51"/>
  <c r="N993" i="51"/>
  <c r="O993" i="51"/>
  <c r="P993" i="51"/>
  <c r="Q993" i="51"/>
  <c r="L994" i="51"/>
  <c r="N994" i="51"/>
  <c r="O994" i="51"/>
  <c r="P994" i="51"/>
  <c r="Q994" i="51"/>
  <c r="L995" i="51"/>
  <c r="N995" i="51"/>
  <c r="O995" i="51"/>
  <c r="P995" i="51"/>
  <c r="Q995" i="51"/>
  <c r="L996" i="51"/>
  <c r="N996" i="51"/>
  <c r="O996" i="51"/>
  <c r="P996" i="51"/>
  <c r="Q996" i="51"/>
  <c r="L997" i="51"/>
  <c r="N997" i="51"/>
  <c r="O997" i="51"/>
  <c r="P997" i="51"/>
  <c r="Q997" i="51"/>
  <c r="L998" i="51"/>
  <c r="N998" i="51"/>
  <c r="O998" i="51"/>
  <c r="P998" i="51"/>
  <c r="Q998" i="51"/>
  <c r="L999" i="51"/>
  <c r="N999" i="51"/>
  <c r="O999" i="51"/>
  <c r="P999" i="51"/>
  <c r="Q999" i="51"/>
  <c r="L1000" i="51"/>
  <c r="N1000" i="51"/>
  <c r="O1000" i="51"/>
  <c r="P1000" i="51"/>
  <c r="Q1000" i="51"/>
  <c r="L1001" i="51"/>
  <c r="N1001" i="51"/>
  <c r="O1001" i="51"/>
  <c r="P1001" i="51"/>
  <c r="Q1001" i="51"/>
  <c r="L1002" i="51"/>
  <c r="N1002" i="51"/>
  <c r="O1002" i="51"/>
  <c r="P1002" i="51"/>
  <c r="Q1002" i="51"/>
  <c r="L1003" i="51"/>
  <c r="N1003" i="51"/>
  <c r="O1003" i="51"/>
  <c r="P1003" i="51"/>
  <c r="Q1003" i="51"/>
  <c r="L1004" i="51"/>
  <c r="N1004" i="51"/>
  <c r="O1004" i="51"/>
  <c r="P1004" i="51"/>
  <c r="Q1004" i="51"/>
  <c r="L1005" i="51"/>
  <c r="N1005" i="51"/>
  <c r="O1005" i="51"/>
  <c r="P1005" i="51"/>
  <c r="Q1005" i="51"/>
  <c r="L1006" i="51"/>
  <c r="N1006" i="51"/>
  <c r="O1006" i="51"/>
  <c r="P1006" i="51"/>
  <c r="Q1006" i="51"/>
  <c r="L1007" i="51"/>
  <c r="N1007" i="51"/>
  <c r="O1007" i="51"/>
  <c r="P1007" i="51"/>
  <c r="Q1007" i="51"/>
  <c r="L1008" i="51"/>
  <c r="N1008" i="51"/>
  <c r="O1008" i="51"/>
  <c r="P1008" i="51"/>
  <c r="Q1008" i="51"/>
  <c r="L1009" i="51"/>
  <c r="N1009" i="51"/>
  <c r="O1009" i="51"/>
  <c r="P1009" i="51"/>
  <c r="Q1009" i="51"/>
  <c r="L1010" i="51"/>
  <c r="N1010" i="51"/>
  <c r="O1010" i="51"/>
  <c r="P1010" i="51"/>
  <c r="Q1010" i="51"/>
  <c r="L1011" i="51"/>
  <c r="N1011" i="51"/>
  <c r="O1011" i="51"/>
  <c r="P1011" i="51"/>
  <c r="Q1011" i="51"/>
  <c r="L1012" i="51"/>
  <c r="N1012" i="51"/>
  <c r="O1012" i="51"/>
  <c r="P1012" i="51"/>
  <c r="Q1012" i="51"/>
  <c r="L1013" i="51"/>
  <c r="N1013" i="51"/>
  <c r="O1013" i="51"/>
  <c r="P1013" i="51"/>
  <c r="Q1013" i="51"/>
  <c r="L1014" i="51"/>
  <c r="N1014" i="51"/>
  <c r="O1014" i="51"/>
  <c r="P1014" i="51"/>
  <c r="Q1014" i="51"/>
  <c r="L1015" i="51"/>
  <c r="N1015" i="51"/>
  <c r="O1015" i="51"/>
  <c r="P1015" i="51"/>
  <c r="Q1015" i="51"/>
  <c r="L1016" i="51"/>
  <c r="N1016" i="51"/>
  <c r="O1016" i="51"/>
  <c r="P1016" i="51"/>
  <c r="Q1016" i="51"/>
  <c r="L1017" i="51"/>
  <c r="N1017" i="51"/>
  <c r="O1017" i="51"/>
  <c r="P1017" i="51"/>
  <c r="Q1017" i="51"/>
  <c r="L1018" i="51"/>
  <c r="N1018" i="51"/>
  <c r="O1018" i="51"/>
  <c r="P1018" i="51"/>
  <c r="Q1018" i="51"/>
  <c r="L1019" i="51"/>
  <c r="N1019" i="51"/>
  <c r="O1019" i="51"/>
  <c r="P1019" i="51"/>
  <c r="Q1019" i="51"/>
  <c r="L1020" i="51"/>
  <c r="N1020" i="51"/>
  <c r="O1020" i="51"/>
  <c r="P1020" i="51"/>
  <c r="Q1020" i="51"/>
  <c r="L1021" i="51"/>
  <c r="N1021" i="51"/>
  <c r="O1021" i="51"/>
  <c r="P1021" i="51"/>
  <c r="Q1021" i="51"/>
  <c r="L1022" i="51"/>
  <c r="N1022" i="51"/>
  <c r="O1022" i="51"/>
  <c r="P1022" i="51"/>
  <c r="Q1022" i="51"/>
  <c r="L1023" i="51"/>
  <c r="N1023" i="51"/>
  <c r="O1023" i="51"/>
  <c r="P1023" i="51"/>
  <c r="Q1023" i="51"/>
  <c r="L1024" i="51"/>
  <c r="N1024" i="51"/>
  <c r="O1024" i="51"/>
  <c r="P1024" i="51"/>
  <c r="Q1024" i="51"/>
  <c r="L1025" i="51"/>
  <c r="N1025" i="51"/>
  <c r="O1025" i="51"/>
  <c r="P1025" i="51"/>
  <c r="Q1025" i="51"/>
  <c r="L1026" i="51"/>
  <c r="N1026" i="51"/>
  <c r="O1026" i="51"/>
  <c r="P1026" i="51"/>
  <c r="Q1026" i="51"/>
  <c r="L1027" i="51"/>
  <c r="N1027" i="51"/>
  <c r="O1027" i="51"/>
  <c r="P1027" i="51"/>
  <c r="Q1027" i="51"/>
  <c r="L1028" i="51"/>
  <c r="N1028" i="51"/>
  <c r="O1028" i="51"/>
  <c r="P1028" i="51"/>
  <c r="Q1028" i="51"/>
  <c r="L1029" i="51"/>
  <c r="N1029" i="51"/>
  <c r="O1029" i="51"/>
  <c r="P1029" i="51"/>
  <c r="Q1029" i="51"/>
  <c r="L1030" i="51"/>
  <c r="N1030" i="51"/>
  <c r="O1030" i="51"/>
  <c r="P1030" i="51"/>
  <c r="Q1030" i="51"/>
  <c r="L1031" i="51"/>
  <c r="N1031" i="51"/>
  <c r="O1031" i="51"/>
  <c r="P1031" i="51"/>
  <c r="Q1031" i="51"/>
  <c r="L1032" i="51"/>
  <c r="N1032" i="51"/>
  <c r="O1032" i="51"/>
  <c r="P1032" i="51"/>
  <c r="Q1032" i="51"/>
  <c r="L1033" i="51"/>
  <c r="N1033" i="51"/>
  <c r="O1033" i="51"/>
  <c r="P1033" i="51"/>
  <c r="Q1033" i="51"/>
  <c r="L1034" i="51"/>
  <c r="N1034" i="51"/>
  <c r="O1034" i="51"/>
  <c r="P1034" i="51"/>
  <c r="Q1034" i="51"/>
  <c r="L1035" i="51"/>
  <c r="N1035" i="51"/>
  <c r="O1035" i="51"/>
  <c r="P1035" i="51"/>
  <c r="Q1035" i="51"/>
  <c r="L1036" i="51"/>
  <c r="N1036" i="51"/>
  <c r="O1036" i="51"/>
  <c r="P1036" i="51"/>
  <c r="Q1036" i="51"/>
  <c r="L1037" i="51"/>
  <c r="N1037" i="51"/>
  <c r="O1037" i="51"/>
  <c r="P1037" i="51"/>
  <c r="Q1037" i="51"/>
  <c r="L1038" i="51"/>
  <c r="N1038" i="51"/>
  <c r="O1038" i="51"/>
  <c r="P1038" i="51"/>
  <c r="Q1038" i="51"/>
  <c r="L1039" i="51"/>
  <c r="N1039" i="51"/>
  <c r="O1039" i="51"/>
  <c r="P1039" i="51"/>
  <c r="Q1039" i="51"/>
  <c r="L1040" i="51"/>
  <c r="N1040" i="51"/>
  <c r="O1040" i="51"/>
  <c r="P1040" i="51"/>
  <c r="Q1040" i="51"/>
  <c r="L1041" i="51"/>
  <c r="N1041" i="51"/>
  <c r="O1041" i="51"/>
  <c r="P1041" i="51"/>
  <c r="Q1041" i="51"/>
  <c r="L1042" i="51"/>
  <c r="N1042" i="51"/>
  <c r="O1042" i="51"/>
  <c r="P1042" i="51"/>
  <c r="Q1042" i="51"/>
  <c r="L1043" i="51"/>
  <c r="N1043" i="51"/>
  <c r="O1043" i="51"/>
  <c r="P1043" i="51"/>
  <c r="Q1043" i="51"/>
  <c r="L1044" i="51"/>
  <c r="N1044" i="51"/>
  <c r="O1044" i="51"/>
  <c r="P1044" i="51"/>
  <c r="Q1044" i="51"/>
  <c r="L1045" i="51"/>
  <c r="N1045" i="51"/>
  <c r="O1045" i="51"/>
  <c r="P1045" i="51"/>
  <c r="Q1045" i="51"/>
  <c r="L1046" i="51"/>
  <c r="N1046" i="51"/>
  <c r="O1046" i="51"/>
  <c r="P1046" i="51"/>
  <c r="Q1046" i="51"/>
  <c r="L1047" i="51"/>
  <c r="N1047" i="51"/>
  <c r="O1047" i="51"/>
  <c r="P1047" i="51"/>
  <c r="Q1047" i="51"/>
  <c r="L1048" i="51"/>
  <c r="N1048" i="51"/>
  <c r="O1048" i="51"/>
  <c r="P1048" i="51"/>
  <c r="Q1048" i="51"/>
  <c r="L1049" i="51"/>
  <c r="N1049" i="51"/>
  <c r="O1049" i="51"/>
  <c r="P1049" i="51"/>
  <c r="Q1049" i="51"/>
  <c r="L1050" i="51"/>
  <c r="N1050" i="51"/>
  <c r="O1050" i="51"/>
  <c r="P1050" i="51"/>
  <c r="Q1050" i="51"/>
  <c r="L1051" i="51"/>
  <c r="N1051" i="51"/>
  <c r="O1051" i="51"/>
  <c r="P1051" i="51"/>
  <c r="Q1051" i="51"/>
  <c r="L1052" i="51"/>
  <c r="N1052" i="51"/>
  <c r="O1052" i="51"/>
  <c r="P1052" i="51"/>
  <c r="Q1052" i="51"/>
  <c r="L1053" i="51"/>
  <c r="N1053" i="51"/>
  <c r="O1053" i="51"/>
  <c r="P1053" i="51"/>
  <c r="Q1053" i="51"/>
  <c r="L1054" i="51"/>
  <c r="N1054" i="51"/>
  <c r="O1054" i="51"/>
  <c r="P1054" i="51"/>
  <c r="Q1054" i="51"/>
  <c r="L1055" i="51"/>
  <c r="N1055" i="51"/>
  <c r="O1055" i="51"/>
  <c r="P1055" i="51"/>
  <c r="Q1055" i="51"/>
  <c r="L1056" i="51"/>
  <c r="N1056" i="51"/>
  <c r="O1056" i="51"/>
  <c r="P1056" i="51"/>
  <c r="Q1056" i="51"/>
  <c r="L1057" i="51"/>
  <c r="N1057" i="51"/>
  <c r="O1057" i="51"/>
  <c r="P1057" i="51"/>
  <c r="Q1057" i="51"/>
  <c r="L1058" i="51"/>
  <c r="N1058" i="51"/>
  <c r="O1058" i="51"/>
  <c r="P1058" i="51"/>
  <c r="Q1058" i="51"/>
  <c r="L1059" i="51"/>
  <c r="N1059" i="51"/>
  <c r="O1059" i="51"/>
  <c r="P1059" i="51"/>
  <c r="Q1059" i="51"/>
  <c r="L1060" i="51"/>
  <c r="N1060" i="51"/>
  <c r="O1060" i="51"/>
  <c r="P1060" i="51"/>
  <c r="Q1060" i="51"/>
  <c r="L1061" i="51"/>
  <c r="N1061" i="51"/>
  <c r="O1061" i="51"/>
  <c r="P1061" i="51"/>
  <c r="Q1061" i="51"/>
  <c r="L1062" i="51"/>
  <c r="N1062" i="51"/>
  <c r="O1062" i="51"/>
  <c r="P1062" i="51"/>
  <c r="Q1062" i="51"/>
  <c r="L1063" i="51"/>
  <c r="N1063" i="51"/>
  <c r="O1063" i="51"/>
  <c r="P1063" i="51"/>
  <c r="Q1063" i="51"/>
  <c r="L1064" i="51"/>
  <c r="N1064" i="51"/>
  <c r="O1064" i="51"/>
  <c r="P1064" i="51"/>
  <c r="Q1064" i="51"/>
  <c r="L1065" i="51"/>
  <c r="N1065" i="51"/>
  <c r="O1065" i="51"/>
  <c r="P1065" i="51"/>
  <c r="Q1065" i="51"/>
  <c r="L1066" i="51"/>
  <c r="N1066" i="51"/>
  <c r="O1066" i="51"/>
  <c r="P1066" i="51"/>
  <c r="Q1066" i="51"/>
  <c r="L1067" i="51"/>
  <c r="N1067" i="51"/>
  <c r="O1067" i="51"/>
  <c r="P1067" i="51"/>
  <c r="Q1067" i="51"/>
  <c r="L1068" i="51"/>
  <c r="N1068" i="51"/>
  <c r="O1068" i="51"/>
  <c r="P1068" i="51"/>
  <c r="Q1068" i="51"/>
  <c r="L1069" i="51"/>
  <c r="N1069" i="51"/>
  <c r="O1069" i="51"/>
  <c r="P1069" i="51"/>
  <c r="Q1069" i="51"/>
  <c r="L1070" i="51"/>
  <c r="N1070" i="51"/>
  <c r="O1070" i="51"/>
  <c r="P1070" i="51"/>
  <c r="Q1070" i="51"/>
  <c r="L1071" i="51"/>
  <c r="N1071" i="51"/>
  <c r="O1071" i="51"/>
  <c r="P1071" i="51"/>
  <c r="Q1071" i="51"/>
  <c r="L1072" i="51"/>
  <c r="N1072" i="51"/>
  <c r="O1072" i="51"/>
  <c r="P1072" i="51"/>
  <c r="Q1072" i="51"/>
  <c r="L1073" i="51"/>
  <c r="N1073" i="51"/>
  <c r="O1073" i="51"/>
  <c r="P1073" i="51"/>
  <c r="Q1073" i="51"/>
  <c r="L1074" i="51"/>
  <c r="N1074" i="51"/>
  <c r="O1074" i="51"/>
  <c r="P1074" i="51"/>
  <c r="Q1074" i="51"/>
  <c r="L1075" i="51"/>
  <c r="N1075" i="51"/>
  <c r="O1075" i="51"/>
  <c r="P1075" i="51"/>
  <c r="Q1075" i="51"/>
  <c r="L1076" i="51"/>
  <c r="N1076" i="51"/>
  <c r="O1076" i="51"/>
  <c r="P1076" i="51"/>
  <c r="Q1076" i="51"/>
  <c r="L1077" i="51"/>
  <c r="N1077" i="51"/>
  <c r="O1077" i="51"/>
  <c r="P1077" i="51"/>
  <c r="Q1077" i="51"/>
  <c r="L1078" i="51"/>
  <c r="N1078" i="51"/>
  <c r="O1078" i="51"/>
  <c r="P1078" i="51"/>
  <c r="Q1078" i="51"/>
  <c r="L1079" i="51"/>
  <c r="N1079" i="51"/>
  <c r="O1079" i="51"/>
  <c r="P1079" i="51"/>
  <c r="Q1079" i="51"/>
  <c r="L1080" i="51"/>
  <c r="N1080" i="51"/>
  <c r="O1080" i="51"/>
  <c r="P1080" i="51"/>
  <c r="Q1080" i="51"/>
  <c r="L1081" i="51"/>
  <c r="N1081" i="51"/>
  <c r="O1081" i="51"/>
  <c r="P1081" i="51"/>
  <c r="Q1081" i="51"/>
  <c r="L1082" i="51"/>
  <c r="N1082" i="51"/>
  <c r="O1082" i="51"/>
  <c r="P1082" i="51"/>
  <c r="Q1082" i="51"/>
  <c r="L1083" i="51"/>
  <c r="N1083" i="51"/>
  <c r="O1083" i="51"/>
  <c r="P1083" i="51"/>
  <c r="Q1083" i="51"/>
  <c r="L1084" i="51"/>
  <c r="N1084" i="51"/>
  <c r="O1084" i="51"/>
  <c r="P1084" i="51"/>
  <c r="Q1084" i="51"/>
  <c r="L1085" i="51"/>
  <c r="N1085" i="51"/>
  <c r="O1085" i="51"/>
  <c r="P1085" i="51"/>
  <c r="Q1085" i="51"/>
  <c r="L1086" i="51"/>
  <c r="N1086" i="51"/>
  <c r="O1086" i="51"/>
  <c r="P1086" i="51"/>
  <c r="Q1086" i="51"/>
  <c r="L1087" i="51"/>
  <c r="N1087" i="51"/>
  <c r="O1087" i="51"/>
  <c r="P1087" i="51"/>
  <c r="Q1087" i="51"/>
  <c r="L1088" i="51"/>
  <c r="N1088" i="51"/>
  <c r="O1088" i="51"/>
  <c r="P1088" i="51"/>
  <c r="Q1088" i="51"/>
  <c r="L1089" i="51"/>
  <c r="N1089" i="51"/>
  <c r="O1089" i="51"/>
  <c r="P1089" i="51"/>
  <c r="Q1089" i="51"/>
  <c r="L1090" i="51"/>
  <c r="N1090" i="51"/>
  <c r="O1090" i="51"/>
  <c r="P1090" i="51"/>
  <c r="Q1090" i="51"/>
  <c r="L1091" i="51"/>
  <c r="N1091" i="51"/>
  <c r="O1091" i="51"/>
  <c r="P1091" i="51"/>
  <c r="Q1091" i="51"/>
  <c r="L1092" i="51"/>
  <c r="N1092" i="51"/>
  <c r="O1092" i="51"/>
  <c r="P1092" i="51"/>
  <c r="Q1092" i="51"/>
  <c r="L1093" i="51"/>
  <c r="N1093" i="51"/>
  <c r="O1093" i="51"/>
  <c r="P1093" i="51"/>
  <c r="Q1093" i="51"/>
  <c r="L1094" i="51"/>
  <c r="N1094" i="51"/>
  <c r="O1094" i="51"/>
  <c r="P1094" i="51"/>
  <c r="Q1094" i="51"/>
  <c r="L1095" i="51"/>
  <c r="N1095" i="51"/>
  <c r="O1095" i="51"/>
  <c r="P1095" i="51"/>
  <c r="Q1095" i="51"/>
  <c r="L1096" i="51"/>
  <c r="N1096" i="51"/>
  <c r="O1096" i="51"/>
  <c r="P1096" i="51"/>
  <c r="Q1096" i="51"/>
  <c r="L1097" i="51"/>
  <c r="N1097" i="51"/>
  <c r="O1097" i="51"/>
  <c r="P1097" i="51"/>
  <c r="Q1097" i="51"/>
  <c r="L1098" i="51"/>
  <c r="N1098" i="51"/>
  <c r="O1098" i="51"/>
  <c r="P1098" i="51"/>
  <c r="Q1098" i="51"/>
  <c r="L1099" i="51"/>
  <c r="N1099" i="51"/>
  <c r="O1099" i="51"/>
  <c r="P1099" i="51"/>
  <c r="Q1099" i="51"/>
  <c r="L1100" i="51"/>
  <c r="N1100" i="51"/>
  <c r="O1100" i="51"/>
  <c r="P1100" i="51"/>
  <c r="Q1100" i="51"/>
  <c r="L1101" i="51"/>
  <c r="N1101" i="51"/>
  <c r="O1101" i="51"/>
  <c r="P1101" i="51"/>
  <c r="Q1101" i="51"/>
  <c r="L1102" i="51"/>
  <c r="N1102" i="51"/>
  <c r="O1102" i="51"/>
  <c r="P1102" i="51"/>
  <c r="Q1102" i="51"/>
  <c r="L1103" i="51"/>
  <c r="N1103" i="51"/>
  <c r="O1103" i="51"/>
  <c r="P1103" i="51"/>
  <c r="Q1103" i="51"/>
  <c r="L1104" i="51"/>
  <c r="N1104" i="51"/>
  <c r="O1104" i="51"/>
  <c r="P1104" i="51"/>
  <c r="Q1104" i="51"/>
  <c r="L1105" i="51"/>
  <c r="N1105" i="51"/>
  <c r="O1105" i="51"/>
  <c r="P1105" i="51"/>
  <c r="Q1105" i="51"/>
  <c r="L1106" i="51"/>
  <c r="N1106" i="51"/>
  <c r="O1106" i="51"/>
  <c r="P1106" i="51"/>
  <c r="Q1106" i="51"/>
  <c r="L1107" i="51"/>
  <c r="N1107" i="51"/>
  <c r="O1107" i="51"/>
  <c r="P1107" i="51"/>
  <c r="Q1107" i="51"/>
  <c r="L1108" i="51"/>
  <c r="N1108" i="51"/>
  <c r="O1108" i="51"/>
  <c r="P1108" i="51"/>
  <c r="Q1108" i="51"/>
  <c r="L1109" i="51"/>
  <c r="N1109" i="51"/>
  <c r="O1109" i="51"/>
  <c r="P1109" i="51"/>
  <c r="Q1109" i="51"/>
  <c r="L1110" i="51"/>
  <c r="N1110" i="51"/>
  <c r="O1110" i="51"/>
  <c r="P1110" i="51"/>
  <c r="Q1110" i="51"/>
  <c r="L1111" i="51"/>
  <c r="N1111" i="51"/>
  <c r="O1111" i="51"/>
  <c r="P1111" i="51"/>
  <c r="Q1111" i="51"/>
  <c r="L1112" i="51"/>
  <c r="N1112" i="51"/>
  <c r="O1112" i="51"/>
  <c r="P1112" i="51"/>
  <c r="Q1112" i="51"/>
  <c r="L1113" i="51"/>
  <c r="N1113" i="51"/>
  <c r="O1113" i="51"/>
  <c r="P1113" i="51"/>
  <c r="Q1113" i="51"/>
  <c r="L1114" i="51"/>
  <c r="N1114" i="51"/>
  <c r="O1114" i="51"/>
  <c r="P1114" i="51"/>
  <c r="Q1114" i="51"/>
  <c r="L1115" i="51"/>
  <c r="N1115" i="51"/>
  <c r="O1115" i="51"/>
  <c r="P1115" i="51"/>
  <c r="Q1115" i="51"/>
  <c r="L1116" i="51"/>
  <c r="N1116" i="51"/>
  <c r="O1116" i="51"/>
  <c r="P1116" i="51"/>
  <c r="Q1116" i="51"/>
  <c r="L1117" i="51"/>
  <c r="N1117" i="51"/>
  <c r="O1117" i="51"/>
  <c r="P1117" i="51"/>
  <c r="Q1117" i="51"/>
  <c r="L1118" i="51"/>
  <c r="N1118" i="51"/>
  <c r="O1118" i="51"/>
  <c r="P1118" i="51"/>
  <c r="Q1118" i="51"/>
  <c r="L1119" i="51"/>
  <c r="N1119" i="51"/>
  <c r="O1119" i="51"/>
  <c r="P1119" i="51"/>
  <c r="Q1119" i="51"/>
  <c r="L1120" i="51"/>
  <c r="N1120" i="51"/>
  <c r="O1120" i="51"/>
  <c r="P1120" i="51"/>
  <c r="Q1120" i="51"/>
  <c r="L1121" i="51"/>
  <c r="N1121" i="51"/>
  <c r="O1121" i="51"/>
  <c r="P1121" i="51"/>
  <c r="Q1121" i="51"/>
  <c r="L1122" i="51"/>
  <c r="N1122" i="51"/>
  <c r="O1122" i="51"/>
  <c r="P1122" i="51"/>
  <c r="Q1122" i="51"/>
  <c r="L1123" i="51"/>
  <c r="N1123" i="51"/>
  <c r="O1123" i="51"/>
  <c r="P1123" i="51"/>
  <c r="Q1123" i="51"/>
  <c r="L1124" i="51"/>
  <c r="N1124" i="51"/>
  <c r="O1124" i="51"/>
  <c r="P1124" i="51"/>
  <c r="Q1124" i="51"/>
  <c r="L1125" i="51"/>
  <c r="N1125" i="51"/>
  <c r="O1125" i="51"/>
  <c r="P1125" i="51"/>
  <c r="Q1125" i="51"/>
  <c r="L1126" i="51"/>
  <c r="N1126" i="51"/>
  <c r="O1126" i="51"/>
  <c r="P1126" i="51"/>
  <c r="Q1126" i="51"/>
  <c r="L1127" i="51"/>
  <c r="N1127" i="51"/>
  <c r="O1127" i="51"/>
  <c r="P1127" i="51"/>
  <c r="Q1127" i="51"/>
  <c r="L1128" i="51"/>
  <c r="N1128" i="51"/>
  <c r="O1128" i="51"/>
  <c r="P1128" i="51"/>
  <c r="Q1128" i="51"/>
  <c r="L1129" i="51"/>
  <c r="N1129" i="51"/>
  <c r="O1129" i="51"/>
  <c r="P1129" i="51"/>
  <c r="Q1129" i="51"/>
  <c r="L1130" i="51"/>
  <c r="N1130" i="51"/>
  <c r="O1130" i="51"/>
  <c r="P1130" i="51"/>
  <c r="Q1130" i="51"/>
  <c r="L1131" i="51"/>
  <c r="N1131" i="51"/>
  <c r="O1131" i="51"/>
  <c r="P1131" i="51"/>
  <c r="Q1131" i="51"/>
  <c r="L1132" i="51"/>
  <c r="N1132" i="51"/>
  <c r="O1132" i="51"/>
  <c r="P1132" i="51"/>
  <c r="Q1132" i="51"/>
  <c r="L1133" i="51"/>
  <c r="N1133" i="51"/>
  <c r="O1133" i="51"/>
  <c r="P1133" i="51"/>
  <c r="Q1133" i="51"/>
  <c r="L1134" i="51"/>
  <c r="N1134" i="51"/>
  <c r="O1134" i="51"/>
  <c r="P1134" i="51"/>
  <c r="Q1134" i="51"/>
  <c r="L1135" i="51"/>
  <c r="N1135" i="51"/>
  <c r="O1135" i="51"/>
  <c r="P1135" i="51"/>
  <c r="Q1135" i="51"/>
  <c r="L1136" i="51"/>
  <c r="N1136" i="51"/>
  <c r="O1136" i="51"/>
  <c r="P1136" i="51"/>
  <c r="Q1136" i="51"/>
  <c r="L1137" i="51"/>
  <c r="N1137" i="51"/>
  <c r="O1137" i="51"/>
  <c r="P1137" i="51"/>
  <c r="Q1137" i="51"/>
  <c r="L1138" i="51"/>
  <c r="N1138" i="51"/>
  <c r="O1138" i="51"/>
  <c r="P1138" i="51"/>
  <c r="Q1138" i="51"/>
  <c r="L1139" i="51"/>
  <c r="N1139" i="51"/>
  <c r="O1139" i="51"/>
  <c r="P1139" i="51"/>
  <c r="Q1139" i="51"/>
  <c r="L1140" i="51"/>
  <c r="N1140" i="51"/>
  <c r="O1140" i="51"/>
  <c r="P1140" i="51"/>
  <c r="Q1140" i="51"/>
  <c r="L1141" i="51"/>
  <c r="N1141" i="51"/>
  <c r="O1141" i="51"/>
  <c r="P1141" i="51"/>
  <c r="Q1141" i="51"/>
  <c r="L1142" i="51"/>
  <c r="N1142" i="51"/>
  <c r="O1142" i="51"/>
  <c r="P1142" i="51"/>
  <c r="Q1142" i="51"/>
  <c r="L1143" i="51"/>
  <c r="N1143" i="51"/>
  <c r="O1143" i="51"/>
  <c r="P1143" i="51"/>
  <c r="Q1143" i="51"/>
  <c r="L1144" i="51"/>
  <c r="N1144" i="51"/>
  <c r="O1144" i="51"/>
  <c r="P1144" i="51"/>
  <c r="Q1144" i="51"/>
  <c r="L1145" i="51"/>
  <c r="N1145" i="51"/>
  <c r="O1145" i="51"/>
  <c r="P1145" i="51"/>
  <c r="Q1145" i="51"/>
  <c r="L1146" i="51"/>
  <c r="N1146" i="51"/>
  <c r="O1146" i="51"/>
  <c r="P1146" i="51"/>
  <c r="Q1146" i="51"/>
  <c r="L1147" i="51"/>
  <c r="N1147" i="51"/>
  <c r="O1147" i="51"/>
  <c r="P1147" i="51"/>
  <c r="Q1147" i="51"/>
  <c r="L1148" i="51"/>
  <c r="N1148" i="51"/>
  <c r="O1148" i="51"/>
  <c r="P1148" i="51"/>
  <c r="Q1148" i="51"/>
  <c r="L1149" i="51"/>
  <c r="N1149" i="51"/>
  <c r="O1149" i="51"/>
  <c r="P1149" i="51"/>
  <c r="Q1149" i="51"/>
  <c r="L1150" i="51"/>
  <c r="N1150" i="51"/>
  <c r="O1150" i="51"/>
  <c r="P1150" i="51"/>
  <c r="Q1150" i="51"/>
  <c r="L1151" i="51"/>
  <c r="N1151" i="51"/>
  <c r="O1151" i="51"/>
  <c r="P1151" i="51"/>
  <c r="Q1151" i="51"/>
  <c r="L1152" i="51"/>
  <c r="N1152" i="51"/>
  <c r="O1152" i="51"/>
  <c r="P1152" i="51"/>
  <c r="Q1152" i="51"/>
  <c r="L1153" i="51"/>
  <c r="N1153" i="51"/>
  <c r="O1153" i="51"/>
  <c r="P1153" i="51"/>
  <c r="Q1153" i="51"/>
  <c r="L1154" i="51"/>
  <c r="N1154" i="51"/>
  <c r="O1154" i="51"/>
  <c r="P1154" i="51"/>
  <c r="Q1154" i="51"/>
  <c r="L1155" i="51"/>
  <c r="N1155" i="51"/>
  <c r="O1155" i="51"/>
  <c r="P1155" i="51"/>
  <c r="Q1155" i="51"/>
  <c r="L1156" i="51"/>
  <c r="N1156" i="51"/>
  <c r="O1156" i="51"/>
  <c r="P1156" i="51"/>
  <c r="Q1156" i="51"/>
  <c r="L1157" i="51"/>
  <c r="N1157" i="51"/>
  <c r="O1157" i="51"/>
  <c r="P1157" i="51"/>
  <c r="Q1157" i="51"/>
  <c r="L1158" i="51"/>
  <c r="N1158" i="51"/>
  <c r="O1158" i="51"/>
  <c r="P1158" i="51"/>
  <c r="Q1158" i="51"/>
  <c r="L1159" i="51"/>
  <c r="N1159" i="51"/>
  <c r="O1159" i="51"/>
  <c r="P1159" i="51"/>
  <c r="Q1159" i="51"/>
  <c r="L1160" i="51"/>
  <c r="N1160" i="51"/>
  <c r="O1160" i="51"/>
  <c r="P1160" i="51"/>
  <c r="Q1160" i="51"/>
  <c r="L1161" i="51"/>
  <c r="N1161" i="51"/>
  <c r="O1161" i="51"/>
  <c r="P1161" i="51"/>
  <c r="Q1161" i="51"/>
  <c r="L1162" i="51"/>
  <c r="N1162" i="51"/>
  <c r="O1162" i="51"/>
  <c r="P1162" i="51"/>
  <c r="Q1162" i="51"/>
  <c r="L1163" i="51"/>
  <c r="N1163" i="51"/>
  <c r="O1163" i="51"/>
  <c r="P1163" i="51"/>
  <c r="Q1163" i="51"/>
  <c r="L1164" i="51"/>
  <c r="N1164" i="51"/>
  <c r="O1164" i="51"/>
  <c r="P1164" i="51"/>
  <c r="Q1164" i="51"/>
  <c r="L1165" i="51"/>
  <c r="N1165" i="51"/>
  <c r="O1165" i="51"/>
  <c r="P1165" i="51"/>
  <c r="Q1165" i="51"/>
  <c r="L1166" i="51"/>
  <c r="N1166" i="51"/>
  <c r="O1166" i="51"/>
  <c r="P1166" i="51"/>
  <c r="Q1166" i="51"/>
  <c r="L1167" i="51"/>
  <c r="N1167" i="51"/>
  <c r="O1167" i="51"/>
  <c r="P1167" i="51"/>
  <c r="Q1167" i="51"/>
  <c r="L1168" i="51"/>
  <c r="N1168" i="51"/>
  <c r="O1168" i="51"/>
  <c r="P1168" i="51"/>
  <c r="Q1168" i="51"/>
  <c r="L1169" i="51"/>
  <c r="N1169" i="51"/>
  <c r="O1169" i="51"/>
  <c r="P1169" i="51"/>
  <c r="Q1169" i="51"/>
  <c r="L1170" i="51"/>
  <c r="N1170" i="51"/>
  <c r="O1170" i="51"/>
  <c r="P1170" i="51"/>
  <c r="Q1170" i="51"/>
  <c r="L1171" i="51"/>
  <c r="N1171" i="51"/>
  <c r="O1171" i="51"/>
  <c r="P1171" i="51"/>
  <c r="Q1171" i="51"/>
  <c r="L1172" i="51"/>
  <c r="N1172" i="51"/>
  <c r="O1172" i="51"/>
  <c r="P1172" i="51"/>
  <c r="Q1172" i="51"/>
  <c r="L1173" i="51"/>
  <c r="N1173" i="51"/>
  <c r="O1173" i="51"/>
  <c r="P1173" i="51"/>
  <c r="Q1173" i="51"/>
  <c r="L1174" i="51"/>
  <c r="N1174" i="51"/>
  <c r="O1174" i="51"/>
  <c r="P1174" i="51"/>
  <c r="Q1174" i="51"/>
  <c r="L1175" i="51"/>
  <c r="N1175" i="51"/>
  <c r="O1175" i="51"/>
  <c r="P1175" i="51"/>
  <c r="Q1175" i="51"/>
  <c r="L1176" i="51"/>
  <c r="N1176" i="51"/>
  <c r="O1176" i="51"/>
  <c r="P1176" i="51"/>
  <c r="Q1176" i="51"/>
  <c r="L1177" i="51"/>
  <c r="N1177" i="51"/>
  <c r="O1177" i="51"/>
  <c r="P1177" i="51"/>
  <c r="Q1177" i="51"/>
  <c r="L1178" i="51"/>
  <c r="N1178" i="51"/>
  <c r="O1178" i="51"/>
  <c r="P1178" i="51"/>
  <c r="Q1178" i="51"/>
  <c r="L1179" i="51"/>
  <c r="N1179" i="51"/>
  <c r="O1179" i="51"/>
  <c r="P1179" i="51"/>
  <c r="Q1179" i="51"/>
  <c r="L1180" i="51"/>
  <c r="N1180" i="51"/>
  <c r="O1180" i="51"/>
  <c r="P1180" i="51"/>
  <c r="Q1180" i="51"/>
  <c r="L1181" i="51"/>
  <c r="N1181" i="51"/>
  <c r="O1181" i="51"/>
  <c r="P1181" i="51"/>
  <c r="Q1181" i="51"/>
  <c r="L1182" i="51"/>
  <c r="N1182" i="51"/>
  <c r="O1182" i="51"/>
  <c r="P1182" i="51"/>
  <c r="Q1182" i="51"/>
  <c r="L1183" i="51"/>
  <c r="N1183" i="51"/>
  <c r="O1183" i="51"/>
  <c r="P1183" i="51"/>
  <c r="Q1183" i="51"/>
  <c r="L1184" i="51"/>
  <c r="N1184" i="51"/>
  <c r="O1184" i="51"/>
  <c r="P1184" i="51"/>
  <c r="Q1184" i="51"/>
  <c r="L1185" i="51"/>
  <c r="N1185" i="51"/>
  <c r="O1185" i="51"/>
  <c r="P1185" i="51"/>
  <c r="Q1185" i="51"/>
  <c r="L1186" i="51"/>
  <c r="N1186" i="51"/>
  <c r="O1186" i="51"/>
  <c r="P1186" i="51"/>
  <c r="Q1186" i="51"/>
  <c r="L1187" i="51"/>
  <c r="N1187" i="51"/>
  <c r="O1187" i="51"/>
  <c r="P1187" i="51"/>
  <c r="Q1187" i="51"/>
  <c r="L1188" i="51"/>
  <c r="N1188" i="51"/>
  <c r="O1188" i="51"/>
  <c r="P1188" i="51"/>
  <c r="Q1188" i="51"/>
  <c r="L1189" i="51"/>
  <c r="N1189" i="51"/>
  <c r="O1189" i="51"/>
  <c r="P1189" i="51"/>
  <c r="Q1189" i="51"/>
  <c r="L1190" i="51"/>
  <c r="N1190" i="51"/>
  <c r="O1190" i="51"/>
  <c r="P1190" i="51"/>
  <c r="Q1190" i="51"/>
  <c r="L1191" i="51"/>
  <c r="N1191" i="51"/>
  <c r="O1191" i="51"/>
  <c r="P1191" i="51"/>
  <c r="Q1191" i="51"/>
  <c r="L1192" i="51"/>
  <c r="N1192" i="51"/>
  <c r="O1192" i="51"/>
  <c r="P1192" i="51"/>
  <c r="Q1192" i="51"/>
  <c r="L1193" i="51"/>
  <c r="N1193" i="51"/>
  <c r="O1193" i="51"/>
  <c r="P1193" i="51"/>
  <c r="Q1193" i="51"/>
  <c r="L1194" i="51"/>
  <c r="N1194" i="51"/>
  <c r="O1194" i="51"/>
  <c r="P1194" i="51"/>
  <c r="Q1194" i="51"/>
  <c r="L1195" i="51"/>
  <c r="N1195" i="51"/>
  <c r="O1195" i="51"/>
  <c r="P1195" i="51"/>
  <c r="Q1195" i="51"/>
  <c r="L1196" i="51"/>
  <c r="N1196" i="51"/>
  <c r="O1196" i="51"/>
  <c r="P1196" i="51"/>
  <c r="Q1196" i="51"/>
  <c r="L1197" i="51"/>
  <c r="N1197" i="51"/>
  <c r="O1197" i="51"/>
  <c r="P1197" i="51"/>
  <c r="Q1197" i="51"/>
  <c r="L1198" i="51"/>
  <c r="N1198" i="51"/>
  <c r="O1198" i="51"/>
  <c r="P1198" i="51"/>
  <c r="Q1198" i="51"/>
  <c r="L1199" i="51"/>
  <c r="N1199" i="51"/>
  <c r="O1199" i="51"/>
  <c r="P1199" i="51"/>
  <c r="Q1199" i="51"/>
  <c r="L1200" i="51"/>
  <c r="N1200" i="51"/>
  <c r="O1200" i="51"/>
  <c r="P1200" i="51"/>
  <c r="Q1200" i="51"/>
  <c r="L1201" i="51"/>
  <c r="N1201" i="51"/>
  <c r="O1201" i="51"/>
  <c r="P1201" i="51"/>
  <c r="Q1201" i="51"/>
  <c r="L1202" i="51"/>
  <c r="N1202" i="51"/>
  <c r="O1202" i="51"/>
  <c r="P1202" i="51"/>
  <c r="Q1202" i="51"/>
  <c r="L1203" i="51"/>
  <c r="N1203" i="51"/>
  <c r="O1203" i="51"/>
  <c r="P1203" i="51"/>
  <c r="Q1203" i="51"/>
  <c r="L1204" i="51"/>
  <c r="N1204" i="51"/>
  <c r="O1204" i="51"/>
  <c r="P1204" i="51"/>
  <c r="Q1204" i="51"/>
  <c r="L1205" i="51"/>
  <c r="N1205" i="51"/>
  <c r="O1205" i="51"/>
  <c r="P1205" i="51"/>
  <c r="Q1205" i="51"/>
  <c r="L1206" i="51"/>
  <c r="N1206" i="51"/>
  <c r="O1206" i="51"/>
  <c r="P1206" i="51"/>
  <c r="Q1206" i="51"/>
  <c r="L1207" i="51"/>
  <c r="N1207" i="51"/>
  <c r="O1207" i="51"/>
  <c r="P1207" i="51"/>
  <c r="Q1207" i="51"/>
  <c r="L1208" i="51"/>
  <c r="N1208" i="51"/>
  <c r="O1208" i="51"/>
  <c r="P1208" i="51"/>
  <c r="Q1208" i="51"/>
  <c r="L1209" i="51"/>
  <c r="N1209" i="51"/>
  <c r="O1209" i="51"/>
  <c r="P1209" i="51"/>
  <c r="Q1209" i="51"/>
  <c r="L1210" i="51"/>
  <c r="N1210" i="51"/>
  <c r="O1210" i="51"/>
  <c r="P1210" i="51"/>
  <c r="Q1210" i="51"/>
  <c r="L1211" i="51"/>
  <c r="N1211" i="51"/>
  <c r="O1211" i="51"/>
  <c r="P1211" i="51"/>
  <c r="Q1211" i="51"/>
  <c r="L1212" i="51"/>
  <c r="N1212" i="51"/>
  <c r="O1212" i="51"/>
  <c r="P1212" i="51"/>
  <c r="Q1212" i="51"/>
  <c r="L1213" i="51"/>
  <c r="N1213" i="51"/>
  <c r="O1213" i="51"/>
  <c r="P1213" i="51"/>
  <c r="Q1213" i="51"/>
  <c r="L1214" i="51"/>
  <c r="N1214" i="51"/>
  <c r="O1214" i="51"/>
  <c r="P1214" i="51"/>
  <c r="Q1214" i="51"/>
  <c r="L1215" i="51"/>
  <c r="N1215" i="51"/>
  <c r="O1215" i="51"/>
  <c r="P1215" i="51"/>
  <c r="Q1215" i="51"/>
  <c r="L1216" i="51"/>
  <c r="N1216" i="51"/>
  <c r="O1216" i="51"/>
  <c r="P1216" i="51"/>
  <c r="Q1216" i="51"/>
  <c r="L1217" i="51"/>
  <c r="N1217" i="51"/>
  <c r="O1217" i="51"/>
  <c r="P1217" i="51"/>
  <c r="Q1217" i="51"/>
  <c r="L1218" i="51"/>
  <c r="N1218" i="51"/>
  <c r="O1218" i="51"/>
  <c r="P1218" i="51"/>
  <c r="Q1218" i="51"/>
  <c r="L1219" i="51"/>
  <c r="N1219" i="51"/>
  <c r="O1219" i="51"/>
  <c r="P1219" i="51"/>
  <c r="Q1219" i="51"/>
  <c r="L1220" i="51"/>
  <c r="N1220" i="51"/>
  <c r="O1220" i="51"/>
  <c r="P1220" i="51"/>
  <c r="Q1220" i="51"/>
  <c r="L1221" i="51"/>
  <c r="N1221" i="51"/>
  <c r="O1221" i="51"/>
  <c r="P1221" i="51"/>
  <c r="Q1221" i="51"/>
  <c r="L1222" i="51"/>
  <c r="N1222" i="51"/>
  <c r="O1222" i="51"/>
  <c r="P1222" i="51"/>
  <c r="Q1222" i="51"/>
  <c r="L1223" i="51"/>
  <c r="N1223" i="51"/>
  <c r="O1223" i="51"/>
  <c r="P1223" i="51"/>
  <c r="Q1223" i="51"/>
  <c r="L1224" i="51"/>
  <c r="N1224" i="51"/>
  <c r="O1224" i="51"/>
  <c r="P1224" i="51"/>
  <c r="Q1224" i="51"/>
  <c r="L1225" i="51"/>
  <c r="N1225" i="51"/>
  <c r="O1225" i="51"/>
  <c r="P1225" i="51"/>
  <c r="Q1225" i="51"/>
  <c r="L1226" i="51"/>
  <c r="N1226" i="51"/>
  <c r="O1226" i="51"/>
  <c r="P1226" i="51"/>
  <c r="Q1226" i="51"/>
  <c r="L1227" i="51"/>
  <c r="N1227" i="51"/>
  <c r="O1227" i="51"/>
  <c r="P1227" i="51"/>
  <c r="Q1227" i="51"/>
  <c r="L1228" i="51"/>
  <c r="N1228" i="51"/>
  <c r="O1228" i="51"/>
  <c r="P1228" i="51"/>
  <c r="Q1228" i="51"/>
  <c r="L1229" i="51"/>
  <c r="N1229" i="51"/>
  <c r="O1229" i="51"/>
  <c r="P1229" i="51"/>
  <c r="Q1229" i="51"/>
  <c r="L1230" i="51"/>
  <c r="N1230" i="51"/>
  <c r="O1230" i="51"/>
  <c r="P1230" i="51"/>
  <c r="Q1230" i="51"/>
  <c r="L1231" i="51"/>
  <c r="N1231" i="51"/>
  <c r="O1231" i="51"/>
  <c r="P1231" i="51"/>
  <c r="Q1231" i="51"/>
  <c r="L1232" i="51"/>
  <c r="N1232" i="51"/>
  <c r="O1232" i="51"/>
  <c r="P1232" i="51"/>
  <c r="Q1232" i="51"/>
  <c r="L1233" i="51"/>
  <c r="N1233" i="51"/>
  <c r="O1233" i="51"/>
  <c r="P1233" i="51"/>
  <c r="Q1233" i="51"/>
  <c r="L1234" i="51"/>
  <c r="N1234" i="51"/>
  <c r="O1234" i="51"/>
  <c r="P1234" i="51"/>
  <c r="Q1234" i="51"/>
  <c r="L1235" i="51"/>
  <c r="N1235" i="51"/>
  <c r="O1235" i="51"/>
  <c r="P1235" i="51"/>
  <c r="Q1235" i="51"/>
  <c r="L1236" i="51"/>
  <c r="N1236" i="51"/>
  <c r="O1236" i="51"/>
  <c r="P1236" i="51"/>
  <c r="Q1236" i="51"/>
  <c r="L1237" i="51"/>
  <c r="N1237" i="51"/>
  <c r="O1237" i="51"/>
  <c r="P1237" i="51"/>
  <c r="Q1237" i="51"/>
  <c r="L1238" i="51"/>
  <c r="N1238" i="51"/>
  <c r="O1238" i="51"/>
  <c r="P1238" i="51"/>
  <c r="Q1238" i="51"/>
  <c r="L1239" i="51"/>
  <c r="N1239" i="51"/>
  <c r="O1239" i="51"/>
  <c r="P1239" i="51"/>
  <c r="Q1239" i="51"/>
  <c r="L1240" i="51"/>
  <c r="N1240" i="51"/>
  <c r="O1240" i="51"/>
  <c r="P1240" i="51"/>
  <c r="Q1240" i="51"/>
  <c r="L1241" i="51"/>
  <c r="N1241" i="51"/>
  <c r="O1241" i="51"/>
  <c r="P1241" i="51"/>
  <c r="Q1241" i="51"/>
  <c r="L1242" i="51"/>
  <c r="N1242" i="51"/>
  <c r="O1242" i="51"/>
  <c r="P1242" i="51"/>
  <c r="Q1242" i="51"/>
  <c r="L1243" i="51"/>
  <c r="N1243" i="51"/>
  <c r="O1243" i="51"/>
  <c r="P1243" i="51"/>
  <c r="Q1243" i="51"/>
  <c r="L1244" i="51"/>
  <c r="N1244" i="51"/>
  <c r="O1244" i="51"/>
  <c r="P1244" i="51"/>
  <c r="Q1244" i="51"/>
  <c r="L1245" i="51"/>
  <c r="N1245" i="51"/>
  <c r="O1245" i="51"/>
  <c r="P1245" i="51"/>
  <c r="Q1245" i="51"/>
  <c r="L1246" i="51"/>
  <c r="N1246" i="51"/>
  <c r="O1246" i="51"/>
  <c r="P1246" i="51"/>
  <c r="Q1246" i="51"/>
  <c r="L1247" i="51"/>
  <c r="N1247" i="51"/>
  <c r="O1247" i="51"/>
  <c r="P1247" i="51"/>
  <c r="Q1247" i="51"/>
  <c r="L1248" i="51"/>
  <c r="N1248" i="51"/>
  <c r="O1248" i="51"/>
  <c r="P1248" i="51"/>
  <c r="Q1248" i="51"/>
  <c r="L1249" i="51"/>
  <c r="N1249" i="51"/>
  <c r="O1249" i="51"/>
  <c r="P1249" i="51"/>
  <c r="Q1249" i="51"/>
  <c r="L1250" i="51"/>
  <c r="N1250" i="51"/>
  <c r="O1250" i="51"/>
  <c r="P1250" i="51"/>
  <c r="Q1250" i="51"/>
  <c r="L1251" i="51"/>
  <c r="N1251" i="51"/>
  <c r="O1251" i="51"/>
  <c r="P1251" i="51"/>
  <c r="Q1251" i="51"/>
  <c r="L1252" i="51"/>
  <c r="N1252" i="51"/>
  <c r="O1252" i="51"/>
  <c r="P1252" i="51"/>
  <c r="Q1252" i="51"/>
  <c r="L1253" i="51"/>
  <c r="N1253" i="51"/>
  <c r="O1253" i="51"/>
  <c r="P1253" i="51"/>
  <c r="Q1253" i="51"/>
  <c r="L1254" i="51"/>
  <c r="N1254" i="51"/>
  <c r="O1254" i="51"/>
  <c r="P1254" i="51"/>
  <c r="Q1254" i="51"/>
  <c r="L1255" i="51"/>
  <c r="N1255" i="51"/>
  <c r="O1255" i="51"/>
  <c r="P1255" i="51"/>
  <c r="Q1255" i="51"/>
  <c r="L1256" i="51"/>
  <c r="N1256" i="51"/>
  <c r="O1256" i="51"/>
  <c r="P1256" i="51"/>
  <c r="Q1256" i="51"/>
  <c r="L1257" i="51"/>
  <c r="N1257" i="51"/>
  <c r="O1257" i="51"/>
  <c r="P1257" i="51"/>
  <c r="Q1257" i="51"/>
  <c r="L1258" i="51"/>
  <c r="N1258" i="51"/>
  <c r="O1258" i="51"/>
  <c r="P1258" i="51"/>
  <c r="Q1258" i="51"/>
  <c r="L1259" i="51"/>
  <c r="N1259" i="51"/>
  <c r="O1259" i="51"/>
  <c r="P1259" i="51"/>
  <c r="Q1259" i="51"/>
  <c r="L1260" i="51"/>
  <c r="N1260" i="51"/>
  <c r="O1260" i="51"/>
  <c r="P1260" i="51"/>
  <c r="Q1260" i="51"/>
  <c r="L1261" i="51"/>
  <c r="N1261" i="51"/>
  <c r="O1261" i="51"/>
  <c r="P1261" i="51"/>
  <c r="Q1261" i="51"/>
  <c r="L1262" i="51"/>
  <c r="N1262" i="51"/>
  <c r="O1262" i="51"/>
  <c r="P1262" i="51"/>
  <c r="Q1262" i="51"/>
  <c r="L1263" i="51"/>
  <c r="N1263" i="51"/>
  <c r="O1263" i="51"/>
  <c r="P1263" i="51"/>
  <c r="Q1263" i="51"/>
  <c r="L1264" i="51"/>
  <c r="N1264" i="51"/>
  <c r="O1264" i="51"/>
  <c r="P1264" i="51"/>
  <c r="Q1264" i="51"/>
  <c r="L1265" i="51"/>
  <c r="N1265" i="51"/>
  <c r="O1265" i="51"/>
  <c r="P1265" i="51"/>
  <c r="Q1265" i="51"/>
  <c r="L1266" i="51"/>
  <c r="N1266" i="51"/>
  <c r="O1266" i="51"/>
  <c r="P1266" i="51"/>
  <c r="Q1266" i="51"/>
  <c r="L1267" i="51"/>
  <c r="N1267" i="51"/>
  <c r="O1267" i="51"/>
  <c r="P1267" i="51"/>
  <c r="Q1267" i="51"/>
  <c r="L1268" i="51"/>
  <c r="N1268" i="51"/>
  <c r="O1268" i="51"/>
  <c r="P1268" i="51"/>
  <c r="Q1268" i="51"/>
  <c r="L1269" i="51"/>
  <c r="N1269" i="51"/>
  <c r="O1269" i="51"/>
  <c r="P1269" i="51"/>
  <c r="Q1269" i="51"/>
  <c r="L1270" i="51"/>
  <c r="N1270" i="51"/>
  <c r="O1270" i="51"/>
  <c r="P1270" i="51"/>
  <c r="Q1270" i="51"/>
  <c r="L1271" i="51"/>
  <c r="N1271" i="51"/>
  <c r="O1271" i="51"/>
  <c r="P1271" i="51"/>
  <c r="Q1271" i="51"/>
  <c r="L1272" i="51"/>
  <c r="N1272" i="51"/>
  <c r="O1272" i="51"/>
  <c r="P1272" i="51"/>
  <c r="Q1272" i="51"/>
  <c r="L1273" i="51"/>
  <c r="N1273" i="51"/>
  <c r="O1273" i="51"/>
  <c r="P1273" i="51"/>
  <c r="Q1273" i="51"/>
  <c r="L1274" i="51"/>
  <c r="N1274" i="51"/>
  <c r="O1274" i="51"/>
  <c r="P1274" i="51"/>
  <c r="Q1274" i="51"/>
  <c r="L1275" i="51"/>
  <c r="N1275" i="51"/>
  <c r="O1275" i="51"/>
  <c r="P1275" i="51"/>
  <c r="Q1275" i="51"/>
  <c r="L1276" i="51"/>
  <c r="N1276" i="51"/>
  <c r="O1276" i="51"/>
  <c r="P1276" i="51"/>
  <c r="Q1276" i="51"/>
  <c r="L1277" i="51"/>
  <c r="N1277" i="51"/>
  <c r="O1277" i="51"/>
  <c r="P1277" i="51"/>
  <c r="Q1277" i="51"/>
  <c r="L1278" i="51"/>
  <c r="N1278" i="51"/>
  <c r="O1278" i="51"/>
  <c r="P1278" i="51"/>
  <c r="Q1278" i="51"/>
  <c r="L1279" i="51"/>
  <c r="N1279" i="51"/>
  <c r="O1279" i="51"/>
  <c r="P1279" i="51"/>
  <c r="Q1279" i="51"/>
  <c r="L1280" i="51"/>
  <c r="N1280" i="51"/>
  <c r="O1280" i="51"/>
  <c r="P1280" i="51"/>
  <c r="Q1280" i="51"/>
  <c r="L1281" i="51"/>
  <c r="N1281" i="51"/>
  <c r="O1281" i="51"/>
  <c r="P1281" i="51"/>
  <c r="Q1281" i="51"/>
  <c r="L1282" i="51"/>
  <c r="N1282" i="51"/>
  <c r="O1282" i="51"/>
  <c r="P1282" i="51"/>
  <c r="Q1282" i="51"/>
  <c r="L1283" i="51"/>
  <c r="N1283" i="51"/>
  <c r="O1283" i="51"/>
  <c r="P1283" i="51"/>
  <c r="Q1283" i="51"/>
  <c r="L1284" i="51"/>
  <c r="N1284" i="51"/>
  <c r="O1284" i="51"/>
  <c r="P1284" i="51"/>
  <c r="Q1284" i="51"/>
  <c r="L1285" i="51"/>
  <c r="N1285" i="51"/>
  <c r="O1285" i="51"/>
  <c r="P1285" i="51"/>
  <c r="Q1285" i="51"/>
  <c r="L1286" i="51"/>
  <c r="N1286" i="51"/>
  <c r="O1286" i="51"/>
  <c r="P1286" i="51"/>
  <c r="Q1286" i="51"/>
  <c r="L1287" i="51"/>
  <c r="N1287" i="51"/>
  <c r="O1287" i="51"/>
  <c r="P1287" i="51"/>
  <c r="Q1287" i="51"/>
  <c r="L1288" i="51"/>
  <c r="N1288" i="51"/>
  <c r="O1288" i="51"/>
  <c r="P1288" i="51"/>
  <c r="Q1288" i="51"/>
  <c r="L1289" i="51"/>
  <c r="N1289" i="51"/>
  <c r="O1289" i="51"/>
  <c r="P1289" i="51"/>
  <c r="Q1289" i="51"/>
  <c r="L1290" i="51"/>
  <c r="N1290" i="51"/>
  <c r="O1290" i="51"/>
  <c r="P1290" i="51"/>
  <c r="Q1290" i="51"/>
  <c r="L1291" i="51"/>
  <c r="N1291" i="51"/>
  <c r="O1291" i="51"/>
  <c r="P1291" i="51"/>
  <c r="Q1291" i="51"/>
  <c r="L1292" i="51"/>
  <c r="N1292" i="51"/>
  <c r="O1292" i="51"/>
  <c r="P1292" i="51"/>
  <c r="Q1292" i="51"/>
  <c r="L1293" i="51"/>
  <c r="N1293" i="51"/>
  <c r="O1293" i="51"/>
  <c r="P1293" i="51"/>
  <c r="Q1293" i="51"/>
  <c r="L1294" i="51"/>
  <c r="N1294" i="51"/>
  <c r="O1294" i="51"/>
  <c r="P1294" i="51"/>
  <c r="Q1294" i="51"/>
  <c r="L1295" i="51"/>
  <c r="N1295" i="51"/>
  <c r="O1295" i="51"/>
  <c r="P1295" i="51"/>
  <c r="Q1295" i="51"/>
  <c r="L1296" i="51"/>
  <c r="N1296" i="51"/>
  <c r="O1296" i="51"/>
  <c r="P1296" i="51"/>
  <c r="Q1296" i="51"/>
  <c r="L1297" i="51"/>
  <c r="N1297" i="51"/>
  <c r="O1297" i="51"/>
  <c r="P1297" i="51"/>
  <c r="Q1297" i="51"/>
  <c r="L1298" i="51"/>
  <c r="N1298" i="51"/>
  <c r="O1298" i="51"/>
  <c r="P1298" i="51"/>
  <c r="Q1298" i="51"/>
  <c r="L1299" i="51"/>
  <c r="N1299" i="51"/>
  <c r="O1299" i="51"/>
  <c r="P1299" i="51"/>
  <c r="Q1299" i="51"/>
  <c r="L1300" i="51"/>
  <c r="N1300" i="51"/>
  <c r="O1300" i="51"/>
  <c r="P1300" i="51"/>
  <c r="Q1300" i="51"/>
  <c r="L1301" i="51"/>
  <c r="N1301" i="51"/>
  <c r="O1301" i="51"/>
  <c r="P1301" i="51"/>
  <c r="Q1301" i="51"/>
  <c r="L1302" i="51"/>
  <c r="N1302" i="51"/>
  <c r="O1302" i="51"/>
  <c r="P1302" i="51"/>
  <c r="Q1302" i="51"/>
  <c r="L1303" i="51"/>
  <c r="N1303" i="51"/>
  <c r="O1303" i="51"/>
  <c r="P1303" i="51"/>
  <c r="Q1303" i="51"/>
  <c r="L1304" i="51"/>
  <c r="N1304" i="51"/>
  <c r="O1304" i="51"/>
  <c r="P1304" i="51"/>
  <c r="Q1304" i="51"/>
  <c r="L1305" i="51"/>
  <c r="N1305" i="51"/>
  <c r="O1305" i="51"/>
  <c r="P1305" i="51"/>
  <c r="Q1305" i="51"/>
  <c r="L1306" i="51"/>
  <c r="N1306" i="51"/>
  <c r="O1306" i="51"/>
  <c r="P1306" i="51"/>
  <c r="Q1306" i="51"/>
  <c r="L1307" i="51"/>
  <c r="N1307" i="51"/>
  <c r="O1307" i="51"/>
  <c r="P1307" i="51"/>
  <c r="Q1307" i="51"/>
  <c r="L1308" i="51"/>
  <c r="N1308" i="51"/>
  <c r="O1308" i="51"/>
  <c r="P1308" i="51"/>
  <c r="Q1308" i="51"/>
  <c r="L1309" i="51"/>
  <c r="N1309" i="51"/>
  <c r="O1309" i="51"/>
  <c r="P1309" i="51"/>
  <c r="Q1309" i="51"/>
  <c r="L1310" i="51"/>
  <c r="N1310" i="51"/>
  <c r="O1310" i="51"/>
  <c r="P1310" i="51"/>
  <c r="Q1310" i="51"/>
  <c r="L1311" i="51"/>
  <c r="N1311" i="51"/>
  <c r="O1311" i="51"/>
  <c r="P1311" i="51"/>
  <c r="Q1311" i="51"/>
  <c r="L1312" i="51"/>
  <c r="N1312" i="51"/>
  <c r="O1312" i="51"/>
  <c r="P1312" i="51"/>
  <c r="Q1312" i="51"/>
  <c r="L1313" i="51"/>
  <c r="N1313" i="51"/>
  <c r="O1313" i="51"/>
  <c r="P1313" i="51"/>
  <c r="Q1313" i="51"/>
  <c r="L1314" i="51"/>
  <c r="N1314" i="51"/>
  <c r="O1314" i="51"/>
  <c r="P1314" i="51"/>
  <c r="Q1314" i="51"/>
  <c r="L1315" i="51"/>
  <c r="N1315" i="51"/>
  <c r="O1315" i="51"/>
  <c r="P1315" i="51"/>
  <c r="Q1315" i="51"/>
  <c r="L1316" i="51"/>
  <c r="N1316" i="51"/>
  <c r="O1316" i="51"/>
  <c r="P1316" i="51"/>
  <c r="Q1316" i="51"/>
  <c r="L1317" i="51"/>
  <c r="N1317" i="51"/>
  <c r="O1317" i="51"/>
  <c r="P1317" i="51"/>
  <c r="Q1317" i="51"/>
  <c r="L1318" i="51"/>
  <c r="N1318" i="51"/>
  <c r="O1318" i="51"/>
  <c r="P1318" i="51"/>
  <c r="Q1318" i="51"/>
  <c r="L1319" i="51"/>
  <c r="N1319" i="51"/>
  <c r="O1319" i="51"/>
  <c r="P1319" i="51"/>
  <c r="Q1319" i="51"/>
  <c r="L1320" i="51"/>
  <c r="N1320" i="51"/>
  <c r="O1320" i="51"/>
  <c r="P1320" i="51"/>
  <c r="Q1320" i="51"/>
  <c r="L1321" i="51"/>
  <c r="N1321" i="51"/>
  <c r="O1321" i="51"/>
  <c r="P1321" i="51"/>
  <c r="Q1321" i="51"/>
  <c r="L1322" i="51"/>
  <c r="N1322" i="51"/>
  <c r="O1322" i="51"/>
  <c r="P1322" i="51"/>
  <c r="Q1322" i="51"/>
  <c r="L1323" i="51"/>
  <c r="N1323" i="51"/>
  <c r="O1323" i="51"/>
  <c r="P1323" i="51"/>
  <c r="Q1323" i="51"/>
  <c r="L1324" i="51"/>
  <c r="N1324" i="51"/>
  <c r="O1324" i="51"/>
  <c r="P1324" i="51"/>
  <c r="Q1324" i="51"/>
  <c r="L1325" i="51"/>
  <c r="N1325" i="51"/>
  <c r="O1325" i="51"/>
  <c r="P1325" i="51"/>
  <c r="Q1325" i="51"/>
  <c r="L1326" i="51"/>
  <c r="N1326" i="51"/>
  <c r="O1326" i="51"/>
  <c r="P1326" i="51"/>
  <c r="Q1326" i="51"/>
  <c r="L1327" i="51"/>
  <c r="N1327" i="51"/>
  <c r="O1327" i="51"/>
  <c r="P1327" i="51"/>
  <c r="Q1327" i="51"/>
  <c r="L1328" i="51"/>
  <c r="N1328" i="51"/>
  <c r="O1328" i="51"/>
  <c r="P1328" i="51"/>
  <c r="Q1328" i="51"/>
  <c r="L1329" i="51"/>
  <c r="N1329" i="51"/>
  <c r="O1329" i="51"/>
  <c r="P1329" i="51"/>
  <c r="Q1329" i="51"/>
  <c r="L1330" i="51"/>
  <c r="N1330" i="51"/>
  <c r="O1330" i="51"/>
  <c r="P1330" i="51"/>
  <c r="Q1330" i="51"/>
  <c r="L1331" i="51"/>
  <c r="N1331" i="51"/>
  <c r="O1331" i="51"/>
  <c r="P1331" i="51"/>
  <c r="Q1331" i="51"/>
  <c r="L1332" i="51"/>
  <c r="N1332" i="51"/>
  <c r="O1332" i="51"/>
  <c r="P1332" i="51"/>
  <c r="Q1332" i="51"/>
  <c r="L1333" i="51"/>
  <c r="N1333" i="51"/>
  <c r="O1333" i="51"/>
  <c r="P1333" i="51"/>
  <c r="Q1333" i="51"/>
  <c r="L1334" i="51"/>
  <c r="N1334" i="51"/>
  <c r="O1334" i="51"/>
  <c r="P1334" i="51"/>
  <c r="Q1334" i="51"/>
  <c r="L1335" i="51"/>
  <c r="N1335" i="51"/>
  <c r="O1335" i="51"/>
  <c r="P1335" i="51"/>
  <c r="Q1335" i="51"/>
  <c r="L1336" i="51"/>
  <c r="N1336" i="51"/>
  <c r="O1336" i="51"/>
  <c r="P1336" i="51"/>
  <c r="Q1336" i="51"/>
  <c r="L1337" i="51"/>
  <c r="N1337" i="51"/>
  <c r="O1337" i="51"/>
  <c r="P1337" i="51"/>
  <c r="Q1337" i="51"/>
  <c r="L1338" i="51"/>
  <c r="N1338" i="51"/>
  <c r="O1338" i="51"/>
  <c r="P1338" i="51"/>
  <c r="Q1338" i="51"/>
  <c r="L1339" i="51"/>
  <c r="N1339" i="51"/>
  <c r="O1339" i="51"/>
  <c r="P1339" i="51"/>
  <c r="Q1339" i="51"/>
  <c r="L1340" i="51"/>
  <c r="N1340" i="51"/>
  <c r="O1340" i="51"/>
  <c r="P1340" i="51"/>
  <c r="Q1340" i="51"/>
  <c r="L1341" i="51"/>
  <c r="N1341" i="51"/>
  <c r="O1341" i="51"/>
  <c r="P1341" i="51"/>
  <c r="Q1341" i="51"/>
  <c r="L1342" i="51"/>
  <c r="N1342" i="51"/>
  <c r="O1342" i="51"/>
  <c r="P1342" i="51"/>
  <c r="Q1342" i="51"/>
  <c r="L1343" i="51"/>
  <c r="N1343" i="51"/>
  <c r="O1343" i="51"/>
  <c r="P1343" i="51"/>
  <c r="Q1343" i="51"/>
  <c r="L1344" i="51"/>
  <c r="N1344" i="51"/>
  <c r="O1344" i="51"/>
  <c r="P1344" i="51"/>
  <c r="Q1344" i="51"/>
  <c r="L1345" i="51"/>
  <c r="N1345" i="51"/>
  <c r="O1345" i="51"/>
  <c r="P1345" i="51"/>
  <c r="Q1345" i="51"/>
  <c r="L1346" i="51"/>
  <c r="N1346" i="51"/>
  <c r="O1346" i="51"/>
  <c r="P1346" i="51"/>
  <c r="Q1346" i="51"/>
  <c r="L1347" i="51"/>
  <c r="N1347" i="51"/>
  <c r="O1347" i="51"/>
  <c r="P1347" i="51"/>
  <c r="Q1347" i="51"/>
  <c r="L1348" i="51"/>
  <c r="N1348" i="51"/>
  <c r="O1348" i="51"/>
  <c r="P1348" i="51"/>
  <c r="Q1348" i="51"/>
  <c r="L1349" i="51"/>
  <c r="N1349" i="51"/>
  <c r="O1349" i="51"/>
  <c r="P1349" i="51"/>
  <c r="Q1349" i="51"/>
  <c r="L1350" i="51"/>
  <c r="N1350" i="51"/>
  <c r="O1350" i="51"/>
  <c r="P1350" i="51"/>
  <c r="Q1350" i="51"/>
  <c r="L1351" i="51"/>
  <c r="N1351" i="51"/>
  <c r="O1351" i="51"/>
  <c r="P1351" i="51"/>
  <c r="Q1351" i="51"/>
  <c r="L1352" i="51"/>
  <c r="N1352" i="51"/>
  <c r="O1352" i="51"/>
  <c r="P1352" i="51"/>
  <c r="Q1352" i="51"/>
  <c r="L1353" i="51"/>
  <c r="N1353" i="51"/>
  <c r="O1353" i="51"/>
  <c r="P1353" i="51"/>
  <c r="Q1353" i="51"/>
  <c r="L1354" i="51"/>
  <c r="N1354" i="51"/>
  <c r="O1354" i="51"/>
  <c r="P1354" i="51"/>
  <c r="Q1354" i="51"/>
  <c r="L1355" i="51"/>
  <c r="N1355" i="51"/>
  <c r="O1355" i="51"/>
  <c r="P1355" i="51"/>
  <c r="Q1355" i="51"/>
  <c r="L1356" i="51"/>
  <c r="N1356" i="51"/>
  <c r="O1356" i="51"/>
  <c r="P1356" i="51"/>
  <c r="Q1356" i="51"/>
  <c r="L1357" i="51"/>
  <c r="N1357" i="51"/>
  <c r="O1357" i="51"/>
  <c r="P1357" i="51"/>
  <c r="Q1357" i="51"/>
  <c r="L1358" i="51"/>
  <c r="N1358" i="51"/>
  <c r="O1358" i="51"/>
  <c r="P1358" i="51"/>
  <c r="Q1358" i="51"/>
  <c r="L1359" i="51"/>
  <c r="N1359" i="51"/>
  <c r="O1359" i="51"/>
  <c r="P1359" i="51"/>
  <c r="Q1359" i="51"/>
  <c r="L1360" i="51"/>
  <c r="N1360" i="51"/>
  <c r="O1360" i="51"/>
  <c r="P1360" i="51"/>
  <c r="Q1360" i="51"/>
  <c r="L1361" i="51"/>
  <c r="N1361" i="51"/>
  <c r="O1361" i="51"/>
  <c r="P1361" i="51"/>
  <c r="Q1361" i="51"/>
  <c r="L1362" i="51"/>
  <c r="N1362" i="51"/>
  <c r="O1362" i="51"/>
  <c r="P1362" i="51"/>
  <c r="Q1362" i="51"/>
  <c r="L1363" i="51"/>
  <c r="N1363" i="51"/>
  <c r="O1363" i="51"/>
  <c r="P1363" i="51"/>
  <c r="Q1363" i="51"/>
  <c r="L1364" i="51"/>
  <c r="N1364" i="51"/>
  <c r="O1364" i="51"/>
  <c r="P1364" i="51"/>
  <c r="Q1364" i="51"/>
  <c r="L1365" i="51"/>
  <c r="N1365" i="51"/>
  <c r="O1365" i="51"/>
  <c r="P1365" i="51"/>
  <c r="Q1365" i="51"/>
  <c r="L1366" i="51"/>
  <c r="N1366" i="51"/>
  <c r="O1366" i="51"/>
  <c r="P1366" i="51"/>
  <c r="Q1366" i="51"/>
  <c r="L1367" i="51"/>
  <c r="N1367" i="51"/>
  <c r="O1367" i="51"/>
  <c r="P1367" i="51"/>
  <c r="Q1367" i="51"/>
  <c r="L1368" i="51"/>
  <c r="N1368" i="51"/>
  <c r="O1368" i="51"/>
  <c r="P1368" i="51"/>
  <c r="Q1368" i="51"/>
  <c r="L1369" i="51"/>
  <c r="N1369" i="51"/>
  <c r="O1369" i="51"/>
  <c r="P1369" i="51"/>
  <c r="Q1369" i="51"/>
  <c r="L1370" i="51"/>
  <c r="N1370" i="51"/>
  <c r="O1370" i="51"/>
  <c r="P1370" i="51"/>
  <c r="Q1370" i="51"/>
  <c r="L1371" i="51"/>
  <c r="N1371" i="51"/>
  <c r="O1371" i="51"/>
  <c r="P1371" i="51"/>
  <c r="Q1371" i="51"/>
  <c r="L1372" i="51"/>
  <c r="N1372" i="51"/>
  <c r="O1372" i="51"/>
  <c r="P1372" i="51"/>
  <c r="Q1372" i="51"/>
  <c r="L1373" i="51"/>
  <c r="N1373" i="51"/>
  <c r="O1373" i="51"/>
  <c r="P1373" i="51"/>
  <c r="Q1373" i="51"/>
  <c r="L1374" i="51"/>
  <c r="N1374" i="51"/>
  <c r="O1374" i="51"/>
  <c r="P1374" i="51"/>
  <c r="Q1374" i="51"/>
  <c r="L1375" i="51"/>
  <c r="N1375" i="51"/>
  <c r="O1375" i="51"/>
  <c r="P1375" i="51"/>
  <c r="Q1375" i="51"/>
  <c r="L1376" i="51"/>
  <c r="N1376" i="51"/>
  <c r="O1376" i="51"/>
  <c r="P1376" i="51"/>
  <c r="Q1376" i="51"/>
  <c r="L1377" i="51"/>
  <c r="N1377" i="51"/>
  <c r="O1377" i="51"/>
  <c r="P1377" i="51"/>
  <c r="Q1377" i="51"/>
  <c r="L1378" i="51"/>
  <c r="N1378" i="51"/>
  <c r="O1378" i="51"/>
  <c r="P1378" i="51"/>
  <c r="Q1378" i="51"/>
  <c r="L1379" i="51"/>
  <c r="N1379" i="51"/>
  <c r="O1379" i="51"/>
  <c r="P1379" i="51"/>
  <c r="Q1379" i="51"/>
  <c r="L1380" i="51"/>
  <c r="N1380" i="51"/>
  <c r="O1380" i="51"/>
  <c r="P1380" i="51"/>
  <c r="Q1380" i="51"/>
  <c r="L1381" i="51"/>
  <c r="N1381" i="51"/>
  <c r="O1381" i="51"/>
  <c r="P1381" i="51"/>
  <c r="Q1381" i="51"/>
  <c r="L1382" i="51"/>
  <c r="N1382" i="51"/>
  <c r="O1382" i="51"/>
  <c r="P1382" i="51"/>
  <c r="Q1382" i="51"/>
  <c r="L1383" i="51"/>
  <c r="N1383" i="51"/>
  <c r="O1383" i="51"/>
  <c r="P1383" i="51"/>
  <c r="Q1383" i="51"/>
  <c r="L1384" i="51"/>
  <c r="N1384" i="51"/>
  <c r="O1384" i="51"/>
  <c r="P1384" i="51"/>
  <c r="Q1384" i="51"/>
  <c r="L1385" i="51"/>
  <c r="N1385" i="51"/>
  <c r="O1385" i="51"/>
  <c r="P1385" i="51"/>
  <c r="Q1385" i="51"/>
  <c r="L1386" i="51"/>
  <c r="N1386" i="51"/>
  <c r="O1386" i="51"/>
  <c r="P1386" i="51"/>
  <c r="Q1386" i="51"/>
  <c r="L1387" i="51"/>
  <c r="N1387" i="51"/>
  <c r="O1387" i="51"/>
  <c r="P1387" i="51"/>
  <c r="Q1387" i="51"/>
  <c r="L1388" i="51"/>
  <c r="N1388" i="51"/>
  <c r="O1388" i="51"/>
  <c r="P1388" i="51"/>
  <c r="Q1388" i="51"/>
  <c r="L1389" i="51"/>
  <c r="N1389" i="51"/>
  <c r="O1389" i="51"/>
  <c r="P1389" i="51"/>
  <c r="Q1389" i="51"/>
  <c r="L1390" i="51"/>
  <c r="N1390" i="51"/>
  <c r="O1390" i="51"/>
  <c r="P1390" i="51"/>
  <c r="Q1390" i="51"/>
  <c r="L1391" i="51"/>
  <c r="N1391" i="51"/>
  <c r="O1391" i="51"/>
  <c r="P1391" i="51"/>
  <c r="Q1391" i="51"/>
  <c r="L1392" i="51"/>
  <c r="N1392" i="51"/>
  <c r="O1392" i="51"/>
  <c r="P1392" i="51"/>
  <c r="Q1392" i="51"/>
  <c r="L1393" i="51"/>
  <c r="N1393" i="51"/>
  <c r="O1393" i="51"/>
  <c r="P1393" i="51"/>
  <c r="Q1393" i="51"/>
  <c r="L1394" i="51"/>
  <c r="N1394" i="51"/>
  <c r="O1394" i="51"/>
  <c r="P1394" i="51"/>
  <c r="Q1394" i="51"/>
  <c r="L1395" i="51"/>
  <c r="N1395" i="51"/>
  <c r="O1395" i="51"/>
  <c r="P1395" i="51"/>
  <c r="Q1395" i="51"/>
  <c r="L1396" i="51"/>
  <c r="N1396" i="51"/>
  <c r="O1396" i="51"/>
  <c r="P1396" i="51"/>
  <c r="Q1396" i="51"/>
  <c r="L1397" i="51"/>
  <c r="N1397" i="51"/>
  <c r="O1397" i="51"/>
  <c r="P1397" i="51"/>
  <c r="Q1397" i="51"/>
  <c r="L1398" i="51"/>
  <c r="N1398" i="51"/>
  <c r="O1398" i="51"/>
  <c r="P1398" i="51"/>
  <c r="Q1398" i="51"/>
  <c r="L1399" i="51"/>
  <c r="N1399" i="51"/>
  <c r="O1399" i="51"/>
  <c r="P1399" i="51"/>
  <c r="Q1399" i="51"/>
  <c r="L1400" i="51"/>
  <c r="N1400" i="51"/>
  <c r="O1400" i="51"/>
  <c r="P1400" i="51"/>
  <c r="Q1400" i="51"/>
  <c r="L1401" i="51"/>
  <c r="N1401" i="51"/>
  <c r="O1401" i="51"/>
  <c r="P1401" i="51"/>
  <c r="Q1401" i="51"/>
  <c r="L1402" i="51"/>
  <c r="N1402" i="51"/>
  <c r="O1402" i="51"/>
  <c r="P1402" i="51"/>
  <c r="Q1402" i="51"/>
  <c r="L1403" i="51"/>
  <c r="N1403" i="51"/>
  <c r="O1403" i="51"/>
  <c r="P1403" i="51"/>
  <c r="Q1403" i="51"/>
  <c r="L1404" i="51"/>
  <c r="N1404" i="51"/>
  <c r="O1404" i="51"/>
  <c r="P1404" i="51"/>
  <c r="Q1404" i="51"/>
  <c r="L1405" i="51"/>
  <c r="N1405" i="51"/>
  <c r="O1405" i="51"/>
  <c r="P1405" i="51"/>
  <c r="Q1405" i="51"/>
  <c r="L1406" i="51"/>
  <c r="N1406" i="51"/>
  <c r="O1406" i="51"/>
  <c r="P1406" i="51"/>
  <c r="Q1406" i="51"/>
  <c r="L1407" i="51"/>
  <c r="N1407" i="51"/>
  <c r="O1407" i="51"/>
  <c r="P1407" i="51"/>
  <c r="Q1407" i="51"/>
  <c r="L1408" i="51"/>
  <c r="N1408" i="51"/>
  <c r="O1408" i="51"/>
  <c r="P1408" i="51"/>
  <c r="Q1408" i="51"/>
  <c r="L1409" i="51"/>
  <c r="N1409" i="51"/>
  <c r="O1409" i="51"/>
  <c r="P1409" i="51"/>
  <c r="Q1409" i="51"/>
  <c r="L1410" i="51"/>
  <c r="N1410" i="51"/>
  <c r="O1410" i="51"/>
  <c r="P1410" i="51"/>
  <c r="Q1410" i="51"/>
  <c r="L1411" i="51"/>
  <c r="N1411" i="51"/>
  <c r="O1411" i="51"/>
  <c r="P1411" i="51"/>
  <c r="Q1411" i="51"/>
  <c r="L1412" i="51"/>
  <c r="N1412" i="51"/>
  <c r="O1412" i="51"/>
  <c r="P1412" i="51"/>
  <c r="Q1412" i="51"/>
  <c r="L1413" i="51"/>
  <c r="N1413" i="51"/>
  <c r="O1413" i="51"/>
  <c r="P1413" i="51"/>
  <c r="Q1413" i="51"/>
  <c r="L1414" i="51"/>
  <c r="N1414" i="51"/>
  <c r="O1414" i="51"/>
  <c r="P1414" i="51"/>
  <c r="Q1414" i="51"/>
  <c r="L1415" i="51"/>
  <c r="N1415" i="51"/>
  <c r="O1415" i="51"/>
  <c r="P1415" i="51"/>
  <c r="Q1415" i="51"/>
  <c r="L1416" i="51"/>
  <c r="N1416" i="51"/>
  <c r="O1416" i="51"/>
  <c r="P1416" i="51"/>
  <c r="Q1416" i="51"/>
  <c r="L1417" i="51"/>
  <c r="N1417" i="51"/>
  <c r="O1417" i="51"/>
  <c r="P1417" i="51"/>
  <c r="Q1417" i="51"/>
  <c r="L1418" i="51"/>
  <c r="N1418" i="51"/>
  <c r="O1418" i="51"/>
  <c r="P1418" i="51"/>
  <c r="Q1418" i="51"/>
  <c r="L1419" i="51"/>
  <c r="N1419" i="51"/>
  <c r="O1419" i="51"/>
  <c r="P1419" i="51"/>
  <c r="Q1419" i="51"/>
  <c r="L1420" i="51"/>
  <c r="N1420" i="51"/>
  <c r="O1420" i="51"/>
  <c r="P1420" i="51"/>
  <c r="Q1420" i="51"/>
  <c r="L1421" i="51"/>
  <c r="N1421" i="51"/>
  <c r="O1421" i="51"/>
  <c r="P1421" i="51"/>
  <c r="Q1421" i="51"/>
  <c r="L1422" i="51"/>
  <c r="N1422" i="51"/>
  <c r="O1422" i="51"/>
  <c r="P1422" i="51"/>
  <c r="Q1422" i="51"/>
  <c r="L1423" i="51"/>
  <c r="N1423" i="51"/>
  <c r="O1423" i="51"/>
  <c r="P1423" i="51"/>
  <c r="Q1423" i="51"/>
  <c r="L1424" i="51"/>
  <c r="N1424" i="51"/>
  <c r="O1424" i="51"/>
  <c r="P1424" i="51"/>
  <c r="Q1424" i="51"/>
  <c r="L1425" i="51"/>
  <c r="N1425" i="51"/>
  <c r="O1425" i="51"/>
  <c r="P1425" i="51"/>
  <c r="Q1425" i="51"/>
  <c r="L1426" i="51"/>
  <c r="N1426" i="51"/>
  <c r="O1426" i="51"/>
  <c r="P1426" i="51"/>
  <c r="Q1426" i="51"/>
  <c r="L1427" i="51"/>
  <c r="N1427" i="51"/>
  <c r="O1427" i="51"/>
  <c r="P1427" i="51"/>
  <c r="Q1427" i="51"/>
  <c r="L1428" i="51"/>
  <c r="N1428" i="51"/>
  <c r="O1428" i="51"/>
  <c r="P1428" i="51"/>
  <c r="Q1428" i="51"/>
  <c r="L1429" i="51"/>
  <c r="N1429" i="51"/>
  <c r="O1429" i="51"/>
  <c r="P1429" i="51"/>
  <c r="Q1429" i="51"/>
  <c r="L1430" i="51"/>
  <c r="N1430" i="51"/>
  <c r="O1430" i="51"/>
  <c r="P1430" i="51"/>
  <c r="Q1430" i="51"/>
  <c r="L1431" i="51"/>
  <c r="N1431" i="51"/>
  <c r="O1431" i="51"/>
  <c r="P1431" i="51"/>
  <c r="Q1431" i="51"/>
  <c r="L1432" i="51"/>
  <c r="N1432" i="51"/>
  <c r="O1432" i="51"/>
  <c r="P1432" i="51"/>
  <c r="Q1432" i="51"/>
  <c r="L1433" i="51"/>
  <c r="N1433" i="51"/>
  <c r="O1433" i="51"/>
  <c r="P1433" i="51"/>
  <c r="Q1433" i="51"/>
  <c r="L1434" i="51"/>
  <c r="N1434" i="51"/>
  <c r="O1434" i="51"/>
  <c r="P1434" i="51"/>
  <c r="Q1434" i="51"/>
  <c r="L1435" i="51"/>
  <c r="N1435" i="51"/>
  <c r="O1435" i="51"/>
  <c r="P1435" i="51"/>
  <c r="Q1435" i="51"/>
  <c r="L1436" i="51"/>
  <c r="N1436" i="51"/>
  <c r="O1436" i="51"/>
  <c r="P1436" i="51"/>
  <c r="Q1436" i="51"/>
  <c r="L1437" i="51"/>
  <c r="N1437" i="51"/>
  <c r="O1437" i="51"/>
  <c r="P1437" i="51"/>
  <c r="Q1437" i="51"/>
  <c r="L1438" i="51"/>
  <c r="N1438" i="51"/>
  <c r="O1438" i="51"/>
  <c r="P1438" i="51"/>
  <c r="Q1438" i="51"/>
  <c r="L1439" i="51"/>
  <c r="N1439" i="51"/>
  <c r="O1439" i="51"/>
  <c r="P1439" i="51"/>
  <c r="Q1439" i="51"/>
  <c r="L1440" i="51"/>
  <c r="N1440" i="51"/>
  <c r="O1440" i="51"/>
  <c r="P1440" i="51"/>
  <c r="Q1440" i="51"/>
  <c r="L1441" i="51"/>
  <c r="N1441" i="51"/>
  <c r="O1441" i="51"/>
  <c r="P1441" i="51"/>
  <c r="Q1441" i="51"/>
  <c r="L1442" i="51"/>
  <c r="N1442" i="51"/>
  <c r="O1442" i="51"/>
  <c r="P1442" i="51"/>
  <c r="Q1442" i="51"/>
  <c r="L1443" i="51"/>
  <c r="N1443" i="51"/>
  <c r="O1443" i="51"/>
  <c r="P1443" i="51"/>
  <c r="Q1443" i="51"/>
  <c r="L1444" i="51"/>
  <c r="N1444" i="51"/>
  <c r="O1444" i="51"/>
  <c r="P1444" i="51"/>
  <c r="Q1444" i="51"/>
  <c r="L1445" i="51"/>
  <c r="N1445" i="51"/>
  <c r="O1445" i="51"/>
  <c r="P1445" i="51"/>
  <c r="Q1445" i="51"/>
  <c r="L1446" i="51"/>
  <c r="N1446" i="51"/>
  <c r="O1446" i="51"/>
  <c r="P1446" i="51"/>
  <c r="Q1446" i="51"/>
  <c r="L1447" i="51"/>
  <c r="N1447" i="51"/>
  <c r="O1447" i="51"/>
  <c r="P1447" i="51"/>
  <c r="Q1447" i="51"/>
  <c r="L1448" i="51"/>
  <c r="N1448" i="51"/>
  <c r="O1448" i="51"/>
  <c r="P1448" i="51"/>
  <c r="Q1448" i="51"/>
  <c r="L1449" i="51"/>
  <c r="N1449" i="51"/>
  <c r="O1449" i="51"/>
  <c r="P1449" i="51"/>
  <c r="Q1449" i="51"/>
  <c r="L1450" i="51"/>
  <c r="N1450" i="51"/>
  <c r="O1450" i="51"/>
  <c r="P1450" i="51"/>
  <c r="Q1450" i="51"/>
  <c r="L1451" i="51"/>
  <c r="N1451" i="51"/>
  <c r="O1451" i="51"/>
  <c r="P1451" i="51"/>
  <c r="Q1451" i="51"/>
  <c r="L1452" i="51"/>
  <c r="N1452" i="51"/>
  <c r="O1452" i="51"/>
  <c r="P1452" i="51"/>
  <c r="Q1452" i="51"/>
  <c r="L1453" i="51"/>
  <c r="N1453" i="51"/>
  <c r="O1453" i="51"/>
  <c r="P1453" i="51"/>
  <c r="Q1453" i="51"/>
  <c r="L1454" i="51"/>
  <c r="N1454" i="51"/>
  <c r="O1454" i="51"/>
  <c r="P1454" i="51"/>
  <c r="Q1454" i="51"/>
  <c r="L1455" i="51"/>
  <c r="N1455" i="51"/>
  <c r="O1455" i="51"/>
  <c r="P1455" i="51"/>
  <c r="Q1455" i="51"/>
  <c r="L1456" i="51"/>
  <c r="N1456" i="51"/>
  <c r="O1456" i="51"/>
  <c r="P1456" i="51"/>
  <c r="Q1456" i="51"/>
  <c r="L1457" i="51"/>
  <c r="N1457" i="51"/>
  <c r="O1457" i="51"/>
  <c r="P1457" i="51"/>
  <c r="Q1457" i="51"/>
  <c r="L1458" i="51"/>
  <c r="N1458" i="51"/>
  <c r="O1458" i="51"/>
  <c r="P1458" i="51"/>
  <c r="Q1458" i="51"/>
  <c r="L1459" i="51"/>
  <c r="N1459" i="51"/>
  <c r="O1459" i="51"/>
  <c r="P1459" i="51"/>
  <c r="Q1459" i="51"/>
  <c r="L1460" i="51"/>
  <c r="N1460" i="51"/>
  <c r="O1460" i="51"/>
  <c r="P1460" i="51"/>
  <c r="Q1460" i="51"/>
  <c r="L1461" i="51"/>
  <c r="N1461" i="51"/>
  <c r="O1461" i="51"/>
  <c r="P1461" i="51"/>
  <c r="Q1461" i="51"/>
  <c r="L1462" i="51"/>
  <c r="N1462" i="51"/>
  <c r="O1462" i="51"/>
  <c r="P1462" i="51"/>
  <c r="Q1462" i="51"/>
  <c r="L1463" i="51"/>
  <c r="N1463" i="51"/>
  <c r="O1463" i="51"/>
  <c r="P1463" i="51"/>
  <c r="Q1463" i="51"/>
  <c r="L1464" i="51"/>
  <c r="N1464" i="51"/>
  <c r="O1464" i="51"/>
  <c r="P1464" i="51"/>
  <c r="Q1464" i="51"/>
  <c r="L1465" i="51"/>
  <c r="N1465" i="51"/>
  <c r="O1465" i="51"/>
  <c r="P1465" i="51"/>
  <c r="Q1465" i="51"/>
  <c r="L1466" i="51"/>
  <c r="N1466" i="51"/>
  <c r="O1466" i="51"/>
  <c r="P1466" i="51"/>
  <c r="Q1466" i="51"/>
  <c r="L1467" i="51"/>
  <c r="N1467" i="51"/>
  <c r="O1467" i="51"/>
  <c r="P1467" i="51"/>
  <c r="Q1467" i="51"/>
  <c r="L1468" i="51"/>
  <c r="N1468" i="51"/>
  <c r="O1468" i="51"/>
  <c r="P1468" i="51"/>
  <c r="Q1468" i="51"/>
  <c r="L1469" i="51"/>
  <c r="N1469" i="51"/>
  <c r="O1469" i="51"/>
  <c r="P1469" i="51"/>
  <c r="Q1469" i="51"/>
  <c r="L1470" i="51"/>
  <c r="N1470" i="51"/>
  <c r="O1470" i="51"/>
  <c r="P1470" i="51"/>
  <c r="Q1470" i="51"/>
  <c r="L1471" i="51"/>
  <c r="N1471" i="51"/>
  <c r="O1471" i="51"/>
  <c r="P1471" i="51"/>
  <c r="Q1471" i="51"/>
  <c r="L1472" i="51"/>
  <c r="N1472" i="51"/>
  <c r="O1472" i="51"/>
  <c r="P1472" i="51"/>
  <c r="Q1472" i="51"/>
  <c r="L1473" i="51"/>
  <c r="N1473" i="51"/>
  <c r="O1473" i="51"/>
  <c r="P1473" i="51"/>
  <c r="Q1473" i="51"/>
  <c r="L1474" i="51"/>
  <c r="N1474" i="51"/>
  <c r="O1474" i="51"/>
  <c r="P1474" i="51"/>
  <c r="Q1474" i="51"/>
  <c r="L1475" i="51"/>
  <c r="N1475" i="51"/>
  <c r="O1475" i="51"/>
  <c r="P1475" i="51"/>
  <c r="Q1475" i="51"/>
  <c r="L1476" i="51"/>
  <c r="N1476" i="51"/>
  <c r="O1476" i="51"/>
  <c r="P1476" i="51"/>
  <c r="Q1476" i="51"/>
  <c r="L1477" i="51"/>
  <c r="N1477" i="51"/>
  <c r="O1477" i="51"/>
  <c r="P1477" i="51"/>
  <c r="Q1477" i="51"/>
  <c r="L1478" i="51"/>
  <c r="N1478" i="51"/>
  <c r="O1478" i="51"/>
  <c r="P1478" i="51"/>
  <c r="Q1478" i="51"/>
  <c r="L1479" i="51"/>
  <c r="N1479" i="51"/>
  <c r="O1479" i="51"/>
  <c r="P1479" i="51"/>
  <c r="Q1479" i="51"/>
  <c r="L1480" i="51"/>
  <c r="N1480" i="51"/>
  <c r="O1480" i="51"/>
  <c r="P1480" i="51"/>
  <c r="Q1480" i="51"/>
  <c r="L1481" i="51"/>
  <c r="N1481" i="51"/>
  <c r="O1481" i="51"/>
  <c r="P1481" i="51"/>
  <c r="Q1481" i="51"/>
  <c r="L1482" i="51"/>
  <c r="N1482" i="51"/>
  <c r="O1482" i="51"/>
  <c r="P1482" i="51"/>
  <c r="Q1482" i="51"/>
  <c r="L1483" i="51"/>
  <c r="N1483" i="51"/>
  <c r="O1483" i="51"/>
  <c r="P1483" i="51"/>
  <c r="Q1483" i="51"/>
  <c r="L1484" i="51"/>
  <c r="N1484" i="51"/>
  <c r="O1484" i="51"/>
  <c r="P1484" i="51"/>
  <c r="Q1484" i="51"/>
  <c r="L1485" i="51"/>
  <c r="N1485" i="51"/>
  <c r="O1485" i="51"/>
  <c r="P1485" i="51"/>
  <c r="Q1485" i="51"/>
  <c r="L1486" i="51"/>
  <c r="N1486" i="51"/>
  <c r="O1486" i="51"/>
  <c r="P1486" i="51"/>
  <c r="Q1486" i="51"/>
  <c r="L1487" i="51"/>
  <c r="N1487" i="51"/>
  <c r="O1487" i="51"/>
  <c r="P1487" i="51"/>
  <c r="Q1487" i="51"/>
  <c r="L1488" i="51"/>
  <c r="N1488" i="51"/>
  <c r="O1488" i="51"/>
  <c r="P1488" i="51"/>
  <c r="Q1488" i="51"/>
  <c r="L1489" i="51"/>
  <c r="N1489" i="51"/>
  <c r="O1489" i="51"/>
  <c r="P1489" i="51"/>
  <c r="Q1489" i="51"/>
  <c r="L1490" i="51"/>
  <c r="N1490" i="51"/>
  <c r="O1490" i="51"/>
  <c r="P1490" i="51"/>
  <c r="Q1490" i="51"/>
  <c r="L1491" i="51"/>
  <c r="N1491" i="51"/>
  <c r="O1491" i="51"/>
  <c r="P1491" i="51"/>
  <c r="Q1491" i="51"/>
  <c r="L1492" i="51"/>
  <c r="N1492" i="51"/>
  <c r="O1492" i="51"/>
  <c r="P1492" i="51"/>
  <c r="Q1492" i="51"/>
  <c r="L1493" i="51"/>
  <c r="N1493" i="51"/>
  <c r="O1493" i="51"/>
  <c r="P1493" i="51"/>
  <c r="Q1493" i="51"/>
  <c r="L1494" i="51"/>
  <c r="N1494" i="51"/>
  <c r="O1494" i="51"/>
  <c r="P1494" i="51"/>
  <c r="Q1494" i="51"/>
  <c r="L1495" i="51"/>
  <c r="N1495" i="51"/>
  <c r="O1495" i="51"/>
  <c r="P1495" i="51"/>
  <c r="Q1495" i="51"/>
  <c r="L1496" i="51"/>
  <c r="N1496" i="51"/>
  <c r="O1496" i="51"/>
  <c r="P1496" i="51"/>
  <c r="Q1496" i="51"/>
  <c r="L1497" i="51"/>
  <c r="N1497" i="51"/>
  <c r="O1497" i="51"/>
  <c r="P1497" i="51"/>
  <c r="Q1497" i="51"/>
  <c r="L1498" i="51"/>
  <c r="N1498" i="51"/>
  <c r="O1498" i="51"/>
  <c r="P1498" i="51"/>
  <c r="Q1498" i="51"/>
  <c r="L1499" i="51"/>
  <c r="N1499" i="51"/>
  <c r="O1499" i="51"/>
  <c r="P1499" i="51"/>
  <c r="Q1499" i="51"/>
  <c r="L1500" i="51"/>
  <c r="N1500" i="51"/>
  <c r="O1500" i="51"/>
  <c r="P1500" i="51"/>
  <c r="Q1500" i="51"/>
  <c r="L1501" i="51"/>
  <c r="N1501" i="51"/>
  <c r="O1501" i="51"/>
  <c r="P1501" i="51"/>
  <c r="Q1501" i="51"/>
  <c r="L1502" i="51"/>
  <c r="N1502" i="51"/>
  <c r="O1502" i="51"/>
  <c r="P1502" i="51"/>
  <c r="Q1502" i="51"/>
  <c r="L1503" i="51"/>
  <c r="N1503" i="51"/>
  <c r="O1503" i="51"/>
  <c r="P1503" i="51"/>
  <c r="Q1503" i="51"/>
  <c r="L1504" i="51"/>
  <c r="N1504" i="51"/>
  <c r="O1504" i="51"/>
  <c r="P1504" i="51"/>
  <c r="Q1504" i="51"/>
  <c r="L1505" i="51"/>
  <c r="N1505" i="51"/>
  <c r="O1505" i="51"/>
  <c r="P1505" i="51"/>
  <c r="Q1505" i="51"/>
  <c r="L1506" i="51"/>
  <c r="N1506" i="51"/>
  <c r="O1506" i="51"/>
  <c r="P1506" i="51"/>
  <c r="Q1506" i="51"/>
  <c r="L1507" i="51"/>
  <c r="N1507" i="51"/>
  <c r="O1507" i="51"/>
  <c r="P1507" i="51"/>
  <c r="Q1507" i="51"/>
  <c r="L1508" i="51"/>
  <c r="N1508" i="51"/>
  <c r="O1508" i="51"/>
  <c r="P1508" i="51"/>
  <c r="Q1508" i="51"/>
  <c r="L1509" i="51"/>
  <c r="N1509" i="51"/>
  <c r="O1509" i="51"/>
  <c r="P1509" i="51"/>
  <c r="Q1509" i="51"/>
  <c r="L1510" i="51"/>
  <c r="N1510" i="51"/>
  <c r="O1510" i="51"/>
  <c r="P1510" i="51"/>
  <c r="Q1510" i="51"/>
  <c r="L1511" i="51"/>
  <c r="N1511" i="51"/>
  <c r="O1511" i="51"/>
  <c r="P1511" i="51"/>
  <c r="Q1511" i="51"/>
  <c r="L1512" i="51"/>
  <c r="N1512" i="51"/>
  <c r="O1512" i="51"/>
  <c r="P1512" i="51"/>
  <c r="Q1512" i="51"/>
  <c r="L1513" i="51"/>
  <c r="N1513" i="51"/>
  <c r="O1513" i="51"/>
  <c r="P1513" i="51"/>
  <c r="Q1513" i="51"/>
  <c r="L1514" i="51"/>
  <c r="N1514" i="51"/>
  <c r="O1514" i="51"/>
  <c r="P1514" i="51"/>
  <c r="Q1514" i="51"/>
  <c r="L1515" i="51"/>
  <c r="N1515" i="51"/>
  <c r="O1515" i="51"/>
  <c r="P1515" i="51"/>
  <c r="Q1515" i="51"/>
  <c r="L1516" i="51"/>
  <c r="N1516" i="51"/>
  <c r="O1516" i="51"/>
  <c r="P1516" i="51"/>
  <c r="Q1516" i="51"/>
  <c r="L1517" i="51"/>
  <c r="N1517" i="51"/>
  <c r="O1517" i="51"/>
  <c r="P1517" i="51"/>
  <c r="Q1517" i="51"/>
  <c r="L1518" i="51"/>
  <c r="N1518" i="51"/>
  <c r="O1518" i="51"/>
  <c r="P1518" i="51"/>
  <c r="Q1518" i="51"/>
  <c r="L1519" i="51"/>
  <c r="N1519" i="51"/>
  <c r="O1519" i="51"/>
  <c r="P1519" i="51"/>
  <c r="Q1519" i="51"/>
  <c r="L1520" i="51"/>
  <c r="N1520" i="51"/>
  <c r="O1520" i="51"/>
  <c r="P1520" i="51"/>
  <c r="Q1520" i="51"/>
  <c r="L1521" i="51"/>
  <c r="N1521" i="51"/>
  <c r="O1521" i="51"/>
  <c r="P1521" i="51"/>
  <c r="Q1521" i="51"/>
  <c r="L1522" i="51"/>
  <c r="N1522" i="51"/>
  <c r="O1522" i="51"/>
  <c r="P1522" i="51"/>
  <c r="Q1522" i="51"/>
  <c r="L1523" i="51"/>
  <c r="N1523" i="51"/>
  <c r="O1523" i="51"/>
  <c r="P1523" i="51"/>
  <c r="Q1523" i="51"/>
  <c r="L1524" i="51"/>
  <c r="N1524" i="51"/>
  <c r="O1524" i="51"/>
  <c r="P1524" i="51"/>
  <c r="Q1524" i="51"/>
  <c r="L1525" i="51"/>
  <c r="N1525" i="51"/>
  <c r="O1525" i="51"/>
  <c r="P1525" i="51"/>
  <c r="Q1525" i="51"/>
  <c r="L1526" i="51"/>
  <c r="N1526" i="51"/>
  <c r="O1526" i="51"/>
  <c r="P1526" i="51"/>
  <c r="Q1526" i="51"/>
  <c r="L1527" i="51"/>
  <c r="N1527" i="51"/>
  <c r="O1527" i="51"/>
  <c r="P1527" i="51"/>
  <c r="Q1527" i="51"/>
  <c r="L1528" i="51"/>
  <c r="N1528" i="51"/>
  <c r="O1528" i="51"/>
  <c r="P1528" i="51"/>
  <c r="Q1528" i="51"/>
  <c r="L1529" i="51"/>
  <c r="N1529" i="51"/>
  <c r="O1529" i="51"/>
  <c r="P1529" i="51"/>
  <c r="Q1529" i="51"/>
  <c r="L1530" i="51"/>
  <c r="N1530" i="51"/>
  <c r="O1530" i="51"/>
  <c r="P1530" i="51"/>
  <c r="Q1530" i="51"/>
  <c r="L1531" i="51"/>
  <c r="N1531" i="51"/>
  <c r="O1531" i="51"/>
  <c r="P1531" i="51"/>
  <c r="Q1531" i="51"/>
  <c r="L1532" i="51"/>
  <c r="N1532" i="51"/>
  <c r="O1532" i="51"/>
  <c r="P1532" i="51"/>
  <c r="Q1532" i="51"/>
  <c r="L1533" i="51"/>
  <c r="N1533" i="51"/>
  <c r="O1533" i="51"/>
  <c r="P1533" i="51"/>
  <c r="Q1533" i="51"/>
  <c r="L1534" i="51"/>
  <c r="N1534" i="51"/>
  <c r="O1534" i="51"/>
  <c r="P1534" i="51"/>
  <c r="Q1534" i="51"/>
  <c r="L1535" i="51"/>
  <c r="N1535" i="51"/>
  <c r="O1535" i="51"/>
  <c r="P1535" i="51"/>
  <c r="Q1535" i="51"/>
  <c r="L1536" i="51"/>
  <c r="N1536" i="51"/>
  <c r="O1536" i="51"/>
  <c r="P1536" i="51"/>
  <c r="Q1536" i="51"/>
  <c r="L1537" i="51"/>
  <c r="N1537" i="51"/>
  <c r="O1537" i="51"/>
  <c r="P1537" i="51"/>
  <c r="Q1537" i="51"/>
  <c r="L1538" i="51"/>
  <c r="N1538" i="51"/>
  <c r="O1538" i="51"/>
  <c r="P1538" i="51"/>
  <c r="Q1538" i="51"/>
  <c r="L1539" i="51"/>
  <c r="N1539" i="51"/>
  <c r="O1539" i="51"/>
  <c r="P1539" i="51"/>
  <c r="Q1539" i="51"/>
  <c r="L1540" i="51"/>
  <c r="N1540" i="51"/>
  <c r="O1540" i="51"/>
  <c r="P1540" i="51"/>
  <c r="Q1540" i="51"/>
  <c r="L1541" i="51"/>
  <c r="N1541" i="51"/>
  <c r="O1541" i="51"/>
  <c r="P1541" i="51"/>
  <c r="Q1541" i="51"/>
  <c r="L1542" i="51"/>
  <c r="N1542" i="51"/>
  <c r="O1542" i="51"/>
  <c r="P1542" i="51"/>
  <c r="Q1542" i="51"/>
  <c r="L1543" i="51"/>
  <c r="N1543" i="51"/>
  <c r="O1543" i="51"/>
  <c r="P1543" i="51"/>
  <c r="Q1543" i="51"/>
  <c r="L1544" i="51"/>
  <c r="N1544" i="51"/>
  <c r="O1544" i="51"/>
  <c r="P1544" i="51"/>
  <c r="Q1544" i="51"/>
  <c r="L1545" i="51"/>
  <c r="N1545" i="51"/>
  <c r="O1545" i="51"/>
  <c r="P1545" i="51"/>
  <c r="Q1545" i="51"/>
  <c r="L1546" i="51"/>
  <c r="N1546" i="51"/>
  <c r="O1546" i="51"/>
  <c r="P1546" i="51"/>
  <c r="Q1546" i="51"/>
  <c r="L1547" i="51"/>
  <c r="N1547" i="51"/>
  <c r="O1547" i="51"/>
  <c r="P1547" i="51"/>
  <c r="Q1547" i="51"/>
  <c r="L1548" i="51"/>
  <c r="N1548" i="51"/>
  <c r="O1548" i="51"/>
  <c r="P1548" i="51"/>
  <c r="Q1548" i="51"/>
  <c r="L1549" i="51"/>
  <c r="N1549" i="51"/>
  <c r="O1549" i="51"/>
  <c r="P1549" i="51"/>
  <c r="Q1549" i="51"/>
  <c r="L1550" i="51"/>
  <c r="N1550" i="51"/>
  <c r="O1550" i="51"/>
  <c r="P1550" i="51"/>
  <c r="Q1550" i="51"/>
  <c r="L1551" i="51"/>
  <c r="N1551" i="51"/>
  <c r="O1551" i="51"/>
  <c r="P1551" i="51"/>
  <c r="Q1551" i="51"/>
  <c r="L1552" i="51"/>
  <c r="N1552" i="51"/>
  <c r="O1552" i="51"/>
  <c r="P1552" i="51"/>
  <c r="Q1552" i="51"/>
  <c r="L1553" i="51"/>
  <c r="N1553" i="51"/>
  <c r="O1553" i="51"/>
  <c r="P1553" i="51"/>
  <c r="Q1553" i="51"/>
  <c r="L1554" i="51"/>
  <c r="N1554" i="51"/>
  <c r="O1554" i="51"/>
  <c r="P1554" i="51"/>
  <c r="Q1554" i="51"/>
  <c r="L1555" i="51"/>
  <c r="N1555" i="51"/>
  <c r="O1555" i="51"/>
  <c r="P1555" i="51"/>
  <c r="Q1555" i="51"/>
  <c r="L1556" i="51"/>
  <c r="N1556" i="51"/>
  <c r="O1556" i="51"/>
  <c r="P1556" i="51"/>
  <c r="Q1556" i="51"/>
  <c r="L1557" i="51"/>
  <c r="N1557" i="51"/>
  <c r="O1557" i="51"/>
  <c r="P1557" i="51"/>
  <c r="Q1557" i="51"/>
  <c r="L1558" i="51"/>
  <c r="N1558" i="51"/>
  <c r="O1558" i="51"/>
  <c r="P1558" i="51"/>
  <c r="Q1558" i="51"/>
  <c r="L1559" i="51"/>
  <c r="N1559" i="51"/>
  <c r="O1559" i="51"/>
  <c r="P1559" i="51"/>
  <c r="Q1559" i="51"/>
  <c r="L1560" i="51"/>
  <c r="N1560" i="51"/>
  <c r="O1560" i="51"/>
  <c r="P1560" i="51"/>
  <c r="Q1560" i="51"/>
  <c r="L1561" i="51"/>
  <c r="N1561" i="51"/>
  <c r="O1561" i="51"/>
  <c r="P1561" i="51"/>
  <c r="Q1561" i="51"/>
  <c r="L1562" i="51"/>
  <c r="N1562" i="51"/>
  <c r="O1562" i="51"/>
  <c r="P1562" i="51"/>
  <c r="Q1562" i="51"/>
  <c r="L1563" i="51"/>
  <c r="N1563" i="51"/>
  <c r="O1563" i="51"/>
  <c r="P1563" i="51"/>
  <c r="Q1563" i="51"/>
  <c r="L1564" i="51"/>
  <c r="N1564" i="51"/>
  <c r="O1564" i="51"/>
  <c r="P1564" i="51"/>
  <c r="Q1564" i="51"/>
  <c r="L1565" i="51"/>
  <c r="N1565" i="51"/>
  <c r="O1565" i="51"/>
  <c r="P1565" i="51"/>
  <c r="Q1565" i="51"/>
  <c r="L1566" i="51"/>
  <c r="N1566" i="51"/>
  <c r="O1566" i="51"/>
  <c r="P1566" i="51"/>
  <c r="Q1566" i="51"/>
  <c r="L1567" i="51"/>
  <c r="N1567" i="51"/>
  <c r="O1567" i="51"/>
  <c r="P1567" i="51"/>
  <c r="Q1567" i="51"/>
  <c r="L1568" i="51"/>
  <c r="N1568" i="51"/>
  <c r="O1568" i="51"/>
  <c r="P1568" i="51"/>
  <c r="Q1568" i="51"/>
  <c r="L1569" i="51"/>
  <c r="N1569" i="51"/>
  <c r="O1569" i="51"/>
  <c r="P1569" i="51"/>
  <c r="Q1569" i="51"/>
  <c r="L1570" i="51"/>
  <c r="N1570" i="51"/>
  <c r="O1570" i="51"/>
  <c r="P1570" i="51"/>
  <c r="Q1570" i="51"/>
  <c r="L1571" i="51"/>
  <c r="N1571" i="51"/>
  <c r="O1571" i="51"/>
  <c r="P1571" i="51"/>
  <c r="Q1571" i="51"/>
  <c r="L1572" i="51"/>
  <c r="N1572" i="51"/>
  <c r="O1572" i="51"/>
  <c r="P1572" i="51"/>
  <c r="Q1572" i="51"/>
  <c r="L1573" i="51"/>
  <c r="N1573" i="51"/>
  <c r="O1573" i="51"/>
  <c r="P1573" i="51"/>
  <c r="Q1573" i="51"/>
  <c r="L1574" i="51"/>
  <c r="N1574" i="51"/>
  <c r="O1574" i="51"/>
  <c r="P1574" i="51"/>
  <c r="Q1574" i="51"/>
  <c r="L1575" i="51"/>
  <c r="N1575" i="51"/>
  <c r="O1575" i="51"/>
  <c r="P1575" i="51"/>
  <c r="Q1575" i="51"/>
  <c r="L1576" i="51"/>
  <c r="N1576" i="51"/>
  <c r="O1576" i="51"/>
  <c r="P1576" i="51"/>
  <c r="Q1576" i="51"/>
  <c r="L1577" i="51"/>
  <c r="N1577" i="51"/>
  <c r="O1577" i="51"/>
  <c r="P1577" i="51"/>
  <c r="Q1577" i="51"/>
  <c r="L1578" i="51"/>
  <c r="N1578" i="51"/>
  <c r="O1578" i="51"/>
  <c r="P1578" i="51"/>
  <c r="Q1578" i="51"/>
  <c r="L1579" i="51"/>
  <c r="N1579" i="51"/>
  <c r="O1579" i="51"/>
  <c r="P1579" i="51"/>
  <c r="Q1579" i="51"/>
  <c r="L1580" i="51"/>
  <c r="N1580" i="51"/>
  <c r="O1580" i="51"/>
  <c r="P1580" i="51"/>
  <c r="Q1580" i="51"/>
  <c r="L1581" i="51"/>
  <c r="N1581" i="51"/>
  <c r="O1581" i="51"/>
  <c r="P1581" i="51"/>
  <c r="Q1581" i="51"/>
  <c r="L1582" i="51"/>
  <c r="N1582" i="51"/>
  <c r="O1582" i="51"/>
  <c r="P1582" i="51"/>
  <c r="Q1582" i="51"/>
  <c r="L1583" i="51"/>
  <c r="N1583" i="51"/>
  <c r="O1583" i="51"/>
  <c r="P1583" i="51"/>
  <c r="Q1583" i="51"/>
  <c r="L1584" i="51"/>
  <c r="N1584" i="51"/>
  <c r="O1584" i="51"/>
  <c r="P1584" i="51"/>
  <c r="Q1584" i="51"/>
  <c r="L1585" i="51"/>
  <c r="N1585" i="51"/>
  <c r="O1585" i="51"/>
  <c r="P1585" i="51"/>
  <c r="Q1585" i="51"/>
  <c r="L1586" i="51"/>
  <c r="N1586" i="51"/>
  <c r="O1586" i="51"/>
  <c r="P1586" i="51"/>
  <c r="Q1586" i="51"/>
  <c r="L1587" i="51"/>
  <c r="N1587" i="51"/>
  <c r="O1587" i="51"/>
  <c r="P1587" i="51"/>
  <c r="Q1587" i="51"/>
  <c r="L1588" i="51"/>
  <c r="N1588" i="51"/>
  <c r="O1588" i="51"/>
  <c r="P1588" i="51"/>
  <c r="Q1588" i="51"/>
  <c r="L1589" i="51"/>
  <c r="N1589" i="51"/>
  <c r="O1589" i="51"/>
  <c r="P1589" i="51"/>
  <c r="Q1589" i="51"/>
  <c r="L1590" i="51"/>
  <c r="N1590" i="51"/>
  <c r="O1590" i="51"/>
  <c r="P1590" i="51"/>
  <c r="Q1590" i="51"/>
  <c r="L1591" i="51"/>
  <c r="N1591" i="51"/>
  <c r="O1591" i="51"/>
  <c r="P1591" i="51"/>
  <c r="Q1591" i="51"/>
  <c r="L1592" i="51"/>
  <c r="N1592" i="51"/>
  <c r="O1592" i="51"/>
  <c r="P1592" i="51"/>
  <c r="Q1592" i="51"/>
  <c r="L1593" i="51"/>
  <c r="N1593" i="51"/>
  <c r="O1593" i="51"/>
  <c r="P1593" i="51"/>
  <c r="Q1593" i="51"/>
  <c r="L1594" i="51"/>
  <c r="N1594" i="51"/>
  <c r="O1594" i="51"/>
  <c r="P1594" i="51"/>
  <c r="Q1594" i="51"/>
  <c r="L1595" i="51"/>
  <c r="N1595" i="51"/>
  <c r="O1595" i="51"/>
  <c r="P1595" i="51"/>
  <c r="Q1595" i="51"/>
  <c r="L1596" i="51"/>
  <c r="N1596" i="51"/>
  <c r="O1596" i="51"/>
  <c r="P1596" i="51"/>
  <c r="Q1596" i="51"/>
  <c r="L1597" i="51"/>
  <c r="N1597" i="51"/>
  <c r="O1597" i="51"/>
  <c r="P1597" i="51"/>
  <c r="Q1597" i="51"/>
  <c r="L1598" i="51"/>
  <c r="N1598" i="51"/>
  <c r="O1598" i="51"/>
  <c r="P1598" i="51"/>
  <c r="Q1598" i="51"/>
  <c r="L1599" i="51"/>
  <c r="N1599" i="51"/>
  <c r="O1599" i="51"/>
  <c r="P1599" i="51"/>
  <c r="Q1599" i="51"/>
  <c r="L1600" i="51"/>
  <c r="N1600" i="51"/>
  <c r="O1600" i="51"/>
  <c r="P1600" i="51"/>
  <c r="Q1600" i="51"/>
  <c r="L1601" i="51"/>
  <c r="N1601" i="51"/>
  <c r="O1601" i="51"/>
  <c r="P1601" i="51"/>
  <c r="Q1601" i="51"/>
  <c r="L1602" i="51"/>
  <c r="N1602" i="51"/>
  <c r="O1602" i="51"/>
  <c r="P1602" i="51"/>
  <c r="Q1602" i="51"/>
  <c r="L1603" i="51"/>
  <c r="N1603" i="51"/>
  <c r="O1603" i="51"/>
  <c r="P1603" i="51"/>
  <c r="Q1603" i="51"/>
  <c r="L1604" i="51"/>
  <c r="N1604" i="51"/>
  <c r="O1604" i="51"/>
  <c r="P1604" i="51"/>
  <c r="Q1604" i="51"/>
  <c r="L1605" i="51"/>
  <c r="N1605" i="51"/>
  <c r="O1605" i="51"/>
  <c r="P1605" i="51"/>
  <c r="Q1605" i="51"/>
  <c r="L1606" i="51"/>
  <c r="N1606" i="51"/>
  <c r="O1606" i="51"/>
  <c r="P1606" i="51"/>
  <c r="Q1606" i="51"/>
  <c r="L1607" i="51"/>
  <c r="N1607" i="51"/>
  <c r="O1607" i="51"/>
  <c r="P1607" i="51"/>
  <c r="Q1607" i="51"/>
  <c r="L1608" i="51"/>
  <c r="N1608" i="51"/>
  <c r="O1608" i="51"/>
  <c r="P1608" i="51"/>
  <c r="Q1608" i="51"/>
  <c r="L1609" i="51"/>
  <c r="N1609" i="51"/>
  <c r="O1609" i="51"/>
  <c r="P1609" i="51"/>
  <c r="Q1609" i="51"/>
  <c r="L1610" i="51"/>
  <c r="N1610" i="51"/>
  <c r="O1610" i="51"/>
  <c r="P1610" i="51"/>
  <c r="Q1610" i="51"/>
  <c r="L1611" i="51"/>
  <c r="N1611" i="51"/>
  <c r="O1611" i="51"/>
  <c r="P1611" i="51"/>
  <c r="Q1611" i="51"/>
  <c r="L1612" i="51"/>
  <c r="N1612" i="51"/>
  <c r="O1612" i="51"/>
  <c r="P1612" i="51"/>
  <c r="Q1612" i="51"/>
  <c r="L1613" i="51"/>
  <c r="N1613" i="51"/>
  <c r="O1613" i="51"/>
  <c r="P1613" i="51"/>
  <c r="Q1613" i="51"/>
  <c r="L1614" i="51"/>
  <c r="N1614" i="51"/>
  <c r="O1614" i="51"/>
  <c r="P1614" i="51"/>
  <c r="Q1614" i="51"/>
  <c r="L1615" i="51"/>
  <c r="N1615" i="51"/>
  <c r="O1615" i="51"/>
  <c r="P1615" i="51"/>
  <c r="Q1615" i="51"/>
  <c r="L1616" i="51"/>
  <c r="N1616" i="51"/>
  <c r="O1616" i="51"/>
  <c r="P1616" i="51"/>
  <c r="Q1616" i="51"/>
  <c r="L1617" i="51"/>
  <c r="N1617" i="51"/>
  <c r="O1617" i="51"/>
  <c r="P1617" i="51"/>
  <c r="Q1617" i="51"/>
  <c r="L1618" i="51"/>
  <c r="N1618" i="51"/>
  <c r="O1618" i="51"/>
  <c r="P1618" i="51"/>
  <c r="Q1618" i="51"/>
  <c r="L1619" i="51"/>
  <c r="N1619" i="51"/>
  <c r="O1619" i="51"/>
  <c r="P1619" i="51"/>
  <c r="Q1619" i="51"/>
  <c r="L1620" i="51"/>
  <c r="N1620" i="51"/>
  <c r="O1620" i="51"/>
  <c r="P1620" i="51"/>
  <c r="Q1620" i="51"/>
  <c r="L1621" i="51"/>
  <c r="N1621" i="51"/>
  <c r="O1621" i="51"/>
  <c r="P1621" i="51"/>
  <c r="Q1621" i="51"/>
  <c r="L1622" i="51"/>
  <c r="N1622" i="51"/>
  <c r="O1622" i="51"/>
  <c r="P1622" i="51"/>
  <c r="Q1622" i="51"/>
  <c r="L1623" i="51"/>
  <c r="N1623" i="51"/>
  <c r="O1623" i="51"/>
  <c r="P1623" i="51"/>
  <c r="Q1623" i="51"/>
  <c r="L1624" i="51"/>
  <c r="N1624" i="51"/>
  <c r="O1624" i="51"/>
  <c r="P1624" i="51"/>
  <c r="Q1624" i="51"/>
  <c r="L1625" i="51"/>
  <c r="N1625" i="51"/>
  <c r="O1625" i="51"/>
  <c r="P1625" i="51"/>
  <c r="Q1625" i="51"/>
  <c r="L1626" i="51"/>
  <c r="N1626" i="51"/>
  <c r="O1626" i="51"/>
  <c r="P1626" i="51"/>
  <c r="Q1626" i="51"/>
  <c r="L1627" i="51"/>
  <c r="N1627" i="51"/>
  <c r="O1627" i="51"/>
  <c r="P1627" i="51"/>
  <c r="Q1627" i="51"/>
  <c r="L1628" i="51"/>
  <c r="N1628" i="51"/>
  <c r="O1628" i="51"/>
  <c r="P1628" i="51"/>
  <c r="Q1628" i="51"/>
  <c r="L1629" i="51"/>
  <c r="N1629" i="51"/>
  <c r="O1629" i="51"/>
  <c r="P1629" i="51"/>
  <c r="Q1629" i="51"/>
  <c r="L1630" i="51"/>
  <c r="N1630" i="51"/>
  <c r="O1630" i="51"/>
  <c r="P1630" i="51"/>
  <c r="Q1630" i="51"/>
  <c r="L1631" i="51"/>
  <c r="N1631" i="51"/>
  <c r="O1631" i="51"/>
  <c r="P1631" i="51"/>
  <c r="Q1631" i="51"/>
  <c r="L1632" i="51"/>
  <c r="N1632" i="51"/>
  <c r="O1632" i="51"/>
  <c r="P1632" i="51"/>
  <c r="Q1632" i="51"/>
  <c r="L1633" i="51"/>
  <c r="N1633" i="51"/>
  <c r="O1633" i="51"/>
  <c r="P1633" i="51"/>
  <c r="Q1633" i="51"/>
  <c r="L1634" i="51"/>
  <c r="N1634" i="51"/>
  <c r="O1634" i="51"/>
  <c r="P1634" i="51"/>
  <c r="Q1634" i="51"/>
  <c r="L1635" i="51"/>
  <c r="N1635" i="51"/>
  <c r="O1635" i="51"/>
  <c r="P1635" i="51"/>
  <c r="Q1635" i="51"/>
  <c r="L1636" i="51"/>
  <c r="N1636" i="51"/>
  <c r="O1636" i="51"/>
  <c r="P1636" i="51"/>
  <c r="Q1636" i="51"/>
  <c r="L1637" i="51"/>
  <c r="N1637" i="51"/>
  <c r="O1637" i="51"/>
  <c r="P1637" i="51"/>
  <c r="Q1637" i="51"/>
  <c r="L1638" i="51"/>
  <c r="N1638" i="51"/>
  <c r="O1638" i="51"/>
  <c r="P1638" i="51"/>
  <c r="Q1638" i="51"/>
  <c r="L1639" i="51"/>
  <c r="N1639" i="51"/>
  <c r="O1639" i="51"/>
  <c r="P1639" i="51"/>
  <c r="Q1639" i="51"/>
  <c r="L1640" i="51"/>
  <c r="N1640" i="51"/>
  <c r="O1640" i="51"/>
  <c r="P1640" i="51"/>
  <c r="Q1640" i="51"/>
  <c r="L1641" i="51"/>
  <c r="N1641" i="51"/>
  <c r="O1641" i="51"/>
  <c r="P1641" i="51"/>
  <c r="Q1641" i="51"/>
  <c r="L1642" i="51"/>
  <c r="N1642" i="51"/>
  <c r="O1642" i="51"/>
  <c r="P1642" i="51"/>
  <c r="Q1642" i="51"/>
  <c r="L1643" i="51"/>
  <c r="N1643" i="51"/>
  <c r="O1643" i="51"/>
  <c r="P1643" i="51"/>
  <c r="Q1643" i="51"/>
  <c r="L1644" i="51"/>
  <c r="N1644" i="51"/>
  <c r="O1644" i="51"/>
  <c r="P1644" i="51"/>
  <c r="Q1644" i="51"/>
  <c r="L1645" i="51"/>
  <c r="N1645" i="51"/>
  <c r="O1645" i="51"/>
  <c r="P1645" i="51"/>
  <c r="Q1645" i="51"/>
  <c r="L1646" i="51"/>
  <c r="N1646" i="51"/>
  <c r="O1646" i="51"/>
  <c r="P1646" i="51"/>
  <c r="Q1646" i="51"/>
  <c r="L1647" i="51"/>
  <c r="N1647" i="51"/>
  <c r="O1647" i="51"/>
  <c r="P1647" i="51"/>
  <c r="Q1647" i="51"/>
  <c r="L1648" i="51"/>
  <c r="N1648" i="51"/>
  <c r="O1648" i="51"/>
  <c r="P1648" i="51"/>
  <c r="Q1648" i="51"/>
  <c r="L1649" i="51"/>
  <c r="N1649" i="51"/>
  <c r="O1649" i="51"/>
  <c r="P1649" i="51"/>
  <c r="Q1649" i="51"/>
  <c r="L1650" i="51"/>
  <c r="N1650" i="51"/>
  <c r="O1650" i="51"/>
  <c r="P1650" i="51"/>
  <c r="Q1650" i="51"/>
  <c r="L1651" i="51"/>
  <c r="N1651" i="51"/>
  <c r="O1651" i="51"/>
  <c r="P1651" i="51"/>
  <c r="Q1651" i="51"/>
  <c r="L1652" i="51"/>
  <c r="N1652" i="51"/>
  <c r="O1652" i="51"/>
  <c r="P1652" i="51"/>
  <c r="Q1652" i="51"/>
  <c r="L1653" i="51"/>
  <c r="N1653" i="51"/>
  <c r="O1653" i="51"/>
  <c r="P1653" i="51"/>
  <c r="Q1653" i="51"/>
  <c r="L1654" i="51"/>
  <c r="N1654" i="51"/>
  <c r="O1654" i="51"/>
  <c r="P1654" i="51"/>
  <c r="Q1654" i="51"/>
  <c r="L1655" i="51"/>
  <c r="N1655" i="51"/>
  <c r="O1655" i="51"/>
  <c r="P1655" i="51"/>
  <c r="Q1655" i="51"/>
  <c r="L1656" i="51"/>
  <c r="N1656" i="51"/>
  <c r="O1656" i="51"/>
  <c r="P1656" i="51"/>
  <c r="Q1656" i="51"/>
  <c r="L1657" i="51"/>
  <c r="N1657" i="51"/>
  <c r="O1657" i="51"/>
  <c r="P1657" i="51"/>
  <c r="Q1657" i="51"/>
  <c r="L1658" i="51"/>
  <c r="N1658" i="51"/>
  <c r="O1658" i="51"/>
  <c r="P1658" i="51"/>
  <c r="Q1658" i="51"/>
  <c r="L1659" i="51"/>
  <c r="N1659" i="51"/>
  <c r="O1659" i="51"/>
  <c r="P1659" i="51"/>
  <c r="Q1659" i="51"/>
  <c r="L1660" i="51"/>
  <c r="N1660" i="51"/>
  <c r="O1660" i="51"/>
  <c r="P1660" i="51"/>
  <c r="Q1660" i="51"/>
  <c r="L1661" i="51"/>
  <c r="N1661" i="51"/>
  <c r="O1661" i="51"/>
  <c r="P1661" i="51"/>
  <c r="Q1661" i="51"/>
  <c r="L1662" i="51"/>
  <c r="N1662" i="51"/>
  <c r="O1662" i="51"/>
  <c r="P1662" i="51"/>
  <c r="Q1662" i="51"/>
  <c r="L1663" i="51"/>
  <c r="N1663" i="51"/>
  <c r="O1663" i="51"/>
  <c r="P1663" i="51"/>
  <c r="Q1663" i="51"/>
  <c r="L1664" i="51"/>
  <c r="N1664" i="51"/>
  <c r="O1664" i="51"/>
  <c r="P1664" i="51"/>
  <c r="Q1664" i="51"/>
  <c r="L1665" i="51"/>
  <c r="N1665" i="51"/>
  <c r="O1665" i="51"/>
  <c r="P1665" i="51"/>
  <c r="Q1665" i="51"/>
  <c r="L1666" i="51"/>
  <c r="N1666" i="51"/>
  <c r="O1666" i="51"/>
  <c r="P1666" i="51"/>
  <c r="Q1666" i="51"/>
  <c r="L1667" i="51"/>
  <c r="N1667" i="51"/>
  <c r="O1667" i="51"/>
  <c r="P1667" i="51"/>
  <c r="Q1667" i="51"/>
  <c r="L1668" i="51"/>
  <c r="N1668" i="51"/>
  <c r="O1668" i="51"/>
  <c r="P1668" i="51"/>
  <c r="Q1668" i="51"/>
  <c r="L1669" i="51"/>
  <c r="N1669" i="51"/>
  <c r="O1669" i="51"/>
  <c r="P1669" i="51"/>
  <c r="Q1669" i="51"/>
  <c r="L1670" i="51"/>
  <c r="N1670" i="51"/>
  <c r="O1670" i="51"/>
  <c r="P1670" i="51"/>
  <c r="Q1670" i="51"/>
  <c r="L1671" i="51"/>
  <c r="N1671" i="51"/>
  <c r="O1671" i="51"/>
  <c r="P1671" i="51"/>
  <c r="Q1671" i="51"/>
  <c r="L1672" i="51"/>
  <c r="N1672" i="51"/>
  <c r="O1672" i="51"/>
  <c r="P1672" i="51"/>
  <c r="Q1672" i="51"/>
  <c r="L1673" i="51"/>
  <c r="N1673" i="51"/>
  <c r="O1673" i="51"/>
  <c r="P1673" i="51"/>
  <c r="Q1673" i="51"/>
  <c r="L1674" i="51"/>
  <c r="N1674" i="51"/>
  <c r="O1674" i="51"/>
  <c r="P1674" i="51"/>
  <c r="Q1674" i="51"/>
  <c r="L1675" i="51"/>
  <c r="N1675" i="51"/>
  <c r="O1675" i="51"/>
  <c r="P1675" i="51"/>
  <c r="Q1675" i="51"/>
  <c r="L1676" i="51"/>
  <c r="N1676" i="51"/>
  <c r="O1676" i="51"/>
  <c r="P1676" i="51"/>
  <c r="Q1676" i="51"/>
  <c r="L1677" i="51"/>
  <c r="N1677" i="51"/>
  <c r="O1677" i="51"/>
  <c r="P1677" i="51"/>
  <c r="Q1677" i="51"/>
  <c r="L1678" i="51"/>
  <c r="N1678" i="51"/>
  <c r="O1678" i="51"/>
  <c r="P1678" i="51"/>
  <c r="Q1678" i="51"/>
  <c r="L1679" i="51"/>
  <c r="N1679" i="51"/>
  <c r="O1679" i="51"/>
  <c r="P1679" i="51"/>
  <c r="Q1679" i="51"/>
  <c r="L1680" i="51"/>
  <c r="N1680" i="51"/>
  <c r="O1680" i="51"/>
  <c r="P1680" i="51"/>
  <c r="Q1680" i="51"/>
  <c r="L1681" i="51"/>
  <c r="N1681" i="51"/>
  <c r="O1681" i="51"/>
  <c r="P1681" i="51"/>
  <c r="Q1681" i="51"/>
  <c r="L1682" i="51"/>
  <c r="N1682" i="51"/>
  <c r="O1682" i="51"/>
  <c r="P1682" i="51"/>
  <c r="Q1682" i="51"/>
  <c r="L1683" i="51"/>
  <c r="N1683" i="51"/>
  <c r="O1683" i="51"/>
  <c r="P1683" i="51"/>
  <c r="Q1683" i="51"/>
  <c r="L1684" i="51"/>
  <c r="N1684" i="51"/>
  <c r="O1684" i="51"/>
  <c r="P1684" i="51"/>
  <c r="Q1684" i="51"/>
  <c r="L1685" i="51"/>
  <c r="N1685" i="51"/>
  <c r="O1685" i="51"/>
  <c r="P1685" i="51"/>
  <c r="Q1685" i="51"/>
  <c r="L1686" i="51"/>
  <c r="N1686" i="51"/>
  <c r="O1686" i="51"/>
  <c r="P1686" i="51"/>
  <c r="Q1686" i="51"/>
  <c r="L1687" i="51"/>
  <c r="N1687" i="51"/>
  <c r="O1687" i="51"/>
  <c r="P1687" i="51"/>
  <c r="Q1687" i="51"/>
  <c r="L1688" i="51"/>
  <c r="N1688" i="51"/>
  <c r="O1688" i="51"/>
  <c r="P1688" i="51"/>
  <c r="Q1688" i="51"/>
  <c r="L1689" i="51"/>
  <c r="N1689" i="51"/>
  <c r="O1689" i="51"/>
  <c r="P1689" i="51"/>
  <c r="Q1689" i="51"/>
  <c r="L1690" i="51"/>
  <c r="N1690" i="51"/>
  <c r="O1690" i="51"/>
  <c r="P1690" i="51"/>
  <c r="Q1690" i="51"/>
  <c r="L1691" i="51"/>
  <c r="N1691" i="51"/>
  <c r="O1691" i="51"/>
  <c r="P1691" i="51"/>
  <c r="Q1691" i="51"/>
  <c r="L1692" i="51"/>
  <c r="N1692" i="51"/>
  <c r="O1692" i="51"/>
  <c r="P1692" i="51"/>
  <c r="Q1692" i="51"/>
  <c r="L1693" i="51"/>
  <c r="N1693" i="51"/>
  <c r="O1693" i="51"/>
  <c r="P1693" i="51"/>
  <c r="Q1693" i="51"/>
  <c r="L1694" i="51"/>
  <c r="N1694" i="51"/>
  <c r="O1694" i="51"/>
  <c r="P1694" i="51"/>
  <c r="Q1694" i="51"/>
  <c r="L1695" i="51"/>
  <c r="N1695" i="51"/>
  <c r="O1695" i="51"/>
  <c r="P1695" i="51"/>
  <c r="Q1695" i="51"/>
  <c r="L1696" i="51"/>
  <c r="N1696" i="51"/>
  <c r="O1696" i="51"/>
  <c r="P1696" i="51"/>
  <c r="Q1696" i="51"/>
  <c r="L1697" i="51"/>
  <c r="N1697" i="51"/>
  <c r="O1697" i="51"/>
  <c r="P1697" i="51"/>
  <c r="Q1697" i="51"/>
  <c r="L1698" i="51"/>
  <c r="N1698" i="51"/>
  <c r="O1698" i="51"/>
  <c r="P1698" i="51"/>
  <c r="Q1698" i="51"/>
  <c r="L1699" i="51"/>
  <c r="N1699" i="51"/>
  <c r="O1699" i="51"/>
  <c r="P1699" i="51"/>
  <c r="Q1699" i="51"/>
  <c r="L1700" i="51"/>
  <c r="N1700" i="51"/>
  <c r="O1700" i="51"/>
  <c r="P1700" i="51"/>
  <c r="Q1700" i="51"/>
  <c r="L1701" i="51"/>
  <c r="N1701" i="51"/>
  <c r="O1701" i="51"/>
  <c r="P1701" i="51"/>
  <c r="Q1701" i="51"/>
  <c r="L1702" i="51"/>
  <c r="N1702" i="51"/>
  <c r="O1702" i="51"/>
  <c r="P1702" i="51"/>
  <c r="Q1702" i="51"/>
  <c r="L1703" i="51"/>
  <c r="N1703" i="51"/>
  <c r="O1703" i="51"/>
  <c r="P1703" i="51"/>
  <c r="Q1703" i="51"/>
  <c r="L1704" i="51"/>
  <c r="N1704" i="51"/>
  <c r="O1704" i="51"/>
  <c r="P1704" i="51"/>
  <c r="Q1704" i="51"/>
  <c r="L1705" i="51"/>
  <c r="N1705" i="51"/>
  <c r="O1705" i="51"/>
  <c r="P1705" i="51"/>
  <c r="Q1705" i="51"/>
  <c r="L1706" i="51"/>
  <c r="N1706" i="51"/>
  <c r="O1706" i="51"/>
  <c r="P1706" i="51"/>
  <c r="Q1706" i="51"/>
  <c r="L1707" i="51"/>
  <c r="N1707" i="51"/>
  <c r="O1707" i="51"/>
  <c r="P1707" i="51"/>
  <c r="Q1707" i="51"/>
  <c r="L1708" i="51"/>
  <c r="N1708" i="51"/>
  <c r="O1708" i="51"/>
  <c r="P1708" i="51"/>
  <c r="Q1708" i="51"/>
  <c r="L1709" i="51"/>
  <c r="N1709" i="51"/>
  <c r="O1709" i="51"/>
  <c r="P1709" i="51"/>
  <c r="Q1709" i="51"/>
  <c r="L1710" i="51"/>
  <c r="N1710" i="51"/>
  <c r="O1710" i="51"/>
  <c r="P1710" i="51"/>
  <c r="Q1710" i="51"/>
  <c r="L1711" i="51"/>
  <c r="N1711" i="51"/>
  <c r="O1711" i="51"/>
  <c r="P1711" i="51"/>
  <c r="Q1711" i="51"/>
  <c r="L1712" i="51"/>
  <c r="N1712" i="51"/>
  <c r="O1712" i="51"/>
  <c r="P1712" i="51"/>
  <c r="Q1712" i="51"/>
  <c r="L1713" i="51"/>
  <c r="N1713" i="51"/>
  <c r="O1713" i="51"/>
  <c r="P1713" i="51"/>
  <c r="Q1713" i="51"/>
  <c r="L1714" i="51"/>
  <c r="N1714" i="51"/>
  <c r="O1714" i="51"/>
  <c r="P1714" i="51"/>
  <c r="Q1714" i="51"/>
  <c r="L1715" i="51"/>
  <c r="N1715" i="51"/>
  <c r="O1715" i="51"/>
  <c r="P1715" i="51"/>
  <c r="Q1715" i="51"/>
  <c r="L1716" i="51"/>
  <c r="N1716" i="51"/>
  <c r="O1716" i="51"/>
  <c r="P1716" i="51"/>
  <c r="Q1716" i="51"/>
  <c r="L1717" i="51"/>
  <c r="N1717" i="51"/>
  <c r="O1717" i="51"/>
  <c r="P1717" i="51"/>
  <c r="Q1717" i="51"/>
  <c r="L1718" i="51"/>
  <c r="N1718" i="51"/>
  <c r="O1718" i="51"/>
  <c r="P1718" i="51"/>
  <c r="Q1718" i="51"/>
  <c r="L1719" i="51"/>
  <c r="N1719" i="51"/>
  <c r="O1719" i="51"/>
  <c r="P1719" i="51"/>
  <c r="Q1719" i="51"/>
  <c r="L1720" i="51"/>
  <c r="N1720" i="51"/>
  <c r="O1720" i="51"/>
  <c r="P1720" i="51"/>
  <c r="Q1720" i="51"/>
  <c r="L1721" i="51"/>
  <c r="N1721" i="51"/>
  <c r="O1721" i="51"/>
  <c r="P1721" i="51"/>
  <c r="Q1721" i="51"/>
  <c r="L1722" i="51"/>
  <c r="N1722" i="51"/>
  <c r="O1722" i="51"/>
  <c r="P1722" i="51"/>
  <c r="Q1722" i="51"/>
  <c r="L1723" i="51"/>
  <c r="N1723" i="51"/>
  <c r="O1723" i="51"/>
  <c r="P1723" i="51"/>
  <c r="Q1723" i="51"/>
  <c r="L1724" i="51"/>
  <c r="N1724" i="51"/>
  <c r="O1724" i="51"/>
  <c r="P1724" i="51"/>
  <c r="Q1724" i="51"/>
  <c r="L1725" i="51"/>
  <c r="N1725" i="51"/>
  <c r="O1725" i="51"/>
  <c r="P1725" i="51"/>
  <c r="Q1725" i="51"/>
  <c r="L1726" i="51"/>
  <c r="N1726" i="51"/>
  <c r="O1726" i="51"/>
  <c r="P1726" i="51"/>
  <c r="Q1726" i="51"/>
  <c r="L1727" i="51"/>
  <c r="N1727" i="51"/>
  <c r="O1727" i="51"/>
  <c r="P1727" i="51"/>
  <c r="Q1727" i="51"/>
  <c r="L1728" i="51"/>
  <c r="N1728" i="51"/>
  <c r="O1728" i="51"/>
  <c r="P1728" i="51"/>
  <c r="Q1728" i="51"/>
  <c r="L1729" i="51"/>
  <c r="N1729" i="51"/>
  <c r="O1729" i="51"/>
  <c r="P1729" i="51"/>
  <c r="Q1729" i="51"/>
  <c r="L1730" i="51"/>
  <c r="N1730" i="51"/>
  <c r="O1730" i="51"/>
  <c r="P1730" i="51"/>
  <c r="Q1730" i="51"/>
  <c r="L1731" i="51"/>
  <c r="N1731" i="51"/>
  <c r="O1731" i="51"/>
  <c r="P1731" i="51"/>
  <c r="Q1731" i="51"/>
  <c r="L1732" i="51"/>
  <c r="N1732" i="51"/>
  <c r="O1732" i="51"/>
  <c r="P1732" i="51"/>
  <c r="Q1732" i="51"/>
  <c r="L1733" i="51"/>
  <c r="N1733" i="51"/>
  <c r="O1733" i="51"/>
  <c r="P1733" i="51"/>
  <c r="Q1733" i="51"/>
  <c r="L1734" i="51"/>
  <c r="N1734" i="51"/>
  <c r="O1734" i="51"/>
  <c r="P1734" i="51"/>
  <c r="Q1734" i="51"/>
  <c r="L1735" i="51"/>
  <c r="N1735" i="51"/>
  <c r="O1735" i="51"/>
  <c r="P1735" i="51"/>
  <c r="Q1735" i="51"/>
  <c r="L1736" i="51"/>
  <c r="N1736" i="51"/>
  <c r="O1736" i="51"/>
  <c r="P1736" i="51"/>
  <c r="Q1736" i="51"/>
  <c r="L1737" i="51"/>
  <c r="N1737" i="51"/>
  <c r="O1737" i="51"/>
  <c r="P1737" i="51"/>
  <c r="Q1737" i="51"/>
  <c r="L1738" i="51"/>
  <c r="N1738" i="51"/>
  <c r="O1738" i="51"/>
  <c r="P1738" i="51"/>
  <c r="Q1738" i="51"/>
  <c r="L1739" i="51"/>
  <c r="N1739" i="51"/>
  <c r="O1739" i="51"/>
  <c r="P1739" i="51"/>
  <c r="Q1739" i="51"/>
  <c r="L1740" i="51"/>
  <c r="N1740" i="51"/>
  <c r="O1740" i="51"/>
  <c r="P1740" i="51"/>
  <c r="Q1740" i="51"/>
  <c r="L1741" i="51"/>
  <c r="N1741" i="51"/>
  <c r="O1741" i="51"/>
  <c r="P1741" i="51"/>
  <c r="Q1741" i="51"/>
  <c r="L1742" i="51"/>
  <c r="N1742" i="51"/>
  <c r="O1742" i="51"/>
  <c r="P1742" i="51"/>
  <c r="Q1742" i="51"/>
  <c r="L1743" i="51"/>
  <c r="N1743" i="51"/>
  <c r="O1743" i="51"/>
  <c r="P1743" i="51"/>
  <c r="Q1743" i="51"/>
  <c r="L1744" i="51"/>
  <c r="N1744" i="51"/>
  <c r="O1744" i="51"/>
  <c r="P1744" i="51"/>
  <c r="Q1744" i="51"/>
  <c r="L1745" i="51"/>
  <c r="N1745" i="51"/>
  <c r="O1745" i="51"/>
  <c r="P1745" i="51"/>
  <c r="Q1745" i="51"/>
  <c r="L1746" i="51"/>
  <c r="N1746" i="51"/>
  <c r="O1746" i="51"/>
  <c r="P1746" i="51"/>
  <c r="Q1746" i="51"/>
  <c r="L1747" i="51"/>
  <c r="N1747" i="51"/>
  <c r="O1747" i="51"/>
  <c r="P1747" i="51"/>
  <c r="Q1747" i="51"/>
  <c r="L1748" i="51"/>
  <c r="N1748" i="51"/>
  <c r="O1748" i="51"/>
  <c r="P1748" i="51"/>
  <c r="Q1748" i="51"/>
  <c r="L1749" i="51"/>
  <c r="N1749" i="51"/>
  <c r="O1749" i="51"/>
  <c r="P1749" i="51"/>
  <c r="Q1749" i="51"/>
  <c r="L1750" i="51"/>
  <c r="N1750" i="51"/>
  <c r="O1750" i="51"/>
  <c r="P1750" i="51"/>
  <c r="Q1750" i="51"/>
  <c r="L1751" i="51"/>
  <c r="N1751" i="51"/>
  <c r="O1751" i="51"/>
  <c r="P1751" i="51"/>
  <c r="Q1751" i="51"/>
  <c r="L1752" i="51"/>
  <c r="N1752" i="51"/>
  <c r="O1752" i="51"/>
  <c r="P1752" i="51"/>
  <c r="Q1752" i="51"/>
  <c r="L1753" i="51"/>
  <c r="N1753" i="51"/>
  <c r="O1753" i="51"/>
  <c r="P1753" i="51"/>
  <c r="Q1753" i="51"/>
  <c r="L1754" i="51"/>
  <c r="N1754" i="51"/>
  <c r="O1754" i="51"/>
  <c r="P1754" i="51"/>
  <c r="Q1754" i="51"/>
  <c r="L1755" i="51"/>
  <c r="N1755" i="51"/>
  <c r="O1755" i="51"/>
  <c r="P1755" i="51"/>
  <c r="Q1755" i="51"/>
  <c r="L1756" i="51"/>
  <c r="N1756" i="51"/>
  <c r="O1756" i="51"/>
  <c r="P1756" i="51"/>
  <c r="Q1756" i="51"/>
  <c r="L1757" i="51"/>
  <c r="N1757" i="51"/>
  <c r="O1757" i="51"/>
  <c r="P1757" i="51"/>
  <c r="Q1757" i="51"/>
  <c r="L1758" i="51"/>
  <c r="N1758" i="51"/>
  <c r="O1758" i="51"/>
  <c r="P1758" i="51"/>
  <c r="Q1758" i="51"/>
  <c r="L1759" i="51"/>
  <c r="N1759" i="51"/>
  <c r="O1759" i="51"/>
  <c r="P1759" i="51"/>
  <c r="Q1759" i="51"/>
  <c r="L1760" i="51"/>
  <c r="N1760" i="51"/>
  <c r="O1760" i="51"/>
  <c r="P1760" i="51"/>
  <c r="Q1760" i="51"/>
  <c r="L1761" i="51"/>
  <c r="N1761" i="51"/>
  <c r="O1761" i="51"/>
  <c r="P1761" i="51"/>
  <c r="Q1761" i="51"/>
  <c r="L1762" i="51"/>
  <c r="N1762" i="51"/>
  <c r="O1762" i="51"/>
  <c r="P1762" i="51"/>
  <c r="Q1762" i="51"/>
  <c r="L1763" i="51"/>
  <c r="N1763" i="51"/>
  <c r="O1763" i="51"/>
  <c r="P1763" i="51"/>
  <c r="Q1763" i="51"/>
  <c r="L1764" i="51"/>
  <c r="N1764" i="51"/>
  <c r="O1764" i="51"/>
  <c r="P1764" i="51"/>
  <c r="Q1764" i="51"/>
  <c r="L1765" i="51"/>
  <c r="N1765" i="51"/>
  <c r="O1765" i="51"/>
  <c r="P1765" i="51"/>
  <c r="Q1765" i="51"/>
  <c r="L1766" i="51"/>
  <c r="N1766" i="51"/>
  <c r="O1766" i="51"/>
  <c r="P1766" i="51"/>
  <c r="Q1766" i="51"/>
  <c r="L1767" i="51"/>
  <c r="N1767" i="51"/>
  <c r="O1767" i="51"/>
  <c r="P1767" i="51"/>
  <c r="Q1767" i="51"/>
  <c r="L1768" i="51"/>
  <c r="N1768" i="51"/>
  <c r="O1768" i="51"/>
  <c r="P1768" i="51"/>
  <c r="Q1768" i="51"/>
  <c r="L1769" i="51"/>
  <c r="N1769" i="51"/>
  <c r="O1769" i="51"/>
  <c r="P1769" i="51"/>
  <c r="Q1769" i="51"/>
  <c r="L1770" i="51"/>
  <c r="N1770" i="51"/>
  <c r="O1770" i="51"/>
  <c r="P1770" i="51"/>
  <c r="Q1770" i="51"/>
  <c r="L1771" i="51"/>
  <c r="N1771" i="51"/>
  <c r="O1771" i="51"/>
  <c r="P1771" i="51"/>
  <c r="Q1771" i="51"/>
  <c r="L1772" i="51"/>
  <c r="N1772" i="51"/>
  <c r="O1772" i="51"/>
  <c r="P1772" i="51"/>
  <c r="Q1772" i="51"/>
  <c r="L1773" i="51"/>
  <c r="N1773" i="51"/>
  <c r="O1773" i="51"/>
  <c r="P1773" i="51"/>
  <c r="Q1773" i="51"/>
  <c r="L1774" i="51"/>
  <c r="N1774" i="51"/>
  <c r="O1774" i="51"/>
  <c r="P1774" i="51"/>
  <c r="Q1774" i="51"/>
  <c r="L1775" i="51"/>
  <c r="N1775" i="51"/>
  <c r="O1775" i="51"/>
  <c r="P1775" i="51"/>
  <c r="Q1775" i="51"/>
  <c r="L1776" i="51"/>
  <c r="N1776" i="51"/>
  <c r="O1776" i="51"/>
  <c r="P1776" i="51"/>
  <c r="Q1776" i="51"/>
  <c r="L1777" i="51"/>
  <c r="N1777" i="51"/>
  <c r="O1777" i="51"/>
  <c r="P1777" i="51"/>
  <c r="Q1777" i="51"/>
  <c r="L1778" i="51"/>
  <c r="N1778" i="51"/>
  <c r="O1778" i="51"/>
  <c r="P1778" i="51"/>
  <c r="Q1778" i="51"/>
  <c r="L1779" i="51"/>
  <c r="N1779" i="51"/>
  <c r="O1779" i="51"/>
  <c r="P1779" i="51"/>
  <c r="Q1779" i="51"/>
  <c r="L1780" i="51"/>
  <c r="N1780" i="51"/>
  <c r="O1780" i="51"/>
  <c r="P1780" i="51"/>
  <c r="Q1780" i="51"/>
  <c r="L1781" i="51"/>
  <c r="N1781" i="51"/>
  <c r="O1781" i="51"/>
  <c r="P1781" i="51"/>
  <c r="Q1781" i="51"/>
  <c r="L1782" i="51"/>
  <c r="N1782" i="51"/>
  <c r="O1782" i="51"/>
  <c r="P1782" i="51"/>
  <c r="Q1782" i="51"/>
  <c r="L1783" i="51"/>
  <c r="N1783" i="51"/>
  <c r="O1783" i="51"/>
  <c r="P1783" i="51"/>
  <c r="Q1783" i="51"/>
  <c r="L1784" i="51"/>
  <c r="N1784" i="51"/>
  <c r="O1784" i="51"/>
  <c r="P1784" i="51"/>
  <c r="Q1784" i="51"/>
  <c r="L1785" i="51"/>
  <c r="N1785" i="51"/>
  <c r="O1785" i="51"/>
  <c r="P1785" i="51"/>
  <c r="Q1785" i="51"/>
  <c r="L1786" i="51"/>
  <c r="N1786" i="51"/>
  <c r="O1786" i="51"/>
  <c r="P1786" i="51"/>
  <c r="Q1786" i="51"/>
  <c r="L1787" i="51"/>
  <c r="N1787" i="51"/>
  <c r="O1787" i="51"/>
  <c r="P1787" i="51"/>
  <c r="Q1787" i="51"/>
  <c r="L1788" i="51"/>
  <c r="N1788" i="51"/>
  <c r="O1788" i="51"/>
  <c r="P1788" i="51"/>
  <c r="Q1788" i="51"/>
  <c r="L1789" i="51"/>
  <c r="N1789" i="51"/>
  <c r="O1789" i="51"/>
  <c r="P1789" i="51"/>
  <c r="Q1789" i="51"/>
  <c r="L1790" i="51"/>
  <c r="N1790" i="51"/>
  <c r="O1790" i="51"/>
  <c r="P1790" i="51"/>
  <c r="Q1790" i="51"/>
  <c r="L1791" i="51"/>
  <c r="N1791" i="51"/>
  <c r="O1791" i="51"/>
  <c r="P1791" i="51"/>
  <c r="Q1791" i="51"/>
  <c r="L1792" i="51"/>
  <c r="N1792" i="51"/>
  <c r="O1792" i="51"/>
  <c r="P1792" i="51"/>
  <c r="Q1792" i="51"/>
  <c r="L1793" i="51"/>
  <c r="N1793" i="51"/>
  <c r="O1793" i="51"/>
  <c r="P1793" i="51"/>
  <c r="Q1793" i="51"/>
  <c r="L1794" i="51"/>
  <c r="N1794" i="51"/>
  <c r="O1794" i="51"/>
  <c r="P1794" i="51"/>
  <c r="Q1794" i="51"/>
  <c r="L1795" i="51"/>
  <c r="N1795" i="51"/>
  <c r="O1795" i="51"/>
  <c r="P1795" i="51"/>
  <c r="Q1795" i="51"/>
  <c r="L1796" i="51"/>
  <c r="N1796" i="51"/>
  <c r="O1796" i="51"/>
  <c r="P1796" i="51"/>
  <c r="Q1796" i="51"/>
  <c r="L1797" i="51"/>
  <c r="N1797" i="51"/>
  <c r="O1797" i="51"/>
  <c r="P1797" i="51"/>
  <c r="Q1797" i="51"/>
  <c r="L1798" i="51"/>
  <c r="N1798" i="51"/>
  <c r="O1798" i="51"/>
  <c r="P1798" i="51"/>
  <c r="Q1798" i="51"/>
  <c r="L1799" i="51"/>
  <c r="N1799" i="51"/>
  <c r="O1799" i="51"/>
  <c r="P1799" i="51"/>
  <c r="Q1799" i="51"/>
  <c r="L1800" i="51"/>
  <c r="N1800" i="51"/>
  <c r="O1800" i="51"/>
  <c r="P1800" i="51"/>
  <c r="Q1800" i="51"/>
  <c r="L1801" i="51"/>
  <c r="N1801" i="51"/>
  <c r="O1801" i="51"/>
  <c r="P1801" i="51"/>
  <c r="Q1801" i="51"/>
  <c r="L1802" i="51"/>
  <c r="N1802" i="51"/>
  <c r="O1802" i="51"/>
  <c r="P1802" i="51"/>
  <c r="Q1802" i="51"/>
  <c r="L1803" i="51"/>
  <c r="N1803" i="51"/>
  <c r="O1803" i="51"/>
  <c r="P1803" i="51"/>
  <c r="Q1803" i="51"/>
  <c r="L1804" i="51"/>
  <c r="N1804" i="51"/>
  <c r="O1804" i="51"/>
  <c r="P1804" i="51"/>
  <c r="Q1804" i="51"/>
  <c r="L1805" i="51"/>
  <c r="N1805" i="51"/>
  <c r="O1805" i="51"/>
  <c r="P1805" i="51"/>
  <c r="Q1805" i="51"/>
  <c r="L1806" i="51"/>
  <c r="N1806" i="51"/>
  <c r="O1806" i="51"/>
  <c r="P1806" i="51"/>
  <c r="Q1806" i="51"/>
  <c r="L1807" i="51"/>
  <c r="N1807" i="51"/>
  <c r="O1807" i="51"/>
  <c r="P1807" i="51"/>
  <c r="Q1807" i="51"/>
  <c r="L1808" i="51"/>
  <c r="N1808" i="51"/>
  <c r="O1808" i="51"/>
  <c r="P1808" i="51"/>
  <c r="Q1808" i="51"/>
  <c r="L1809" i="51"/>
  <c r="N1809" i="51"/>
  <c r="O1809" i="51"/>
  <c r="P1809" i="51"/>
  <c r="Q1809" i="51"/>
  <c r="L1810" i="51"/>
  <c r="N1810" i="51"/>
  <c r="O1810" i="51"/>
  <c r="P1810" i="51"/>
  <c r="Q1810" i="51"/>
  <c r="L1811" i="51"/>
  <c r="N1811" i="51"/>
  <c r="O1811" i="51"/>
  <c r="P1811" i="51"/>
  <c r="Q1811" i="51"/>
  <c r="L1812" i="51"/>
  <c r="N1812" i="51"/>
  <c r="O1812" i="51"/>
  <c r="P1812" i="51"/>
  <c r="Q1812" i="51"/>
  <c r="L1813" i="51"/>
  <c r="N1813" i="51"/>
  <c r="O1813" i="51"/>
  <c r="P1813" i="51"/>
  <c r="Q1813" i="51"/>
  <c r="L1814" i="51"/>
  <c r="N1814" i="51"/>
  <c r="O1814" i="51"/>
  <c r="P1814" i="51"/>
  <c r="Q1814" i="51"/>
  <c r="L1815" i="51"/>
  <c r="N1815" i="51"/>
  <c r="O1815" i="51"/>
  <c r="P1815" i="51"/>
  <c r="Q1815" i="51"/>
  <c r="L1816" i="51"/>
  <c r="N1816" i="51"/>
  <c r="O1816" i="51"/>
  <c r="P1816" i="51"/>
  <c r="Q1816" i="51"/>
  <c r="L1817" i="51"/>
  <c r="N1817" i="51"/>
  <c r="O1817" i="51"/>
  <c r="P1817" i="51"/>
  <c r="Q1817" i="51"/>
  <c r="L1818" i="51"/>
  <c r="N1818" i="51"/>
  <c r="O1818" i="51"/>
  <c r="P1818" i="51"/>
  <c r="Q1818" i="51"/>
  <c r="L1819" i="51"/>
  <c r="N1819" i="51"/>
  <c r="O1819" i="51"/>
  <c r="P1819" i="51"/>
  <c r="Q1819" i="51"/>
  <c r="L1820" i="51"/>
  <c r="N1820" i="51"/>
  <c r="O1820" i="51"/>
  <c r="P1820" i="51"/>
  <c r="Q1820" i="51"/>
  <c r="L1821" i="51"/>
  <c r="N1821" i="51"/>
  <c r="O1821" i="51"/>
  <c r="P1821" i="51"/>
  <c r="Q1821" i="51"/>
  <c r="L1822" i="51"/>
  <c r="N1822" i="51"/>
  <c r="O1822" i="51"/>
  <c r="P1822" i="51"/>
  <c r="Q1822" i="51"/>
  <c r="L1823" i="51"/>
  <c r="N1823" i="51"/>
  <c r="O1823" i="51"/>
  <c r="P1823" i="51"/>
  <c r="Q1823" i="51"/>
  <c r="L1824" i="51"/>
  <c r="N1824" i="51"/>
  <c r="O1824" i="51"/>
  <c r="P1824" i="51"/>
  <c r="Q1824" i="51"/>
  <c r="L1825" i="51"/>
  <c r="N1825" i="51"/>
  <c r="O1825" i="51"/>
  <c r="P1825" i="51"/>
  <c r="Q1825" i="51"/>
  <c r="L1826" i="51"/>
  <c r="N1826" i="51"/>
  <c r="O1826" i="51"/>
  <c r="P1826" i="51"/>
  <c r="Q1826" i="51"/>
  <c r="L1827" i="51"/>
  <c r="N1827" i="51"/>
  <c r="O1827" i="51"/>
  <c r="P1827" i="51"/>
  <c r="Q1827" i="51"/>
  <c r="L1828" i="51"/>
  <c r="N1828" i="51"/>
  <c r="O1828" i="51"/>
  <c r="P1828" i="51"/>
  <c r="Q1828" i="51"/>
  <c r="L1829" i="51"/>
  <c r="N1829" i="51"/>
  <c r="O1829" i="51"/>
  <c r="P1829" i="51"/>
  <c r="Q1829" i="51"/>
  <c r="L1830" i="51"/>
  <c r="N1830" i="51"/>
  <c r="O1830" i="51"/>
  <c r="P1830" i="51"/>
  <c r="Q1830" i="51"/>
  <c r="L1831" i="51"/>
  <c r="N1831" i="51"/>
  <c r="O1831" i="51"/>
  <c r="P1831" i="51"/>
  <c r="Q1831" i="51"/>
  <c r="L1832" i="51"/>
  <c r="N1832" i="51"/>
  <c r="O1832" i="51"/>
  <c r="P1832" i="51"/>
  <c r="Q1832" i="51"/>
  <c r="L1833" i="51"/>
  <c r="N1833" i="51"/>
  <c r="O1833" i="51"/>
  <c r="P1833" i="51"/>
  <c r="Q1833" i="51"/>
  <c r="L1834" i="51"/>
  <c r="N1834" i="51"/>
  <c r="O1834" i="51"/>
  <c r="P1834" i="51"/>
  <c r="Q1834" i="51"/>
  <c r="L1835" i="51"/>
  <c r="N1835" i="51"/>
  <c r="O1835" i="51"/>
  <c r="P1835" i="51"/>
  <c r="Q1835" i="51"/>
  <c r="L1836" i="51"/>
  <c r="N1836" i="51"/>
  <c r="O1836" i="51"/>
  <c r="P1836" i="51"/>
  <c r="Q1836" i="51"/>
  <c r="L1837" i="51"/>
  <c r="N1837" i="51"/>
  <c r="O1837" i="51"/>
  <c r="P1837" i="51"/>
  <c r="Q1837" i="51"/>
  <c r="L1838" i="51"/>
  <c r="N1838" i="51"/>
  <c r="O1838" i="51"/>
  <c r="P1838" i="51"/>
  <c r="Q1838" i="51"/>
  <c r="L1839" i="51"/>
  <c r="N1839" i="51"/>
  <c r="O1839" i="51"/>
  <c r="P1839" i="51"/>
  <c r="Q1839" i="51"/>
  <c r="L1840" i="51"/>
  <c r="N1840" i="51"/>
  <c r="O1840" i="51"/>
  <c r="P1840" i="51"/>
  <c r="Q1840" i="51"/>
  <c r="L1841" i="51"/>
  <c r="N1841" i="51"/>
  <c r="O1841" i="51"/>
  <c r="P1841" i="51"/>
  <c r="Q1841" i="51"/>
  <c r="L1842" i="51"/>
  <c r="N1842" i="51"/>
  <c r="O1842" i="51"/>
  <c r="P1842" i="51"/>
  <c r="Q1842" i="51"/>
  <c r="L1843" i="51"/>
  <c r="N1843" i="51"/>
  <c r="O1843" i="51"/>
  <c r="P1843" i="51"/>
  <c r="Q1843" i="51"/>
  <c r="L1844" i="51"/>
  <c r="N1844" i="51"/>
  <c r="O1844" i="51"/>
  <c r="P1844" i="51"/>
  <c r="Q1844" i="51"/>
  <c r="L1845" i="51"/>
  <c r="N1845" i="51"/>
  <c r="O1845" i="51"/>
  <c r="P1845" i="51"/>
  <c r="Q1845" i="51"/>
  <c r="L1846" i="51"/>
  <c r="N1846" i="51"/>
  <c r="O1846" i="51"/>
  <c r="P1846" i="51"/>
  <c r="Q1846" i="51"/>
  <c r="L1847" i="51"/>
  <c r="N1847" i="51"/>
  <c r="O1847" i="51"/>
  <c r="P1847" i="51"/>
  <c r="Q1847" i="51"/>
  <c r="L1848" i="51"/>
  <c r="N1848" i="51"/>
  <c r="O1848" i="51"/>
  <c r="P1848" i="51"/>
  <c r="Q1848" i="51"/>
  <c r="L1849" i="51"/>
  <c r="N1849" i="51"/>
  <c r="O1849" i="51"/>
  <c r="P1849" i="51"/>
  <c r="Q1849" i="51"/>
  <c r="L1850" i="51"/>
  <c r="N1850" i="51"/>
  <c r="O1850" i="51"/>
  <c r="P1850" i="51"/>
  <c r="Q1850" i="51"/>
  <c r="L1851" i="51"/>
  <c r="N1851" i="51"/>
  <c r="O1851" i="51"/>
  <c r="P1851" i="51"/>
  <c r="Q1851" i="51"/>
  <c r="L1852" i="51"/>
  <c r="N1852" i="51"/>
  <c r="O1852" i="51"/>
  <c r="P1852" i="51"/>
  <c r="Q1852" i="51"/>
  <c r="L1853" i="51"/>
  <c r="N1853" i="51"/>
  <c r="O1853" i="51"/>
  <c r="P1853" i="51"/>
  <c r="Q1853" i="51"/>
  <c r="L1854" i="51"/>
  <c r="N1854" i="51"/>
  <c r="O1854" i="51"/>
  <c r="P1854" i="51"/>
  <c r="Q1854" i="51"/>
  <c r="L1855" i="51"/>
  <c r="N1855" i="51"/>
  <c r="O1855" i="51"/>
  <c r="P1855" i="51"/>
  <c r="Q1855" i="51"/>
  <c r="L1856" i="51"/>
  <c r="N1856" i="51"/>
  <c r="O1856" i="51"/>
  <c r="P1856" i="51"/>
  <c r="Q1856" i="51"/>
  <c r="L1857" i="51"/>
  <c r="N1857" i="51"/>
  <c r="O1857" i="51"/>
  <c r="P1857" i="51"/>
  <c r="Q1857" i="51"/>
  <c r="L1858" i="51"/>
  <c r="N1858" i="51"/>
  <c r="O1858" i="51"/>
  <c r="P1858" i="51"/>
  <c r="Q1858" i="51"/>
  <c r="L1859" i="51"/>
  <c r="N1859" i="51"/>
  <c r="O1859" i="51"/>
  <c r="P1859" i="51"/>
  <c r="Q1859" i="51"/>
  <c r="L1860" i="51"/>
  <c r="N1860" i="51"/>
  <c r="O1860" i="51"/>
  <c r="P1860" i="51"/>
  <c r="Q1860" i="51"/>
  <c r="L1861" i="51"/>
  <c r="N1861" i="51"/>
  <c r="O1861" i="51"/>
  <c r="P1861" i="51"/>
  <c r="Q1861" i="51"/>
  <c r="L1862" i="51"/>
  <c r="N1862" i="51"/>
  <c r="O1862" i="51"/>
  <c r="P1862" i="51"/>
  <c r="Q1862" i="51"/>
  <c r="L1863" i="51"/>
  <c r="N1863" i="51"/>
  <c r="O1863" i="51"/>
  <c r="P1863" i="51"/>
  <c r="Q1863" i="51"/>
  <c r="L1864" i="51"/>
  <c r="N1864" i="51"/>
  <c r="O1864" i="51"/>
  <c r="P1864" i="51"/>
  <c r="Q1864" i="51"/>
  <c r="L1865" i="51"/>
  <c r="N1865" i="51"/>
  <c r="O1865" i="51"/>
  <c r="P1865" i="51"/>
  <c r="Q1865" i="51"/>
  <c r="L1866" i="51"/>
  <c r="N1866" i="51"/>
  <c r="O1866" i="51"/>
  <c r="P1866" i="51"/>
  <c r="Q1866" i="51"/>
  <c r="L1867" i="51"/>
  <c r="N1867" i="51"/>
  <c r="O1867" i="51"/>
  <c r="P1867" i="51"/>
  <c r="Q1867" i="51"/>
  <c r="L1868" i="51"/>
  <c r="N1868" i="51"/>
  <c r="O1868" i="51"/>
  <c r="P1868" i="51"/>
  <c r="Q1868" i="51"/>
  <c r="L1869" i="51"/>
  <c r="N1869" i="51"/>
  <c r="O1869" i="51"/>
  <c r="P1869" i="51"/>
  <c r="Q1869" i="51"/>
  <c r="L1870" i="51"/>
  <c r="N1870" i="51"/>
  <c r="O1870" i="51"/>
  <c r="P1870" i="51"/>
  <c r="Q1870" i="51"/>
  <c r="L1871" i="51"/>
  <c r="N1871" i="51"/>
  <c r="O1871" i="51"/>
  <c r="P1871" i="51"/>
  <c r="Q1871" i="51"/>
  <c r="L1872" i="51"/>
  <c r="N1872" i="51"/>
  <c r="O1872" i="51"/>
  <c r="P1872" i="51"/>
  <c r="Q1872" i="51"/>
  <c r="L1873" i="51"/>
  <c r="N1873" i="51"/>
  <c r="O1873" i="51"/>
  <c r="P1873" i="51"/>
  <c r="Q1873" i="51"/>
  <c r="L1874" i="51"/>
  <c r="N1874" i="51"/>
  <c r="O1874" i="51"/>
  <c r="P1874" i="51"/>
  <c r="Q1874" i="51"/>
  <c r="L1875" i="51"/>
  <c r="N1875" i="51"/>
  <c r="O1875" i="51"/>
  <c r="P1875" i="51"/>
  <c r="Q1875" i="51"/>
  <c r="L1876" i="51"/>
  <c r="N1876" i="51"/>
  <c r="O1876" i="51"/>
  <c r="P1876" i="51"/>
  <c r="Q1876" i="51"/>
  <c r="L1877" i="51"/>
  <c r="N1877" i="51"/>
  <c r="O1877" i="51"/>
  <c r="P1877" i="51"/>
  <c r="Q1877" i="51"/>
  <c r="L1878" i="51"/>
  <c r="N1878" i="51"/>
  <c r="O1878" i="51"/>
  <c r="P1878" i="51"/>
  <c r="Q1878" i="51"/>
  <c r="L1879" i="51"/>
  <c r="N1879" i="51"/>
  <c r="O1879" i="51"/>
  <c r="P1879" i="51"/>
  <c r="Q1879" i="51"/>
  <c r="L1880" i="51"/>
  <c r="N1880" i="51"/>
  <c r="O1880" i="51"/>
  <c r="P1880" i="51"/>
  <c r="Q1880" i="51"/>
  <c r="L1881" i="51"/>
  <c r="N1881" i="51"/>
  <c r="O1881" i="51"/>
  <c r="P1881" i="51"/>
  <c r="Q1881" i="51"/>
  <c r="L1882" i="51"/>
  <c r="N1882" i="51"/>
  <c r="O1882" i="51"/>
  <c r="P1882" i="51"/>
  <c r="Q1882" i="51"/>
  <c r="L1883" i="51"/>
  <c r="N1883" i="51"/>
  <c r="O1883" i="51"/>
  <c r="P1883" i="51"/>
  <c r="Q1883" i="51"/>
  <c r="L1884" i="51"/>
  <c r="N1884" i="51"/>
  <c r="O1884" i="51"/>
  <c r="P1884" i="51"/>
  <c r="Q1884" i="51"/>
  <c r="L1885" i="51"/>
  <c r="N1885" i="51"/>
  <c r="O1885" i="51"/>
  <c r="P1885" i="51"/>
  <c r="Q1885" i="51"/>
  <c r="L1886" i="51"/>
  <c r="N1886" i="51"/>
  <c r="O1886" i="51"/>
  <c r="P1886" i="51"/>
  <c r="Q1886" i="51"/>
  <c r="L1887" i="51"/>
  <c r="N1887" i="51"/>
  <c r="O1887" i="51"/>
  <c r="P1887" i="51"/>
  <c r="Q1887" i="51"/>
  <c r="L1888" i="51"/>
  <c r="N1888" i="51"/>
  <c r="O1888" i="51"/>
  <c r="P1888" i="51"/>
  <c r="Q1888" i="51"/>
  <c r="L1889" i="51"/>
  <c r="N1889" i="51"/>
  <c r="O1889" i="51"/>
  <c r="P1889" i="51"/>
  <c r="Q1889" i="51"/>
  <c r="L1890" i="51"/>
  <c r="N1890" i="51"/>
  <c r="O1890" i="51"/>
  <c r="P1890" i="51"/>
  <c r="Q1890" i="51"/>
  <c r="L1891" i="51"/>
  <c r="N1891" i="51"/>
  <c r="O1891" i="51"/>
  <c r="P1891" i="51"/>
  <c r="Q1891" i="51"/>
  <c r="L1892" i="51"/>
  <c r="N1892" i="51"/>
  <c r="O1892" i="51"/>
  <c r="P1892" i="51"/>
  <c r="Q1892" i="51"/>
  <c r="L1893" i="51"/>
  <c r="N1893" i="51"/>
  <c r="O1893" i="51"/>
  <c r="P1893" i="51"/>
  <c r="Q1893" i="51"/>
  <c r="L1894" i="51"/>
  <c r="N1894" i="51"/>
  <c r="O1894" i="51"/>
  <c r="P1894" i="51"/>
  <c r="Q1894" i="51"/>
  <c r="L1895" i="51"/>
  <c r="N1895" i="51"/>
  <c r="O1895" i="51"/>
  <c r="P1895" i="51"/>
  <c r="Q1895" i="51"/>
  <c r="L1896" i="51"/>
  <c r="N1896" i="51"/>
  <c r="O1896" i="51"/>
  <c r="P1896" i="51"/>
  <c r="Q1896" i="51"/>
  <c r="L1897" i="51"/>
  <c r="N1897" i="51"/>
  <c r="O1897" i="51"/>
  <c r="P1897" i="51"/>
  <c r="Q1897" i="51"/>
  <c r="L1898" i="51"/>
  <c r="N1898" i="51"/>
  <c r="O1898" i="51"/>
  <c r="P1898" i="51"/>
  <c r="Q1898" i="51"/>
  <c r="L1899" i="51"/>
  <c r="N1899" i="51"/>
  <c r="O1899" i="51"/>
  <c r="P1899" i="51"/>
  <c r="Q1899" i="51"/>
  <c r="L1900" i="51"/>
  <c r="N1900" i="51"/>
  <c r="O1900" i="51"/>
  <c r="P1900" i="51"/>
  <c r="Q1900" i="51"/>
  <c r="L1901" i="51"/>
  <c r="N1901" i="51"/>
  <c r="O1901" i="51"/>
  <c r="P1901" i="51"/>
  <c r="Q1901" i="51"/>
  <c r="L1902" i="51"/>
  <c r="N1902" i="51"/>
  <c r="O1902" i="51"/>
  <c r="P1902" i="51"/>
  <c r="Q1902" i="51"/>
  <c r="L1903" i="51"/>
  <c r="N1903" i="51"/>
  <c r="O1903" i="51"/>
  <c r="P1903" i="51"/>
  <c r="Q1903" i="51"/>
  <c r="L1904" i="51"/>
  <c r="N1904" i="51"/>
  <c r="O1904" i="51"/>
  <c r="P1904" i="51"/>
  <c r="Q1904" i="51"/>
  <c r="L1905" i="51"/>
  <c r="N1905" i="51"/>
  <c r="O1905" i="51"/>
  <c r="P1905" i="51"/>
  <c r="Q1905" i="51"/>
  <c r="L1906" i="51"/>
  <c r="N1906" i="51"/>
  <c r="O1906" i="51"/>
  <c r="P1906" i="51"/>
  <c r="Q1906" i="51"/>
  <c r="L1907" i="51"/>
  <c r="N1907" i="51"/>
  <c r="O1907" i="51"/>
  <c r="P1907" i="51"/>
  <c r="Q1907" i="51"/>
  <c r="L1908" i="51"/>
  <c r="N1908" i="51"/>
  <c r="O1908" i="51"/>
  <c r="P1908" i="51"/>
  <c r="Q1908" i="51"/>
  <c r="L1909" i="51"/>
  <c r="N1909" i="51"/>
  <c r="O1909" i="51"/>
  <c r="P1909" i="51"/>
  <c r="Q1909" i="51"/>
  <c r="L1910" i="51"/>
  <c r="N1910" i="51"/>
  <c r="O1910" i="51"/>
  <c r="P1910" i="51"/>
  <c r="Q1910" i="51"/>
  <c r="L1911" i="51"/>
  <c r="N1911" i="51"/>
  <c r="O1911" i="51"/>
  <c r="P1911" i="51"/>
  <c r="Q1911" i="51"/>
  <c r="L1912" i="51"/>
  <c r="N1912" i="51"/>
  <c r="O1912" i="51"/>
  <c r="P1912" i="51"/>
  <c r="Q1912" i="51"/>
  <c r="L1913" i="51"/>
  <c r="N1913" i="51"/>
  <c r="O1913" i="51"/>
  <c r="P1913" i="51"/>
  <c r="Q1913" i="51"/>
  <c r="L1914" i="51"/>
  <c r="N1914" i="51"/>
  <c r="O1914" i="51"/>
  <c r="P1914" i="51"/>
  <c r="Q1914" i="51"/>
  <c r="L1915" i="51"/>
  <c r="N1915" i="51"/>
  <c r="O1915" i="51"/>
  <c r="P1915" i="51"/>
  <c r="Q1915" i="51"/>
  <c r="L1916" i="51"/>
  <c r="N1916" i="51"/>
  <c r="O1916" i="51"/>
  <c r="P1916" i="51"/>
  <c r="Q1916" i="51"/>
  <c r="L1917" i="51"/>
  <c r="N1917" i="51"/>
  <c r="O1917" i="51"/>
  <c r="P1917" i="51"/>
  <c r="Q1917" i="51"/>
  <c r="L1918" i="51"/>
  <c r="N1918" i="51"/>
  <c r="O1918" i="51"/>
  <c r="P1918" i="51"/>
  <c r="Q1918" i="51"/>
  <c r="L1919" i="51"/>
  <c r="N1919" i="51"/>
  <c r="O1919" i="51"/>
  <c r="P1919" i="51"/>
  <c r="Q1919" i="51"/>
  <c r="L1920" i="51"/>
  <c r="N1920" i="51"/>
  <c r="O1920" i="51"/>
  <c r="P1920" i="51"/>
  <c r="Q1920" i="51"/>
  <c r="L1921" i="51"/>
  <c r="N1921" i="51"/>
  <c r="O1921" i="51"/>
  <c r="P1921" i="51"/>
  <c r="Q1921" i="51"/>
  <c r="L1922" i="51"/>
  <c r="N1922" i="51"/>
  <c r="O1922" i="51"/>
  <c r="P1922" i="51"/>
  <c r="Q1922" i="51"/>
  <c r="L1923" i="51"/>
  <c r="N1923" i="51"/>
  <c r="O1923" i="51"/>
  <c r="P1923" i="51"/>
  <c r="Q1923" i="51"/>
  <c r="L1924" i="51"/>
  <c r="N1924" i="51"/>
  <c r="O1924" i="51"/>
  <c r="P1924" i="51"/>
  <c r="Q1924" i="51"/>
  <c r="L1925" i="51"/>
  <c r="N1925" i="51"/>
  <c r="O1925" i="51"/>
  <c r="P1925" i="51"/>
  <c r="Q1925" i="51"/>
  <c r="L1926" i="51"/>
  <c r="N1926" i="51"/>
  <c r="O1926" i="51"/>
  <c r="P1926" i="51"/>
  <c r="Q1926" i="51"/>
  <c r="L1927" i="51"/>
  <c r="N1927" i="51"/>
  <c r="O1927" i="51"/>
  <c r="P1927" i="51"/>
  <c r="Q1927" i="51"/>
  <c r="L1928" i="51"/>
  <c r="N1928" i="51"/>
  <c r="O1928" i="51"/>
  <c r="P1928" i="51"/>
  <c r="Q1928" i="51"/>
  <c r="L1929" i="51"/>
  <c r="N1929" i="51"/>
  <c r="O1929" i="51"/>
  <c r="P1929" i="51"/>
  <c r="Q1929" i="51"/>
  <c r="L1930" i="51"/>
  <c r="N1930" i="51"/>
  <c r="O1930" i="51"/>
  <c r="P1930" i="51"/>
  <c r="Q1930" i="51"/>
  <c r="L1931" i="51"/>
  <c r="N1931" i="51"/>
  <c r="O1931" i="51"/>
  <c r="P1931" i="51"/>
  <c r="Q1931" i="51"/>
  <c r="L1932" i="51"/>
  <c r="N1932" i="51"/>
  <c r="O1932" i="51"/>
  <c r="P1932" i="51"/>
  <c r="Q1932" i="51"/>
  <c r="L1933" i="51"/>
  <c r="N1933" i="51"/>
  <c r="O1933" i="51"/>
  <c r="P1933" i="51"/>
  <c r="Q1933" i="51"/>
  <c r="L1934" i="51"/>
  <c r="N1934" i="51"/>
  <c r="O1934" i="51"/>
  <c r="P1934" i="51"/>
  <c r="Q1934" i="51"/>
  <c r="L1935" i="51"/>
  <c r="N1935" i="51"/>
  <c r="O1935" i="51"/>
  <c r="P1935" i="51"/>
  <c r="Q1935" i="51"/>
  <c r="L1936" i="51"/>
  <c r="N1936" i="51"/>
  <c r="O1936" i="51"/>
  <c r="P1936" i="51"/>
  <c r="Q1936" i="51"/>
  <c r="L1937" i="51"/>
  <c r="N1937" i="51"/>
  <c r="O1937" i="51"/>
  <c r="P1937" i="51"/>
  <c r="Q1937" i="51"/>
  <c r="L1938" i="51"/>
  <c r="N1938" i="51"/>
  <c r="O1938" i="51"/>
  <c r="P1938" i="51"/>
  <c r="Q1938" i="51"/>
  <c r="L1939" i="51"/>
  <c r="N1939" i="51"/>
  <c r="O1939" i="51"/>
  <c r="P1939" i="51"/>
  <c r="Q1939" i="51"/>
  <c r="L1940" i="51"/>
  <c r="N1940" i="51"/>
  <c r="O1940" i="51"/>
  <c r="P1940" i="51"/>
  <c r="Q1940" i="51"/>
  <c r="L1941" i="51"/>
  <c r="N1941" i="51"/>
  <c r="O1941" i="51"/>
  <c r="P1941" i="51"/>
  <c r="Q1941" i="51"/>
  <c r="L1942" i="51"/>
  <c r="N1942" i="51"/>
  <c r="O1942" i="51"/>
  <c r="P1942" i="51"/>
  <c r="Q1942" i="51"/>
  <c r="L1943" i="51"/>
  <c r="N1943" i="51"/>
  <c r="O1943" i="51"/>
  <c r="P1943" i="51"/>
  <c r="Q1943" i="51"/>
  <c r="L1944" i="51"/>
  <c r="N1944" i="51"/>
  <c r="O1944" i="51"/>
  <c r="P1944" i="51"/>
  <c r="Q1944" i="51"/>
  <c r="L1945" i="51"/>
  <c r="N1945" i="51"/>
  <c r="O1945" i="51"/>
  <c r="P1945" i="51"/>
  <c r="Q1945" i="51"/>
  <c r="L1946" i="51"/>
  <c r="N1946" i="51"/>
  <c r="O1946" i="51"/>
  <c r="P1946" i="51"/>
  <c r="Q1946" i="51"/>
  <c r="L1947" i="51"/>
  <c r="N1947" i="51"/>
  <c r="O1947" i="51"/>
  <c r="P1947" i="51"/>
  <c r="Q1947" i="51"/>
  <c r="L1948" i="51"/>
  <c r="N1948" i="51"/>
  <c r="O1948" i="51"/>
  <c r="P1948" i="51"/>
  <c r="Q1948" i="51"/>
  <c r="L1949" i="51"/>
  <c r="N1949" i="51"/>
  <c r="O1949" i="51"/>
  <c r="P1949" i="51"/>
  <c r="Q1949" i="51"/>
  <c r="L1950" i="51"/>
  <c r="N1950" i="51"/>
  <c r="O1950" i="51"/>
  <c r="P1950" i="51"/>
  <c r="Q1950" i="51"/>
  <c r="L1951" i="51"/>
  <c r="N1951" i="51"/>
  <c r="O1951" i="51"/>
  <c r="P1951" i="51"/>
  <c r="Q1951" i="51"/>
  <c r="L1952" i="51"/>
  <c r="N1952" i="51"/>
  <c r="O1952" i="51"/>
  <c r="P1952" i="51"/>
  <c r="Q1952" i="51"/>
  <c r="L1953" i="51"/>
  <c r="N1953" i="51"/>
  <c r="O1953" i="51"/>
  <c r="P1953" i="51"/>
  <c r="Q1953" i="51"/>
  <c r="L1954" i="51"/>
  <c r="N1954" i="51"/>
  <c r="O1954" i="51"/>
  <c r="P1954" i="51"/>
  <c r="Q1954" i="51"/>
  <c r="L1955" i="51"/>
  <c r="N1955" i="51"/>
  <c r="O1955" i="51"/>
  <c r="P1955" i="51"/>
  <c r="Q1955" i="51"/>
  <c r="L1956" i="51"/>
  <c r="N1956" i="51"/>
  <c r="O1956" i="51"/>
  <c r="P1956" i="51"/>
  <c r="Q1956" i="51"/>
  <c r="L1957" i="51"/>
  <c r="N1957" i="51"/>
  <c r="O1957" i="51"/>
  <c r="P1957" i="51"/>
  <c r="Q1957" i="51"/>
  <c r="L1958" i="51"/>
  <c r="N1958" i="51"/>
  <c r="O1958" i="51"/>
  <c r="P1958" i="51"/>
  <c r="Q1958" i="51"/>
  <c r="L1959" i="51"/>
  <c r="N1959" i="51"/>
  <c r="O1959" i="51"/>
  <c r="P1959" i="51"/>
  <c r="Q1959" i="51"/>
  <c r="L1960" i="51"/>
  <c r="N1960" i="51"/>
  <c r="O1960" i="51"/>
  <c r="P1960" i="51"/>
  <c r="Q1960" i="51"/>
  <c r="L1961" i="51"/>
  <c r="N1961" i="51"/>
  <c r="O1961" i="51"/>
  <c r="P1961" i="51"/>
  <c r="Q1961" i="51"/>
  <c r="L1962" i="51"/>
  <c r="N1962" i="51"/>
  <c r="O1962" i="51"/>
  <c r="P1962" i="51"/>
  <c r="Q1962" i="51"/>
  <c r="L1963" i="51"/>
  <c r="N1963" i="51"/>
  <c r="O1963" i="51"/>
  <c r="P1963" i="51"/>
  <c r="Q1963" i="51"/>
  <c r="L1964" i="51"/>
  <c r="N1964" i="51"/>
  <c r="O1964" i="51"/>
  <c r="P1964" i="51"/>
  <c r="Q1964" i="51"/>
  <c r="L1965" i="51"/>
  <c r="N1965" i="51"/>
  <c r="O1965" i="51"/>
  <c r="P1965" i="51"/>
  <c r="Q1965" i="51"/>
  <c r="L1966" i="51"/>
  <c r="N1966" i="51"/>
  <c r="O1966" i="51"/>
  <c r="P1966" i="51"/>
  <c r="Q1966" i="51"/>
  <c r="L1967" i="51"/>
  <c r="N1967" i="51"/>
  <c r="O1967" i="51"/>
  <c r="P1967" i="51"/>
  <c r="Q1967" i="51"/>
  <c r="L1968" i="51"/>
  <c r="N1968" i="51"/>
  <c r="O1968" i="51"/>
  <c r="P1968" i="51"/>
  <c r="Q1968" i="51"/>
  <c r="L1969" i="51"/>
  <c r="N1969" i="51"/>
  <c r="O1969" i="51"/>
  <c r="P1969" i="51"/>
  <c r="Q1969" i="51"/>
  <c r="L1970" i="51"/>
  <c r="N1970" i="51"/>
  <c r="O1970" i="51"/>
  <c r="P1970" i="51"/>
  <c r="Q1970" i="51"/>
  <c r="L1971" i="51"/>
  <c r="N1971" i="51"/>
  <c r="O1971" i="51"/>
  <c r="P1971" i="51"/>
  <c r="Q1971" i="51"/>
  <c r="L1972" i="51"/>
  <c r="N1972" i="51"/>
  <c r="O1972" i="51"/>
  <c r="P1972" i="51"/>
  <c r="Q1972" i="51"/>
  <c r="L1973" i="51"/>
  <c r="N1973" i="51"/>
  <c r="O1973" i="51"/>
  <c r="P1973" i="51"/>
  <c r="Q1973" i="51"/>
  <c r="L1974" i="51"/>
  <c r="N1974" i="51"/>
  <c r="O1974" i="51"/>
  <c r="P1974" i="51"/>
  <c r="Q1974" i="51"/>
  <c r="L1975" i="51"/>
  <c r="N1975" i="51"/>
  <c r="O1975" i="51"/>
  <c r="P1975" i="51"/>
  <c r="Q1975" i="51"/>
  <c r="L1976" i="51"/>
  <c r="N1976" i="51"/>
  <c r="O1976" i="51"/>
  <c r="P1976" i="51"/>
  <c r="Q1976" i="51"/>
  <c r="L1977" i="51"/>
  <c r="N1977" i="51"/>
  <c r="O1977" i="51"/>
  <c r="P1977" i="51"/>
  <c r="Q1977" i="51"/>
  <c r="L1978" i="51"/>
  <c r="N1978" i="51"/>
  <c r="O1978" i="51"/>
  <c r="P1978" i="51"/>
  <c r="Q1978" i="51"/>
  <c r="L1979" i="51"/>
  <c r="N1979" i="51"/>
  <c r="O1979" i="51"/>
  <c r="P1979" i="51"/>
  <c r="Q1979" i="51"/>
  <c r="L1980" i="51"/>
  <c r="N1980" i="51"/>
  <c r="O1980" i="51"/>
  <c r="P1980" i="51"/>
  <c r="Q1980" i="51"/>
  <c r="L1981" i="51"/>
  <c r="N1981" i="51"/>
  <c r="O1981" i="51"/>
  <c r="P1981" i="51"/>
  <c r="Q1981" i="51"/>
  <c r="L1982" i="51"/>
  <c r="N1982" i="51"/>
  <c r="O1982" i="51"/>
  <c r="P1982" i="51"/>
  <c r="Q1982" i="51"/>
  <c r="L1983" i="51"/>
  <c r="N1983" i="51"/>
  <c r="O1983" i="51"/>
  <c r="P1983" i="51"/>
  <c r="Q1983" i="51"/>
  <c r="L1984" i="51"/>
  <c r="N1984" i="51"/>
  <c r="O1984" i="51"/>
  <c r="P1984" i="51"/>
  <c r="Q1984" i="51"/>
  <c r="L1985" i="51"/>
  <c r="N1985" i="51"/>
  <c r="O1985" i="51"/>
  <c r="P1985" i="51"/>
  <c r="Q1985" i="51"/>
  <c r="L1986" i="51"/>
  <c r="N1986" i="51"/>
  <c r="O1986" i="51"/>
  <c r="P1986" i="51"/>
  <c r="Q1986" i="51"/>
  <c r="L1987" i="51"/>
  <c r="N1987" i="51"/>
  <c r="O1987" i="51"/>
  <c r="P1987" i="51"/>
  <c r="Q1987" i="51"/>
  <c r="L1988" i="51"/>
  <c r="N1988" i="51"/>
  <c r="O1988" i="51"/>
  <c r="P1988" i="51"/>
  <c r="Q1988" i="51"/>
  <c r="L1989" i="51"/>
  <c r="N1989" i="51"/>
  <c r="O1989" i="51"/>
  <c r="P1989" i="51"/>
  <c r="Q1989" i="51"/>
  <c r="L1990" i="51"/>
  <c r="N1990" i="51"/>
  <c r="O1990" i="51"/>
  <c r="P1990" i="51"/>
  <c r="Q1990" i="51"/>
  <c r="L1991" i="51"/>
  <c r="N1991" i="51"/>
  <c r="O1991" i="51"/>
  <c r="P1991" i="51"/>
  <c r="Q1991" i="51"/>
  <c r="L1992" i="51"/>
  <c r="N1992" i="51"/>
  <c r="O1992" i="51"/>
  <c r="P1992" i="51"/>
  <c r="Q1992" i="51"/>
  <c r="L1993" i="51"/>
  <c r="N1993" i="51"/>
  <c r="O1993" i="51"/>
  <c r="P1993" i="51"/>
  <c r="Q1993" i="51"/>
  <c r="L1994" i="51"/>
  <c r="N1994" i="51"/>
  <c r="O1994" i="51"/>
  <c r="P1994" i="51"/>
  <c r="Q1994" i="51"/>
  <c r="L1995" i="51"/>
  <c r="N1995" i="51"/>
  <c r="O1995" i="51"/>
  <c r="P1995" i="51"/>
  <c r="Q1995" i="51"/>
  <c r="L1996" i="51"/>
  <c r="N1996" i="51"/>
  <c r="O1996" i="51"/>
  <c r="P1996" i="51"/>
  <c r="Q1996" i="51"/>
  <c r="L1997" i="51"/>
  <c r="N1997" i="51"/>
  <c r="O1997" i="51"/>
  <c r="P1997" i="51"/>
  <c r="Q1997" i="51"/>
  <c r="L1998" i="51"/>
  <c r="N1998" i="51"/>
  <c r="O1998" i="51"/>
  <c r="P1998" i="51"/>
  <c r="Q1998" i="51"/>
  <c r="L1999" i="51"/>
  <c r="N1999" i="51"/>
  <c r="O1999" i="51"/>
  <c r="P1999" i="51"/>
  <c r="Q1999" i="51"/>
  <c r="L2000" i="51"/>
  <c r="N2000" i="51"/>
  <c r="O2000" i="51"/>
  <c r="P2000" i="51"/>
  <c r="Q2000" i="51"/>
  <c r="L2001" i="51"/>
  <c r="N2001" i="51"/>
  <c r="O2001" i="51"/>
  <c r="P2001" i="51"/>
  <c r="Q2001" i="51"/>
  <c r="L2002" i="51"/>
  <c r="N2002" i="51"/>
  <c r="O2002" i="51"/>
  <c r="P2002" i="51"/>
  <c r="Q2002" i="51"/>
  <c r="L2003" i="51"/>
  <c r="N2003" i="51"/>
  <c r="O2003" i="51"/>
  <c r="P2003" i="51"/>
  <c r="Q2003" i="51"/>
  <c r="L2004" i="51"/>
  <c r="N2004" i="51"/>
  <c r="O2004" i="51"/>
  <c r="P2004" i="51"/>
  <c r="Q2004" i="51"/>
  <c r="L2005" i="51"/>
  <c r="N2005" i="51"/>
  <c r="O2005" i="51"/>
  <c r="P2005" i="51"/>
  <c r="Q2005" i="51"/>
  <c r="L2006" i="51"/>
  <c r="N2006" i="51"/>
  <c r="O2006" i="51"/>
  <c r="P2006" i="51"/>
  <c r="Q2006" i="51"/>
  <c r="L2007" i="51"/>
  <c r="N2007" i="51"/>
  <c r="O2007" i="51"/>
  <c r="P2007" i="51"/>
  <c r="Q2007" i="51"/>
  <c r="L2008" i="51"/>
  <c r="N2008" i="51"/>
  <c r="O2008" i="51"/>
  <c r="P2008" i="51"/>
  <c r="Q2008" i="51"/>
  <c r="L2009" i="51"/>
  <c r="N2009" i="51"/>
  <c r="O2009" i="51"/>
  <c r="P2009" i="51"/>
  <c r="Q2009" i="51"/>
  <c r="L2010" i="51"/>
  <c r="N2010" i="51"/>
  <c r="O2010" i="51"/>
  <c r="P2010" i="51"/>
  <c r="Q2010" i="51"/>
  <c r="L2011" i="51"/>
  <c r="N2011" i="51"/>
  <c r="O2011" i="51"/>
  <c r="P2011" i="51"/>
  <c r="Q2011" i="51"/>
  <c r="L2012" i="51"/>
  <c r="N2012" i="51"/>
  <c r="O2012" i="51"/>
  <c r="P2012" i="51"/>
  <c r="Q2012" i="51"/>
  <c r="L2013" i="51"/>
  <c r="N2013" i="51"/>
  <c r="O2013" i="51"/>
  <c r="P2013" i="51"/>
  <c r="Q2013" i="51"/>
  <c r="L2014" i="51"/>
  <c r="N2014" i="51"/>
  <c r="O2014" i="51"/>
  <c r="P2014" i="51"/>
  <c r="Q2014" i="51"/>
  <c r="L2015" i="51"/>
  <c r="N2015" i="51"/>
  <c r="O2015" i="51"/>
  <c r="P2015" i="51"/>
  <c r="Q2015" i="51"/>
  <c r="L2016" i="51"/>
  <c r="N2016" i="51"/>
  <c r="O2016" i="51"/>
  <c r="P2016" i="51"/>
  <c r="Q2016" i="51"/>
  <c r="L2017" i="51"/>
  <c r="N2017" i="51"/>
  <c r="O2017" i="51"/>
  <c r="P2017" i="51"/>
  <c r="Q2017" i="51"/>
  <c r="L2018" i="51"/>
  <c r="N2018" i="51"/>
  <c r="O2018" i="51"/>
  <c r="P2018" i="51"/>
  <c r="Q2018" i="51"/>
  <c r="L2019" i="51"/>
  <c r="N2019" i="51"/>
  <c r="O2019" i="51"/>
  <c r="P2019" i="51"/>
  <c r="Q2019" i="51"/>
  <c r="L2020" i="51"/>
  <c r="N2020" i="51"/>
  <c r="O2020" i="51"/>
  <c r="P2020" i="51"/>
  <c r="Q2020" i="51"/>
  <c r="L2021" i="51"/>
  <c r="N2021" i="51"/>
  <c r="O2021" i="51"/>
  <c r="P2021" i="51"/>
  <c r="Q2021" i="51"/>
  <c r="L2022" i="51"/>
  <c r="N2022" i="51"/>
  <c r="O2022" i="51"/>
  <c r="P2022" i="51"/>
  <c r="Q2022" i="51"/>
  <c r="L2023" i="51"/>
  <c r="N2023" i="51"/>
  <c r="O2023" i="51"/>
  <c r="P2023" i="51"/>
  <c r="Q2023" i="51"/>
  <c r="L2024" i="51"/>
  <c r="N2024" i="51"/>
  <c r="O2024" i="51"/>
  <c r="P2024" i="51"/>
  <c r="Q2024" i="51"/>
  <c r="L2025" i="51"/>
  <c r="N2025" i="51"/>
  <c r="O2025" i="51"/>
  <c r="P2025" i="51"/>
  <c r="Q2025" i="51"/>
  <c r="L2026" i="51"/>
  <c r="N2026" i="51"/>
  <c r="O2026" i="51"/>
  <c r="P2026" i="51"/>
  <c r="Q2026" i="51"/>
  <c r="L2027" i="51"/>
  <c r="N2027" i="51"/>
  <c r="O2027" i="51"/>
  <c r="P2027" i="51"/>
  <c r="Q2027" i="51"/>
  <c r="L2028" i="51"/>
  <c r="N2028" i="51"/>
  <c r="O2028" i="51"/>
  <c r="P2028" i="51"/>
  <c r="Q2028" i="51"/>
  <c r="L2029" i="51"/>
  <c r="N2029" i="51"/>
  <c r="O2029" i="51"/>
  <c r="P2029" i="51"/>
  <c r="Q2029" i="51"/>
  <c r="L2030" i="51"/>
  <c r="N2030" i="51"/>
  <c r="O2030" i="51"/>
  <c r="P2030" i="51"/>
  <c r="Q2030" i="51"/>
  <c r="L2031" i="51"/>
  <c r="N2031" i="51"/>
  <c r="O2031" i="51"/>
  <c r="P2031" i="51"/>
  <c r="Q2031" i="51"/>
  <c r="L2032" i="51"/>
  <c r="N2032" i="51"/>
  <c r="O2032" i="51"/>
  <c r="P2032" i="51"/>
  <c r="Q2032" i="51"/>
  <c r="L2033" i="51"/>
  <c r="N2033" i="51"/>
  <c r="O2033" i="51"/>
  <c r="P2033" i="51"/>
  <c r="Q2033" i="51"/>
  <c r="L2034" i="51"/>
  <c r="N2034" i="51"/>
  <c r="O2034" i="51"/>
  <c r="P2034" i="51"/>
  <c r="Q2034" i="51"/>
  <c r="L2035" i="51"/>
  <c r="N2035" i="51"/>
  <c r="O2035" i="51"/>
  <c r="P2035" i="51"/>
  <c r="Q2035" i="51"/>
  <c r="L2036" i="51"/>
  <c r="N2036" i="51"/>
  <c r="O2036" i="51"/>
  <c r="P2036" i="51"/>
  <c r="Q2036" i="51"/>
  <c r="L2037" i="51"/>
  <c r="N2037" i="51"/>
  <c r="O2037" i="51"/>
  <c r="P2037" i="51"/>
  <c r="Q2037" i="51"/>
  <c r="L2038" i="51"/>
  <c r="N2038" i="51"/>
  <c r="O2038" i="51"/>
  <c r="P2038" i="51"/>
  <c r="Q2038" i="51"/>
  <c r="L2039" i="51"/>
  <c r="N2039" i="51"/>
  <c r="O2039" i="51"/>
  <c r="P2039" i="51"/>
  <c r="Q2039" i="51"/>
  <c r="L2040" i="51"/>
  <c r="N2040" i="51"/>
  <c r="O2040" i="51"/>
  <c r="P2040" i="51"/>
  <c r="Q2040" i="51"/>
  <c r="L2041" i="51"/>
  <c r="N2041" i="51"/>
  <c r="O2041" i="51"/>
  <c r="P2041" i="51"/>
  <c r="Q2041" i="51"/>
  <c r="L2042" i="51"/>
  <c r="N2042" i="51"/>
  <c r="O2042" i="51"/>
  <c r="P2042" i="51"/>
  <c r="Q2042" i="51"/>
  <c r="L2043" i="51"/>
  <c r="N2043" i="51"/>
  <c r="O2043" i="51"/>
  <c r="P2043" i="51"/>
  <c r="Q2043" i="51"/>
  <c r="L2044" i="51"/>
  <c r="N2044" i="51"/>
  <c r="O2044" i="51"/>
  <c r="P2044" i="51"/>
  <c r="Q2044" i="51"/>
  <c r="L2045" i="51"/>
  <c r="N2045" i="51"/>
  <c r="O2045" i="51"/>
  <c r="P2045" i="51"/>
  <c r="Q2045" i="51"/>
  <c r="L2046" i="51"/>
  <c r="N2046" i="51"/>
  <c r="O2046" i="51"/>
  <c r="P2046" i="51"/>
  <c r="Q2046" i="51"/>
  <c r="L2047" i="51"/>
  <c r="N2047" i="51"/>
  <c r="O2047" i="51"/>
  <c r="P2047" i="51"/>
  <c r="Q2047" i="51"/>
  <c r="L2048" i="51"/>
  <c r="N2048" i="51"/>
  <c r="O2048" i="51"/>
  <c r="P2048" i="51"/>
  <c r="Q2048" i="51"/>
  <c r="L2049" i="51"/>
  <c r="N2049" i="51"/>
  <c r="O2049" i="51"/>
  <c r="P2049" i="51"/>
  <c r="Q2049" i="51"/>
  <c r="L2050" i="51"/>
  <c r="N2050" i="51"/>
  <c r="O2050" i="51"/>
  <c r="P2050" i="51"/>
  <c r="Q2050" i="51"/>
  <c r="L2051" i="51"/>
  <c r="N2051" i="51"/>
  <c r="O2051" i="51"/>
  <c r="P2051" i="51"/>
  <c r="Q2051" i="51"/>
  <c r="L2052" i="51"/>
  <c r="N2052" i="51"/>
  <c r="O2052" i="51"/>
  <c r="P2052" i="51"/>
  <c r="Q2052" i="51"/>
  <c r="L2053" i="51"/>
  <c r="N2053" i="51"/>
  <c r="O2053" i="51"/>
  <c r="P2053" i="51"/>
  <c r="Q2053" i="51"/>
  <c r="L2054" i="51"/>
  <c r="N2054" i="51"/>
  <c r="O2054" i="51"/>
  <c r="P2054" i="51"/>
  <c r="Q2054" i="51"/>
  <c r="L2055" i="51"/>
  <c r="N2055" i="51"/>
  <c r="O2055" i="51"/>
  <c r="P2055" i="51"/>
  <c r="Q2055" i="51"/>
  <c r="L2056" i="51"/>
  <c r="N2056" i="51"/>
  <c r="O2056" i="51"/>
  <c r="P2056" i="51"/>
  <c r="Q2056" i="51"/>
  <c r="L2057" i="51"/>
  <c r="N2057" i="51"/>
  <c r="O2057" i="51"/>
  <c r="P2057" i="51"/>
  <c r="Q2057" i="51"/>
  <c r="L2058" i="51"/>
  <c r="N2058" i="51"/>
  <c r="O2058" i="51"/>
  <c r="P2058" i="51"/>
  <c r="Q2058" i="51"/>
  <c r="L2059" i="51"/>
  <c r="N2059" i="51"/>
  <c r="O2059" i="51"/>
  <c r="P2059" i="51"/>
  <c r="Q2059" i="51"/>
  <c r="L2060" i="51"/>
  <c r="N2060" i="51"/>
  <c r="O2060" i="51"/>
  <c r="P2060" i="51"/>
  <c r="Q2060" i="51"/>
  <c r="L2061" i="51"/>
  <c r="N2061" i="51"/>
  <c r="O2061" i="51"/>
  <c r="P2061" i="51"/>
  <c r="Q2061" i="51"/>
  <c r="L2062" i="51"/>
  <c r="N2062" i="51"/>
  <c r="O2062" i="51"/>
  <c r="P2062" i="51"/>
  <c r="Q2062" i="51"/>
  <c r="L2063" i="51"/>
  <c r="N2063" i="51"/>
  <c r="O2063" i="51"/>
  <c r="P2063" i="51"/>
  <c r="Q2063" i="51"/>
  <c r="L2064" i="51"/>
  <c r="N2064" i="51"/>
  <c r="O2064" i="51"/>
  <c r="P2064" i="51"/>
  <c r="Q2064" i="51"/>
  <c r="L2065" i="51"/>
  <c r="N2065" i="51"/>
  <c r="O2065" i="51"/>
  <c r="P2065" i="51"/>
  <c r="Q2065" i="51"/>
  <c r="L2066" i="51"/>
  <c r="N2066" i="51"/>
  <c r="O2066" i="51"/>
  <c r="P2066" i="51"/>
  <c r="Q2066" i="51"/>
  <c r="L2067" i="51"/>
  <c r="N2067" i="51"/>
  <c r="O2067" i="51"/>
  <c r="P2067" i="51"/>
  <c r="Q2067" i="51"/>
  <c r="L2068" i="51"/>
  <c r="N2068" i="51"/>
  <c r="O2068" i="51"/>
  <c r="P2068" i="51"/>
  <c r="Q2068" i="51"/>
  <c r="L2069" i="51"/>
  <c r="N2069" i="51"/>
  <c r="O2069" i="51"/>
  <c r="P2069" i="51"/>
  <c r="Q2069" i="51"/>
  <c r="L2070" i="51"/>
  <c r="N2070" i="51"/>
  <c r="O2070" i="51"/>
  <c r="P2070" i="51"/>
  <c r="Q2070" i="51"/>
  <c r="L2071" i="51"/>
  <c r="N2071" i="51"/>
  <c r="O2071" i="51"/>
  <c r="P2071" i="51"/>
  <c r="Q2071" i="51"/>
  <c r="L2072" i="51"/>
  <c r="N2072" i="51"/>
  <c r="O2072" i="51"/>
  <c r="P2072" i="51"/>
  <c r="Q2072" i="51"/>
  <c r="L2073" i="51"/>
  <c r="N2073" i="51"/>
  <c r="O2073" i="51"/>
  <c r="P2073" i="51"/>
  <c r="Q2073" i="51"/>
  <c r="L2074" i="51"/>
  <c r="N2074" i="51"/>
  <c r="O2074" i="51"/>
  <c r="P2074" i="51"/>
  <c r="Q2074" i="51"/>
  <c r="L2075" i="51"/>
  <c r="N2075" i="51"/>
  <c r="O2075" i="51"/>
  <c r="P2075" i="51"/>
  <c r="Q2075" i="51"/>
  <c r="L2076" i="51"/>
  <c r="N2076" i="51"/>
  <c r="O2076" i="51"/>
  <c r="P2076" i="51"/>
  <c r="Q2076" i="51"/>
  <c r="L2077" i="51"/>
  <c r="N2077" i="51"/>
  <c r="O2077" i="51"/>
  <c r="P2077" i="51"/>
  <c r="Q2077" i="51"/>
  <c r="L2078" i="51"/>
  <c r="N2078" i="51"/>
  <c r="O2078" i="51"/>
  <c r="P2078" i="51"/>
  <c r="Q2078" i="51"/>
  <c r="L2079" i="51"/>
  <c r="N2079" i="51"/>
  <c r="O2079" i="51"/>
  <c r="P2079" i="51"/>
  <c r="Q2079" i="51"/>
  <c r="L2080" i="51"/>
  <c r="N2080" i="51"/>
  <c r="O2080" i="51"/>
  <c r="P2080" i="51"/>
  <c r="Q2080" i="51"/>
  <c r="L2081" i="51"/>
  <c r="N2081" i="51"/>
  <c r="O2081" i="51"/>
  <c r="P2081" i="51"/>
  <c r="Q2081" i="51"/>
  <c r="L2082" i="51"/>
  <c r="N2082" i="51"/>
  <c r="O2082" i="51"/>
  <c r="P2082" i="51"/>
  <c r="Q2082" i="51"/>
  <c r="L2083" i="51"/>
  <c r="N2083" i="51"/>
  <c r="O2083" i="51"/>
  <c r="P2083" i="51"/>
  <c r="Q2083" i="51"/>
  <c r="L2084" i="51"/>
  <c r="N2084" i="51"/>
  <c r="O2084" i="51"/>
  <c r="P2084" i="51"/>
  <c r="Q2084" i="51"/>
  <c r="L2085" i="51"/>
  <c r="N2085" i="51"/>
  <c r="O2085" i="51"/>
  <c r="P2085" i="51"/>
  <c r="Q2085" i="51"/>
  <c r="L2086" i="51"/>
  <c r="N2086" i="51"/>
  <c r="O2086" i="51"/>
  <c r="P2086" i="51"/>
  <c r="Q2086" i="51"/>
  <c r="L2087" i="51"/>
  <c r="N2087" i="51"/>
  <c r="O2087" i="51"/>
  <c r="P2087" i="51"/>
  <c r="Q2087" i="51"/>
  <c r="L2088" i="51"/>
  <c r="N2088" i="51"/>
  <c r="O2088" i="51"/>
  <c r="P2088" i="51"/>
  <c r="Q2088" i="51"/>
  <c r="L2089" i="51"/>
  <c r="N2089" i="51"/>
  <c r="O2089" i="51"/>
  <c r="P2089" i="51"/>
  <c r="Q2089" i="51"/>
  <c r="L2090" i="51"/>
  <c r="N2090" i="51"/>
  <c r="O2090" i="51"/>
  <c r="P2090" i="51"/>
  <c r="Q2090" i="51"/>
  <c r="L2091" i="51"/>
  <c r="N2091" i="51"/>
  <c r="O2091" i="51"/>
  <c r="P2091" i="51"/>
  <c r="Q2091" i="51"/>
  <c r="L2092" i="51"/>
  <c r="N2092" i="51"/>
  <c r="O2092" i="51"/>
  <c r="P2092" i="51"/>
  <c r="Q2092" i="51"/>
  <c r="L2093" i="51"/>
  <c r="N2093" i="51"/>
  <c r="O2093" i="51"/>
  <c r="P2093" i="51"/>
  <c r="Q2093" i="51"/>
  <c r="L2094" i="51"/>
  <c r="N2094" i="51"/>
  <c r="O2094" i="51"/>
  <c r="P2094" i="51"/>
  <c r="Q2094" i="51"/>
  <c r="L2095" i="51"/>
  <c r="N2095" i="51"/>
  <c r="O2095" i="51"/>
  <c r="P2095" i="51"/>
  <c r="Q2095" i="51"/>
  <c r="L2096" i="51"/>
  <c r="N2096" i="51"/>
  <c r="O2096" i="51"/>
  <c r="P2096" i="51"/>
  <c r="Q2096" i="51"/>
  <c r="L2097" i="51"/>
  <c r="N2097" i="51"/>
  <c r="O2097" i="51"/>
  <c r="P2097" i="51"/>
  <c r="Q2097" i="51"/>
  <c r="L2098" i="51"/>
  <c r="N2098" i="51"/>
  <c r="O2098" i="51"/>
  <c r="P2098" i="51"/>
  <c r="Q2098" i="51"/>
  <c r="L2099" i="51"/>
  <c r="N2099" i="51"/>
  <c r="O2099" i="51"/>
  <c r="P2099" i="51"/>
  <c r="Q2099" i="51"/>
  <c r="L2100" i="51"/>
  <c r="N2100" i="51"/>
  <c r="O2100" i="51"/>
  <c r="P2100" i="51"/>
  <c r="Q2100" i="51"/>
  <c r="L2101" i="51"/>
  <c r="N2101" i="51"/>
  <c r="O2101" i="51"/>
  <c r="P2101" i="51"/>
  <c r="Q2101" i="51"/>
  <c r="L2102" i="51"/>
  <c r="N2102" i="51"/>
  <c r="O2102" i="51"/>
  <c r="P2102" i="51"/>
  <c r="Q2102" i="51"/>
  <c r="L2103" i="51"/>
  <c r="N2103" i="51"/>
  <c r="O2103" i="51"/>
  <c r="P2103" i="51"/>
  <c r="Q2103" i="51"/>
  <c r="L2104" i="51"/>
  <c r="N2104" i="51"/>
  <c r="O2104" i="51"/>
  <c r="P2104" i="51"/>
  <c r="Q2104" i="51"/>
  <c r="L2105" i="51"/>
  <c r="N2105" i="51"/>
  <c r="O2105" i="51"/>
  <c r="P2105" i="51"/>
  <c r="Q2105" i="51"/>
  <c r="L2106" i="51"/>
  <c r="N2106" i="51"/>
  <c r="O2106" i="51"/>
  <c r="P2106" i="51"/>
  <c r="Q2106" i="51"/>
  <c r="L2107" i="51"/>
  <c r="N2107" i="51"/>
  <c r="O2107" i="51"/>
  <c r="P2107" i="51"/>
  <c r="Q2107" i="51"/>
  <c r="L2108" i="51"/>
  <c r="N2108" i="51"/>
  <c r="O2108" i="51"/>
  <c r="P2108" i="51"/>
  <c r="Q2108" i="51"/>
  <c r="L2109" i="51"/>
  <c r="N2109" i="51"/>
  <c r="O2109" i="51"/>
  <c r="P2109" i="51"/>
  <c r="Q2109" i="51"/>
  <c r="L2110" i="51"/>
  <c r="N2110" i="51"/>
  <c r="O2110" i="51"/>
  <c r="P2110" i="51"/>
  <c r="Q2110" i="51"/>
  <c r="L2111" i="51"/>
  <c r="N2111" i="51"/>
  <c r="O2111" i="51"/>
  <c r="P2111" i="51"/>
  <c r="Q2111" i="51"/>
  <c r="L2112" i="51"/>
  <c r="N2112" i="51"/>
  <c r="O2112" i="51"/>
  <c r="P2112" i="51"/>
  <c r="Q2112" i="51"/>
  <c r="L2113" i="51"/>
  <c r="N2113" i="51"/>
  <c r="O2113" i="51"/>
  <c r="P2113" i="51"/>
  <c r="Q2113" i="51"/>
  <c r="L2114" i="51"/>
  <c r="N2114" i="51"/>
  <c r="O2114" i="51"/>
  <c r="P2114" i="51"/>
  <c r="Q2114" i="51"/>
  <c r="L2115" i="51"/>
  <c r="N2115" i="51"/>
  <c r="O2115" i="51"/>
  <c r="P2115" i="51"/>
  <c r="Q2115" i="51"/>
  <c r="L2116" i="51"/>
  <c r="N2116" i="51"/>
  <c r="O2116" i="51"/>
  <c r="P2116" i="51"/>
  <c r="Q2116" i="51"/>
  <c r="L2117" i="51"/>
  <c r="N2117" i="51"/>
  <c r="O2117" i="51"/>
  <c r="P2117" i="51"/>
  <c r="Q2117" i="51"/>
  <c r="L2118" i="51"/>
  <c r="N2118" i="51"/>
  <c r="O2118" i="51"/>
  <c r="P2118" i="51"/>
  <c r="Q2118" i="51"/>
  <c r="L2119" i="51"/>
  <c r="N2119" i="51"/>
  <c r="O2119" i="51"/>
  <c r="P2119" i="51"/>
  <c r="Q2119" i="51"/>
  <c r="L2120" i="51"/>
  <c r="N2120" i="51"/>
  <c r="O2120" i="51"/>
  <c r="P2120" i="51"/>
  <c r="Q2120" i="51"/>
  <c r="L2121" i="51"/>
  <c r="N2121" i="51"/>
  <c r="O2121" i="51"/>
  <c r="P2121" i="51"/>
  <c r="Q2121" i="51"/>
  <c r="L2122" i="51"/>
  <c r="N2122" i="51"/>
  <c r="O2122" i="51"/>
  <c r="P2122" i="51"/>
  <c r="Q2122" i="51"/>
  <c r="L2123" i="51"/>
  <c r="N2123" i="51"/>
  <c r="O2123" i="51"/>
  <c r="P2123" i="51"/>
  <c r="Q2123" i="51"/>
  <c r="L2124" i="51"/>
  <c r="N2124" i="51"/>
  <c r="O2124" i="51"/>
  <c r="P2124" i="51"/>
  <c r="Q2124" i="51"/>
  <c r="L2125" i="51"/>
  <c r="N2125" i="51"/>
  <c r="O2125" i="51"/>
  <c r="P2125" i="51"/>
  <c r="Q2125" i="51"/>
  <c r="L2126" i="51"/>
  <c r="N2126" i="51"/>
  <c r="O2126" i="51"/>
  <c r="P2126" i="51"/>
  <c r="Q2126" i="51"/>
  <c r="L2127" i="51"/>
  <c r="N2127" i="51"/>
  <c r="O2127" i="51"/>
  <c r="P2127" i="51"/>
  <c r="Q2127" i="51"/>
  <c r="L2128" i="51"/>
  <c r="N2128" i="51"/>
  <c r="O2128" i="51"/>
  <c r="P2128" i="51"/>
  <c r="Q2128" i="51"/>
  <c r="L2129" i="51"/>
  <c r="N2129" i="51"/>
  <c r="O2129" i="51"/>
  <c r="P2129" i="51"/>
  <c r="Q2129" i="51"/>
  <c r="L2130" i="51"/>
  <c r="N2130" i="51"/>
  <c r="O2130" i="51"/>
  <c r="P2130" i="51"/>
  <c r="Q2130" i="51"/>
  <c r="L2131" i="51"/>
  <c r="N2131" i="51"/>
  <c r="O2131" i="51"/>
  <c r="P2131" i="51"/>
  <c r="Q2131" i="51"/>
  <c r="L2132" i="51"/>
  <c r="N2132" i="51"/>
  <c r="O2132" i="51"/>
  <c r="P2132" i="51"/>
  <c r="Q2132" i="51"/>
  <c r="L2133" i="51"/>
  <c r="N2133" i="51"/>
  <c r="O2133" i="51"/>
  <c r="P2133" i="51"/>
  <c r="Q2133" i="51"/>
  <c r="L2134" i="51"/>
  <c r="N2134" i="51"/>
  <c r="O2134" i="51"/>
  <c r="P2134" i="51"/>
  <c r="Q2134" i="51"/>
  <c r="L2135" i="51"/>
  <c r="N2135" i="51"/>
  <c r="O2135" i="51"/>
  <c r="P2135" i="51"/>
  <c r="Q2135" i="51"/>
  <c r="L2136" i="51"/>
  <c r="N2136" i="51"/>
  <c r="O2136" i="51"/>
  <c r="P2136" i="51"/>
  <c r="Q2136" i="51"/>
  <c r="L2137" i="51"/>
  <c r="N2137" i="51"/>
  <c r="O2137" i="51"/>
  <c r="P2137" i="51"/>
  <c r="Q2137" i="51"/>
  <c r="L2138" i="51"/>
  <c r="N2138" i="51"/>
  <c r="O2138" i="51"/>
  <c r="P2138" i="51"/>
  <c r="Q2138" i="51"/>
  <c r="L2139" i="51"/>
  <c r="N2139" i="51"/>
  <c r="O2139" i="51"/>
  <c r="P2139" i="51"/>
  <c r="Q2139" i="51"/>
  <c r="L2140" i="51"/>
  <c r="N2140" i="51"/>
  <c r="O2140" i="51"/>
  <c r="P2140" i="51"/>
  <c r="Q2140" i="51"/>
  <c r="L2141" i="51"/>
  <c r="N2141" i="51"/>
  <c r="O2141" i="51"/>
  <c r="P2141" i="51"/>
  <c r="Q2141" i="51"/>
  <c r="L2142" i="51"/>
  <c r="N2142" i="51"/>
  <c r="O2142" i="51"/>
  <c r="P2142" i="51"/>
  <c r="Q2142" i="51"/>
  <c r="L2143" i="51"/>
  <c r="N2143" i="51"/>
  <c r="O2143" i="51"/>
  <c r="P2143" i="51"/>
  <c r="Q2143" i="51"/>
  <c r="L2144" i="51"/>
  <c r="N2144" i="51"/>
  <c r="O2144" i="51"/>
  <c r="P2144" i="51"/>
  <c r="Q2144" i="51"/>
  <c r="L2145" i="51"/>
  <c r="N2145" i="51"/>
  <c r="O2145" i="51"/>
  <c r="P2145" i="51"/>
  <c r="Q2145" i="51"/>
  <c r="L2146" i="51"/>
  <c r="N2146" i="51"/>
  <c r="O2146" i="51"/>
  <c r="P2146" i="51"/>
  <c r="Q2146" i="51"/>
  <c r="L2147" i="51"/>
  <c r="N2147" i="51"/>
  <c r="O2147" i="51"/>
  <c r="P2147" i="51"/>
  <c r="Q2147" i="51"/>
  <c r="L2148" i="51"/>
  <c r="N2148" i="51"/>
  <c r="O2148" i="51"/>
  <c r="P2148" i="51"/>
  <c r="Q2148" i="51"/>
  <c r="L2149" i="51"/>
  <c r="N2149" i="51"/>
  <c r="O2149" i="51"/>
  <c r="P2149" i="51"/>
  <c r="Q2149" i="51"/>
  <c r="L2150" i="51"/>
  <c r="N2150" i="51"/>
  <c r="O2150" i="51"/>
  <c r="P2150" i="51"/>
  <c r="Q2150" i="51"/>
  <c r="L2151" i="51"/>
  <c r="N2151" i="51"/>
  <c r="O2151" i="51"/>
  <c r="P2151" i="51"/>
  <c r="Q2151" i="51"/>
  <c r="L2152" i="51"/>
  <c r="N2152" i="51"/>
  <c r="O2152" i="51"/>
  <c r="P2152" i="51"/>
  <c r="Q2152" i="51"/>
  <c r="L2153" i="51"/>
  <c r="N2153" i="51"/>
  <c r="O2153" i="51"/>
  <c r="P2153" i="51"/>
  <c r="Q2153" i="51"/>
  <c r="L2154" i="51"/>
  <c r="N2154" i="51"/>
  <c r="O2154" i="51"/>
  <c r="P2154" i="51"/>
  <c r="Q2154" i="51"/>
  <c r="L2155" i="51"/>
  <c r="N2155" i="51"/>
  <c r="O2155" i="51"/>
  <c r="P2155" i="51"/>
  <c r="Q2155" i="51"/>
  <c r="L2156" i="51"/>
  <c r="N2156" i="51"/>
  <c r="O2156" i="51"/>
  <c r="P2156" i="51"/>
  <c r="Q2156" i="51"/>
  <c r="L2157" i="51"/>
  <c r="N2157" i="51"/>
  <c r="O2157" i="51"/>
  <c r="P2157" i="51"/>
  <c r="Q2157" i="51"/>
  <c r="L2158" i="51"/>
  <c r="N2158" i="51"/>
  <c r="O2158" i="51"/>
  <c r="P2158" i="51"/>
  <c r="Q2158" i="51"/>
  <c r="L2159" i="51"/>
  <c r="N2159" i="51"/>
  <c r="O2159" i="51"/>
  <c r="P2159" i="51"/>
  <c r="Q2159" i="51"/>
  <c r="L2160" i="51"/>
  <c r="N2160" i="51"/>
  <c r="O2160" i="51"/>
  <c r="P2160" i="51"/>
  <c r="Q2160" i="51"/>
  <c r="L2161" i="51"/>
  <c r="N2161" i="51"/>
  <c r="O2161" i="51"/>
  <c r="P2161" i="51"/>
  <c r="Q2161" i="51"/>
  <c r="L2162" i="51"/>
  <c r="N2162" i="51"/>
  <c r="O2162" i="51"/>
  <c r="P2162" i="51"/>
  <c r="Q2162" i="51"/>
  <c r="L2163" i="51"/>
  <c r="N2163" i="51"/>
  <c r="O2163" i="51"/>
  <c r="P2163" i="51"/>
  <c r="Q2163" i="51"/>
  <c r="L2164" i="51"/>
  <c r="N2164" i="51"/>
  <c r="O2164" i="51"/>
  <c r="P2164" i="51"/>
  <c r="Q2164" i="51"/>
  <c r="L2165" i="51"/>
  <c r="N2165" i="51"/>
  <c r="O2165" i="51"/>
  <c r="P2165" i="51"/>
  <c r="Q2165" i="51"/>
  <c r="L2166" i="51"/>
  <c r="N2166" i="51"/>
  <c r="O2166" i="51"/>
  <c r="P2166" i="51"/>
  <c r="Q2166" i="51"/>
  <c r="L2167" i="51"/>
  <c r="N2167" i="51"/>
  <c r="O2167" i="51"/>
  <c r="P2167" i="51"/>
  <c r="Q2167" i="51"/>
  <c r="L2168" i="51"/>
  <c r="N2168" i="51"/>
  <c r="O2168" i="51"/>
  <c r="P2168" i="51"/>
  <c r="Q2168" i="51"/>
  <c r="L2169" i="51"/>
  <c r="N2169" i="51"/>
  <c r="O2169" i="51"/>
  <c r="P2169" i="51"/>
  <c r="Q2169" i="51"/>
  <c r="L3" i="51"/>
  <c r="N3" i="51"/>
  <c r="O3" i="51"/>
  <c r="P3" i="51"/>
  <c r="Q3" i="51"/>
  <c r="L4" i="51"/>
  <c r="N4" i="51"/>
  <c r="O4" i="51"/>
  <c r="P4" i="51"/>
  <c r="Q4" i="51"/>
  <c r="L5" i="51"/>
  <c r="N5" i="51"/>
  <c r="O5" i="51"/>
  <c r="P5" i="51"/>
  <c r="Q5" i="51"/>
  <c r="L6" i="51"/>
  <c r="N6" i="51"/>
  <c r="O6" i="51"/>
  <c r="P6" i="51"/>
  <c r="Q6" i="51"/>
  <c r="L7" i="51"/>
  <c r="N7" i="51"/>
  <c r="O7" i="51"/>
  <c r="P7" i="51"/>
  <c r="Q7" i="51"/>
  <c r="L8" i="51"/>
  <c r="N8" i="51"/>
  <c r="O8" i="51"/>
  <c r="P8" i="51"/>
  <c r="Q8" i="51"/>
  <c r="L9" i="51"/>
  <c r="N9" i="51"/>
  <c r="O9" i="51"/>
  <c r="P9" i="51"/>
  <c r="Q9" i="51"/>
  <c r="L10" i="51"/>
  <c r="N10" i="51"/>
  <c r="O10" i="51"/>
  <c r="P10" i="51"/>
  <c r="Q10" i="51"/>
  <c r="L11" i="51"/>
  <c r="N11" i="51"/>
  <c r="O11" i="51"/>
  <c r="P11" i="51"/>
  <c r="Q11" i="51"/>
  <c r="L12" i="51"/>
  <c r="N12" i="51"/>
  <c r="O12" i="51"/>
  <c r="P12" i="51"/>
  <c r="Q12" i="51"/>
  <c r="L2" i="51"/>
  <c r="N2" i="51"/>
  <c r="O2" i="51"/>
  <c r="P2" i="51"/>
  <c r="Q2" i="51"/>
  <c r="T2" i="31"/>
  <c r="T3" i="31"/>
  <c r="U3" i="31"/>
  <c r="T4" i="31"/>
  <c r="U4" i="31"/>
  <c r="U2" i="31"/>
  <c r="O3" i="31"/>
  <c r="O4" i="31"/>
  <c r="O5" i="31"/>
  <c r="O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74" i="31"/>
  <c r="O75" i="31"/>
  <c r="O76" i="31"/>
  <c r="O77" i="31"/>
  <c r="O78" i="31"/>
  <c r="O79" i="31"/>
  <c r="O80" i="31"/>
  <c r="O2" i="31"/>
  <c r="M3" i="31"/>
  <c r="M4" i="31"/>
  <c r="M5" i="31"/>
  <c r="M6" i="31"/>
  <c r="M7" i="31"/>
  <c r="M8" i="31"/>
  <c r="M9" i="31"/>
  <c r="M10" i="31"/>
  <c r="M11" i="31"/>
  <c r="M12" i="31"/>
  <c r="M13" i="31"/>
  <c r="M14" i="31"/>
  <c r="M15" i="31"/>
  <c r="M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M62" i="31"/>
  <c r="M63" i="31"/>
  <c r="M64" i="31"/>
  <c r="M65" i="31"/>
  <c r="M66" i="31"/>
  <c r="M67" i="31"/>
  <c r="M68" i="31"/>
  <c r="M69" i="31"/>
  <c r="M70" i="31"/>
  <c r="M71" i="31"/>
  <c r="M72" i="31"/>
  <c r="M73" i="31"/>
  <c r="M74" i="31"/>
  <c r="M75" i="31"/>
  <c r="M76" i="31"/>
  <c r="M77" i="31"/>
  <c r="M78" i="31"/>
  <c r="M79" i="31"/>
  <c r="M80" i="31"/>
  <c r="M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2" i="31"/>
  <c r="H2" i="32"/>
  <c r="E4" i="32" s="1"/>
  <c r="D5" i="32"/>
  <c r="D4" i="32"/>
  <c r="D3" i="32"/>
  <c r="E3" i="32" l="1"/>
  <c r="E5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Cruz</author>
  </authors>
  <commentList>
    <comment ref="J1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Roberto Cruz:</t>
        </r>
        <r>
          <rPr>
            <sz val="9"/>
            <color indexed="81"/>
            <rFont val="Segoe UI"/>
            <family val="2"/>
          </rPr>
          <t xml:space="preserve">
para frequencia de visitas 2 deve-se transportar a metade do valor requerido por viagem considerando o arredondamento inteiro do valor para cima.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Cruz</author>
  </authors>
  <commentList>
    <comment ref="Z1" authorId="0" shapeId="0" xr:uid="{CE69C130-6C12-4E70-90CB-0E4B3B1D3CA1}">
      <text>
        <r>
          <rPr>
            <b/>
            <sz val="9"/>
            <color indexed="81"/>
            <rFont val="Segoe UI"/>
            <family val="2"/>
          </rPr>
          <t>Roberto Cruz:</t>
        </r>
        <r>
          <rPr>
            <sz val="9"/>
            <color indexed="81"/>
            <rFont val="Segoe UI"/>
            <family val="2"/>
          </rPr>
          <t xml:space="preserve">
para frequencia de visitas 2 deve-se transportar a metade do valor requerido por viagem considerando o arredondamento inteiro do valor para cima.</t>
        </r>
      </text>
    </comment>
  </commentList>
</comments>
</file>

<file path=xl/sharedStrings.xml><?xml version="1.0" encoding="utf-8"?>
<sst xmlns="http://schemas.openxmlformats.org/spreadsheetml/2006/main" count="9625" uniqueCount="61">
  <si>
    <t>Freq</t>
  </si>
  <si>
    <t>ID</t>
  </si>
  <si>
    <t>Seg</t>
  </si>
  <si>
    <t>Ter</t>
  </si>
  <si>
    <t>Qua</t>
  </si>
  <si>
    <t>Qui</t>
  </si>
  <si>
    <t>Sex</t>
  </si>
  <si>
    <t>Sab</t>
  </si>
  <si>
    <t>Dom</t>
  </si>
  <si>
    <t>S</t>
  </si>
  <si>
    <t>L</t>
  </si>
  <si>
    <t>x</t>
  </si>
  <si>
    <t>Portos</t>
  </si>
  <si>
    <t>Plataformas</t>
  </si>
  <si>
    <t>i</t>
  </si>
  <si>
    <t>j</t>
  </si>
  <si>
    <t>Q</t>
  </si>
  <si>
    <t>X (km)</t>
  </si>
  <si>
    <t>Y (km)</t>
  </si>
  <si>
    <t>id</t>
  </si>
  <si>
    <t>Dj</t>
  </si>
  <si>
    <t>Fj</t>
  </si>
  <si>
    <t>CV</t>
  </si>
  <si>
    <t>Navio</t>
  </si>
  <si>
    <t>POj</t>
  </si>
  <si>
    <t>0.002</t>
  </si>
  <si>
    <t>CHi</t>
  </si>
  <si>
    <t>CR</t>
  </si>
  <si>
    <t>capacidade (m²)</t>
  </si>
  <si>
    <t>custo fixo (MMR$)</t>
  </si>
  <si>
    <t>custo var (MMR$/km)</t>
  </si>
  <si>
    <t>consumo médio</t>
  </si>
  <si>
    <t>preço MDO (USD/MT)</t>
  </si>
  <si>
    <t>1 (PSV 4500)</t>
  </si>
  <si>
    <t>2 (PSV 3000)</t>
  </si>
  <si>
    <t>3 (PSV 1500)</t>
  </si>
  <si>
    <t>peso especifico (MT/m³)</t>
  </si>
  <si>
    <t>velocidade (knots)</t>
  </si>
  <si>
    <t>m³/dia</t>
  </si>
  <si>
    <t>dolar (R$/USD)</t>
  </si>
  <si>
    <t>distância (km/dia)</t>
  </si>
  <si>
    <t>FAR</t>
  </si>
  <si>
    <t>O1</t>
  </si>
  <si>
    <t>O2</t>
  </si>
  <si>
    <t>O3</t>
  </si>
  <si>
    <t>O4</t>
  </si>
  <si>
    <t>O5</t>
  </si>
  <si>
    <t>O6</t>
  </si>
  <si>
    <t>O7</t>
  </si>
  <si>
    <t>O8</t>
  </si>
  <si>
    <t/>
  </si>
  <si>
    <t>ROTA</t>
  </si>
  <si>
    <t>Demanda</t>
  </si>
  <si>
    <t>Dist</t>
  </si>
  <si>
    <t>2 de cada</t>
  </si>
  <si>
    <t>v</t>
  </si>
  <si>
    <t>km/h</t>
  </si>
  <si>
    <t xml:space="preserve">Dif </t>
  </si>
  <si>
    <t>Tempo</t>
  </si>
  <si>
    <t>h</t>
  </si>
  <si>
    <t>Maior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</si>
</sst>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5" borderId="0" xfId="0" applyFont="1" applyFill="1"/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7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7C8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Clusters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Porto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PC!$C$2</c:f>
              <c:numCache>
                <c:formatCode>0</c:formatCode>
                <c:ptCount val="1"/>
                <c:pt idx="0">
                  <c:v>143</c:v>
                </c:pt>
              </c:numCache>
            </c:numRef>
          </c:xVal>
          <c:yVal>
            <c:numRef>
              <c:f>PC!$D$2</c:f>
              <c:numCache>
                <c:formatCode>0</c:formatCode>
                <c:ptCount val="1"/>
                <c:pt idx="0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21-4CCA-B5E4-23F7D97E9454}"/>
            </c:ext>
          </c:extLst>
        </c:ser>
        <c:ser>
          <c:idx val="0"/>
          <c:order val="1"/>
          <c:tx>
            <c:strRef>
              <c:f>PC!$Q$2</c:f>
              <c:strCache>
                <c:ptCount val="1"/>
                <c:pt idx="0">
                  <c:v>FAR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PC!$H$2:$H$7</c:f>
              <c:numCache>
                <c:formatCode>0</c:formatCode>
                <c:ptCount val="6"/>
                <c:pt idx="0">
                  <c:v>229.30200503454751</c:v>
                </c:pt>
                <c:pt idx="1">
                  <c:v>229.30200503454751</c:v>
                </c:pt>
                <c:pt idx="2">
                  <c:v>229.57228758779911</c:v>
                </c:pt>
                <c:pt idx="3">
                  <c:v>313.99990993169416</c:v>
                </c:pt>
                <c:pt idx="4">
                  <c:v>344.4940299671398</c:v>
                </c:pt>
                <c:pt idx="5">
                  <c:v>355.45884937806653</c:v>
                </c:pt>
              </c:numCache>
            </c:numRef>
          </c:xVal>
          <c:yVal>
            <c:numRef>
              <c:f>PC!$I$2:$I$7</c:f>
              <c:numCache>
                <c:formatCode>0</c:formatCode>
                <c:ptCount val="6"/>
                <c:pt idx="0">
                  <c:v>-60.633043117008697</c:v>
                </c:pt>
                <c:pt idx="1">
                  <c:v>-60.633043117008697</c:v>
                </c:pt>
                <c:pt idx="2">
                  <c:v>-60.087645704107047</c:v>
                </c:pt>
                <c:pt idx="3">
                  <c:v>0.23782953543295696</c:v>
                </c:pt>
                <c:pt idx="4">
                  <c:v>18.677883097380018</c:v>
                </c:pt>
                <c:pt idx="5">
                  <c:v>19.621579926729421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1-4CCA-B5E4-23F7D97E9454}"/>
            </c:ext>
          </c:extLst>
        </c:ser>
        <c:ser>
          <c:idx val="2"/>
          <c:order val="2"/>
          <c:tx>
            <c:strRef>
              <c:f>PC!$Q$3</c:f>
              <c:strCache>
                <c:ptCount val="1"/>
                <c:pt idx="0">
                  <c:v>O1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PC!$H$8:$H$18</c:f>
              <c:numCache>
                <c:formatCode>0</c:formatCode>
                <c:ptCount val="11"/>
                <c:pt idx="0">
                  <c:v>238.50963537511944</c:v>
                </c:pt>
                <c:pt idx="1">
                  <c:v>238.62360758107164</c:v>
                </c:pt>
                <c:pt idx="2">
                  <c:v>239.14687536519585</c:v>
                </c:pt>
                <c:pt idx="3">
                  <c:v>248.96031731277102</c:v>
                </c:pt>
                <c:pt idx="4">
                  <c:v>256.28886512070187</c:v>
                </c:pt>
                <c:pt idx="5">
                  <c:v>259.26155890987241</c:v>
                </c:pt>
                <c:pt idx="6">
                  <c:v>266.05221473342749</c:v>
                </c:pt>
                <c:pt idx="7">
                  <c:v>267.27412515607722</c:v>
                </c:pt>
                <c:pt idx="8">
                  <c:v>273.8212186350645</c:v>
                </c:pt>
                <c:pt idx="9">
                  <c:v>279.95576015018912</c:v>
                </c:pt>
                <c:pt idx="10">
                  <c:v>280.89730749734974</c:v>
                </c:pt>
              </c:numCache>
            </c:numRef>
          </c:xVal>
          <c:yVal>
            <c:numRef>
              <c:f>PC!$I$8:$I$18</c:f>
              <c:numCache>
                <c:formatCode>0</c:formatCode>
                <c:ptCount val="11"/>
                <c:pt idx="0">
                  <c:v>39.054397302299463</c:v>
                </c:pt>
                <c:pt idx="1">
                  <c:v>42.574102660747563</c:v>
                </c:pt>
                <c:pt idx="2">
                  <c:v>55.704432898907932</c:v>
                </c:pt>
                <c:pt idx="3">
                  <c:v>57.964534799924436</c:v>
                </c:pt>
                <c:pt idx="4">
                  <c:v>50.940537137377511</c:v>
                </c:pt>
                <c:pt idx="5">
                  <c:v>36.792460964486558</c:v>
                </c:pt>
                <c:pt idx="6">
                  <c:v>46.0023807583717</c:v>
                </c:pt>
                <c:pt idx="7">
                  <c:v>26.677578592380602</c:v>
                </c:pt>
                <c:pt idx="8">
                  <c:v>34.611273094299783</c:v>
                </c:pt>
                <c:pt idx="9">
                  <c:v>33.893544499355741</c:v>
                </c:pt>
                <c:pt idx="10">
                  <c:v>41.36932116347883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21-4CCA-B5E4-23F7D97E9454}"/>
            </c:ext>
          </c:extLst>
        </c:ser>
        <c:ser>
          <c:idx val="3"/>
          <c:order val="3"/>
          <c:tx>
            <c:strRef>
              <c:f>PC!$Q$4</c:f>
              <c:strCache>
                <c:ptCount val="1"/>
                <c:pt idx="0">
                  <c:v>O2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PC!$H$19:$H$25</c:f>
              <c:numCache>
                <c:formatCode>0</c:formatCode>
                <c:ptCount val="7"/>
                <c:pt idx="0">
                  <c:v>253.82685852676187</c:v>
                </c:pt>
                <c:pt idx="1">
                  <c:v>253.97938694965254</c:v>
                </c:pt>
                <c:pt idx="2">
                  <c:v>255.83402929555405</c:v>
                </c:pt>
                <c:pt idx="3">
                  <c:v>256.17111990125778</c:v>
                </c:pt>
                <c:pt idx="4">
                  <c:v>273.1447375058936</c:v>
                </c:pt>
                <c:pt idx="5">
                  <c:v>274.66646345668971</c:v>
                </c:pt>
                <c:pt idx="6">
                  <c:v>278.45615371394206</c:v>
                </c:pt>
              </c:numCache>
            </c:numRef>
          </c:xVal>
          <c:yVal>
            <c:numRef>
              <c:f>PC!$I$19:$I$25</c:f>
              <c:numCache>
                <c:formatCode>0</c:formatCode>
                <c:ptCount val="7"/>
                <c:pt idx="0">
                  <c:v>94.058136455273683</c:v>
                </c:pt>
                <c:pt idx="1">
                  <c:v>96.925049252755301</c:v>
                </c:pt>
                <c:pt idx="2">
                  <c:v>84.147047030699028</c:v>
                </c:pt>
                <c:pt idx="3">
                  <c:v>83.807770469863542</c:v>
                </c:pt>
                <c:pt idx="4">
                  <c:v>86.812098327710629</c:v>
                </c:pt>
                <c:pt idx="5">
                  <c:v>96.454583337725225</c:v>
                </c:pt>
                <c:pt idx="6">
                  <c:v>90.765927876878393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21-4CCA-B5E4-23F7D97E9454}"/>
            </c:ext>
          </c:extLst>
        </c:ser>
        <c:ser>
          <c:idx val="4"/>
          <c:order val="4"/>
          <c:tx>
            <c:strRef>
              <c:f>PC!$Q$5</c:f>
              <c:strCache>
                <c:ptCount val="1"/>
                <c:pt idx="0">
                  <c:v>O3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PC!$H$26:$H$34</c:f>
              <c:numCache>
                <c:formatCode>0</c:formatCode>
                <c:ptCount val="9"/>
                <c:pt idx="0">
                  <c:v>261.0779197030995</c:v>
                </c:pt>
                <c:pt idx="1">
                  <c:v>271.20317973778356</c:v>
                </c:pt>
                <c:pt idx="2">
                  <c:v>271.55693356536085</c:v>
                </c:pt>
                <c:pt idx="3">
                  <c:v>274.33102494064485</c:v>
                </c:pt>
                <c:pt idx="4">
                  <c:v>277.65785405914522</c:v>
                </c:pt>
                <c:pt idx="5">
                  <c:v>280.09542641966402</c:v>
                </c:pt>
                <c:pt idx="6">
                  <c:v>280.16984299066172</c:v>
                </c:pt>
                <c:pt idx="7">
                  <c:v>280.29338691419423</c:v>
                </c:pt>
                <c:pt idx="8">
                  <c:v>282.58651232831761</c:v>
                </c:pt>
              </c:numCache>
            </c:numRef>
          </c:xVal>
          <c:yVal>
            <c:numRef>
              <c:f>PC!$I$26:$I$34</c:f>
              <c:numCache>
                <c:formatCode>0</c:formatCode>
                <c:ptCount val="9"/>
                <c:pt idx="0">
                  <c:v>64.328008256966683</c:v>
                </c:pt>
                <c:pt idx="1">
                  <c:v>69.633578825990668</c:v>
                </c:pt>
                <c:pt idx="2">
                  <c:v>68.240983525871087</c:v>
                </c:pt>
                <c:pt idx="3">
                  <c:v>56.057905374847138</c:v>
                </c:pt>
                <c:pt idx="4">
                  <c:v>54.727653697837574</c:v>
                </c:pt>
                <c:pt idx="5">
                  <c:v>54.279292455057316</c:v>
                </c:pt>
                <c:pt idx="6">
                  <c:v>54.292032989358141</c:v>
                </c:pt>
                <c:pt idx="7">
                  <c:v>56.84731525912035</c:v>
                </c:pt>
                <c:pt idx="8">
                  <c:v>55.178803754537533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21-4CCA-B5E4-23F7D97E9454}"/>
            </c:ext>
          </c:extLst>
        </c:ser>
        <c:ser>
          <c:idx val="5"/>
          <c:order val="5"/>
          <c:tx>
            <c:strRef>
              <c:f>PC!$Q$6</c:f>
              <c:strCache>
                <c:ptCount val="1"/>
                <c:pt idx="0">
                  <c:v>O4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PC!$H$35:$H$42</c:f>
              <c:numCache>
                <c:formatCode>0</c:formatCode>
                <c:ptCount val="8"/>
                <c:pt idx="0">
                  <c:v>291.6402119953139</c:v>
                </c:pt>
                <c:pt idx="1">
                  <c:v>295.62971629034115</c:v>
                </c:pt>
                <c:pt idx="2">
                  <c:v>296.95331126761499</c:v>
                </c:pt>
                <c:pt idx="3">
                  <c:v>296.97428689541709</c:v>
                </c:pt>
                <c:pt idx="4">
                  <c:v>298.12772604722471</c:v>
                </c:pt>
                <c:pt idx="5">
                  <c:v>298.86672650236659</c:v>
                </c:pt>
                <c:pt idx="6">
                  <c:v>299.63075816670232</c:v>
                </c:pt>
                <c:pt idx="7">
                  <c:v>301.83307477458123</c:v>
                </c:pt>
              </c:numCache>
            </c:numRef>
          </c:xVal>
          <c:yVal>
            <c:numRef>
              <c:f>PC!$I$35:$I$42</c:f>
              <c:numCache>
                <c:formatCode>0</c:formatCode>
                <c:ptCount val="8"/>
                <c:pt idx="0">
                  <c:v>50.616072025872796</c:v>
                </c:pt>
                <c:pt idx="1">
                  <c:v>58.073069733265378</c:v>
                </c:pt>
                <c:pt idx="2">
                  <c:v>59.893363067344836</c:v>
                </c:pt>
                <c:pt idx="3">
                  <c:v>53.493812082482982</c:v>
                </c:pt>
                <c:pt idx="4">
                  <c:v>60.751534399457711</c:v>
                </c:pt>
                <c:pt idx="5">
                  <c:v>65.099978969969101</c:v>
                </c:pt>
                <c:pt idx="6">
                  <c:v>67.218866469909969</c:v>
                </c:pt>
                <c:pt idx="7">
                  <c:v>74.951951089495054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21-4CCA-B5E4-23F7D97E9454}"/>
            </c:ext>
          </c:extLst>
        </c:ser>
        <c:ser>
          <c:idx val="6"/>
          <c:order val="6"/>
          <c:tx>
            <c:strRef>
              <c:f>PC!$Q$7</c:f>
              <c:strCache>
                <c:ptCount val="1"/>
                <c:pt idx="0">
                  <c:v>O5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PC!$H$43:$H$50</c:f>
              <c:numCache>
                <c:formatCode>0</c:formatCode>
                <c:ptCount val="8"/>
                <c:pt idx="0">
                  <c:v>299.58002484013491</c:v>
                </c:pt>
                <c:pt idx="1">
                  <c:v>302.66913591291711</c:v>
                </c:pt>
                <c:pt idx="2">
                  <c:v>304.93451772597047</c:v>
                </c:pt>
                <c:pt idx="3">
                  <c:v>308.41777550242728</c:v>
                </c:pt>
                <c:pt idx="4">
                  <c:v>308.60521441239564</c:v>
                </c:pt>
                <c:pt idx="5">
                  <c:v>317.76115120391955</c:v>
                </c:pt>
                <c:pt idx="6">
                  <c:v>318.78588372100916</c:v>
                </c:pt>
                <c:pt idx="7">
                  <c:v>320.82745764204839</c:v>
                </c:pt>
              </c:numCache>
            </c:numRef>
          </c:xVal>
          <c:yVal>
            <c:numRef>
              <c:f>PC!$I$43:$I$50</c:f>
              <c:numCache>
                <c:formatCode>0</c:formatCode>
                <c:ptCount val="8"/>
                <c:pt idx="0">
                  <c:v>41.531245279030067</c:v>
                </c:pt>
                <c:pt idx="1">
                  <c:v>45.577987488217346</c:v>
                </c:pt>
                <c:pt idx="2">
                  <c:v>43.346740352993152</c:v>
                </c:pt>
                <c:pt idx="3">
                  <c:v>37.496528008674701</c:v>
                </c:pt>
                <c:pt idx="4">
                  <c:v>38.520405468781711</c:v>
                </c:pt>
                <c:pt idx="5">
                  <c:v>37.786912887397882</c:v>
                </c:pt>
                <c:pt idx="6">
                  <c:v>37.637220144628344</c:v>
                </c:pt>
                <c:pt idx="7">
                  <c:v>37.247705611796874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821-4CCA-B5E4-23F7D97E9454}"/>
            </c:ext>
          </c:extLst>
        </c:ser>
        <c:ser>
          <c:idx val="7"/>
          <c:order val="7"/>
          <c:tx>
            <c:strRef>
              <c:f>PC!$Q$8</c:f>
              <c:strCache>
                <c:ptCount val="1"/>
                <c:pt idx="0">
                  <c:v>O6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PC!$H$51:$H$60</c:f>
              <c:numCache>
                <c:formatCode>0</c:formatCode>
                <c:ptCount val="10"/>
                <c:pt idx="0">
                  <c:v>313.3560244282458</c:v>
                </c:pt>
                <c:pt idx="1">
                  <c:v>314.27140641568718</c:v>
                </c:pt>
                <c:pt idx="2">
                  <c:v>315.62632034168314</c:v>
                </c:pt>
                <c:pt idx="3">
                  <c:v>317.58527676921932</c:v>
                </c:pt>
                <c:pt idx="4">
                  <c:v>318.22902348501771</c:v>
                </c:pt>
                <c:pt idx="5">
                  <c:v>323.09165427338382</c:v>
                </c:pt>
                <c:pt idx="6">
                  <c:v>327.63504935533552</c:v>
                </c:pt>
                <c:pt idx="7">
                  <c:v>330.2247369166393</c:v>
                </c:pt>
                <c:pt idx="8">
                  <c:v>335.68588574332102</c:v>
                </c:pt>
                <c:pt idx="9">
                  <c:v>335.71822937286294</c:v>
                </c:pt>
              </c:numCache>
            </c:numRef>
          </c:xVal>
          <c:yVal>
            <c:numRef>
              <c:f>PC!$I$51:$I$60</c:f>
              <c:numCache>
                <c:formatCode>0</c:formatCode>
                <c:ptCount val="10"/>
                <c:pt idx="0">
                  <c:v>64.316122793834708</c:v>
                </c:pt>
                <c:pt idx="1">
                  <c:v>60.278380116804406</c:v>
                </c:pt>
                <c:pt idx="2">
                  <c:v>52.725950987812595</c:v>
                </c:pt>
                <c:pt idx="3">
                  <c:v>51.891953423107573</c:v>
                </c:pt>
                <c:pt idx="4">
                  <c:v>66.682334603106625</c:v>
                </c:pt>
                <c:pt idx="5">
                  <c:v>69.074871813534216</c:v>
                </c:pt>
                <c:pt idx="6">
                  <c:v>54.447954474525964</c:v>
                </c:pt>
                <c:pt idx="7">
                  <c:v>60.724158360665655</c:v>
                </c:pt>
                <c:pt idx="8">
                  <c:v>65.413959616598717</c:v>
                </c:pt>
                <c:pt idx="9">
                  <c:v>53.78912963368883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21-4CCA-B5E4-23F7D97E9454}"/>
            </c:ext>
          </c:extLst>
        </c:ser>
        <c:ser>
          <c:idx val="8"/>
          <c:order val="8"/>
          <c:tx>
            <c:strRef>
              <c:f>PC!$Q$9</c:f>
              <c:strCache>
                <c:ptCount val="1"/>
                <c:pt idx="0">
                  <c:v>O7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PC!$H$61:$H$72</c:f>
              <c:numCache>
                <c:formatCode>0</c:formatCode>
                <c:ptCount val="12"/>
                <c:pt idx="0">
                  <c:v>309.54958654683378</c:v>
                </c:pt>
                <c:pt idx="1">
                  <c:v>312.89735091193506</c:v>
                </c:pt>
                <c:pt idx="2">
                  <c:v>313.66052544226898</c:v>
                </c:pt>
                <c:pt idx="3">
                  <c:v>316.91247174419232</c:v>
                </c:pt>
                <c:pt idx="4">
                  <c:v>317.38171528957741</c:v>
                </c:pt>
                <c:pt idx="5">
                  <c:v>318.92601197985658</c:v>
                </c:pt>
                <c:pt idx="6">
                  <c:v>320.30427871708173</c:v>
                </c:pt>
                <c:pt idx="7">
                  <c:v>320.63655491128873</c:v>
                </c:pt>
                <c:pt idx="8">
                  <c:v>323.61373916791587</c:v>
                </c:pt>
                <c:pt idx="9">
                  <c:v>329.76857850421243</c:v>
                </c:pt>
                <c:pt idx="10">
                  <c:v>331.0183397839366</c:v>
                </c:pt>
                <c:pt idx="11">
                  <c:v>332.29949526511331</c:v>
                </c:pt>
              </c:numCache>
            </c:numRef>
          </c:xVal>
          <c:yVal>
            <c:numRef>
              <c:f>PC!$I$61:$I$72</c:f>
              <c:numCache>
                <c:formatCode>0</c:formatCode>
                <c:ptCount val="12"/>
                <c:pt idx="0">
                  <c:v>81.111364608692355</c:v>
                </c:pt>
                <c:pt idx="1">
                  <c:v>81.950901993353639</c:v>
                </c:pt>
                <c:pt idx="2">
                  <c:v>93.61993621136773</c:v>
                </c:pt>
                <c:pt idx="3">
                  <c:v>84.838688492800529</c:v>
                </c:pt>
                <c:pt idx="4">
                  <c:v>93.971337653237754</c:v>
                </c:pt>
                <c:pt idx="5">
                  <c:v>93.603431499460697</c:v>
                </c:pt>
                <c:pt idx="6">
                  <c:v>79.405094518739801</c:v>
                </c:pt>
                <c:pt idx="7">
                  <c:v>78.052544190565101</c:v>
                </c:pt>
                <c:pt idx="8">
                  <c:v>100.53151533665427</c:v>
                </c:pt>
                <c:pt idx="9">
                  <c:v>80.443069527382008</c:v>
                </c:pt>
                <c:pt idx="10">
                  <c:v>85.40224156511789</c:v>
                </c:pt>
                <c:pt idx="11">
                  <c:v>82.976828226453094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21-4CCA-B5E4-23F7D97E9454}"/>
            </c:ext>
          </c:extLst>
        </c:ser>
        <c:ser>
          <c:idx val="9"/>
          <c:order val="9"/>
          <c:tx>
            <c:strRef>
              <c:f>PC!$Q$10</c:f>
              <c:strCache>
                <c:ptCount val="1"/>
                <c:pt idx="0">
                  <c:v>O8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PC!$H$73:$H$80</c:f>
              <c:numCache>
                <c:formatCode>0</c:formatCode>
                <c:ptCount val="8"/>
                <c:pt idx="0">
                  <c:v>344.07278061076187</c:v>
                </c:pt>
                <c:pt idx="1">
                  <c:v>345.32847733269944</c:v>
                </c:pt>
                <c:pt idx="2">
                  <c:v>348.83263622622866</c:v>
                </c:pt>
                <c:pt idx="3">
                  <c:v>351.67024516615339</c:v>
                </c:pt>
                <c:pt idx="4">
                  <c:v>354.46844381007531</c:v>
                </c:pt>
                <c:pt idx="5">
                  <c:v>355.89885017762288</c:v>
                </c:pt>
                <c:pt idx="6">
                  <c:v>356.51462447458147</c:v>
                </c:pt>
                <c:pt idx="7">
                  <c:v>357.68914786997556</c:v>
                </c:pt>
              </c:numCache>
            </c:numRef>
          </c:xVal>
          <c:yVal>
            <c:numRef>
              <c:f>PC!$I$73:$I$80</c:f>
              <c:numCache>
                <c:formatCode>0</c:formatCode>
                <c:ptCount val="8"/>
                <c:pt idx="0">
                  <c:v>64.139860015270941</c:v>
                </c:pt>
                <c:pt idx="1">
                  <c:v>62.843000748526634</c:v>
                </c:pt>
                <c:pt idx="2">
                  <c:v>77.905067832636604</c:v>
                </c:pt>
                <c:pt idx="3">
                  <c:v>76.993757310431079</c:v>
                </c:pt>
                <c:pt idx="4">
                  <c:v>78.237601847599379</c:v>
                </c:pt>
                <c:pt idx="5">
                  <c:v>71.859105602103924</c:v>
                </c:pt>
                <c:pt idx="6">
                  <c:v>87.099497907554934</c:v>
                </c:pt>
                <c:pt idx="7">
                  <c:v>82.143006373341137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21-4CCA-B5E4-23F7D97E9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00984"/>
        <c:axId val="393801640"/>
      </c:scatterChart>
      <c:valAx>
        <c:axId val="393800984"/>
        <c:scaling>
          <c:orientation val="minMax"/>
          <c:max val="360"/>
          <c:min val="14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801640"/>
        <c:crosses val="autoZero"/>
        <c:crossBetween val="midCat"/>
        <c:majorUnit val="10"/>
      </c:valAx>
      <c:valAx>
        <c:axId val="393801640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800984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Gráfico18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52F291-63C1-4B06-B024-00F44D3C9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K7"/>
  <sheetViews>
    <sheetView showGridLines="0" topLeftCell="C1" workbookViewId="0">
      <selection activeCell="K5" sqref="K5"/>
    </sheetView>
  </sheetViews>
  <sheetFormatPr defaultColWidth="20.44140625" defaultRowHeight="14.4" x14ac:dyDescent="0.3"/>
  <cols>
    <col min="1" max="3" width="20.44140625" customWidth="1"/>
    <col min="6" max="6" width="23.44140625" customWidth="1"/>
    <col min="7" max="8" width="23.44140625" style="1" customWidth="1"/>
  </cols>
  <sheetData>
    <row r="1" spans="1:11" ht="15" thickBot="1" x14ac:dyDescent="0.35">
      <c r="A1" s="13" t="s">
        <v>23</v>
      </c>
      <c r="B1" s="24" t="s">
        <v>29</v>
      </c>
      <c r="C1" s="25" t="s">
        <v>28</v>
      </c>
      <c r="D1" s="24" t="s">
        <v>30</v>
      </c>
      <c r="F1" s="1" t="s">
        <v>31</v>
      </c>
      <c r="G1" s="1" t="s">
        <v>32</v>
      </c>
      <c r="H1" s="1" t="s">
        <v>40</v>
      </c>
    </row>
    <row r="2" spans="1:11" x14ac:dyDescent="0.3">
      <c r="A2" s="22" t="s">
        <v>1</v>
      </c>
      <c r="B2" s="22" t="s">
        <v>22</v>
      </c>
      <c r="C2" s="22" t="s">
        <v>16</v>
      </c>
      <c r="D2" s="24" t="s">
        <v>27</v>
      </c>
      <c r="F2" s="1" t="s">
        <v>38</v>
      </c>
      <c r="G2" s="6">
        <v>400</v>
      </c>
      <c r="H2" s="1">
        <f>H4*1.8*24</f>
        <v>432</v>
      </c>
    </row>
    <row r="3" spans="1:11" x14ac:dyDescent="0.3">
      <c r="A3" s="22" t="s">
        <v>33</v>
      </c>
      <c r="B3" s="22">
        <v>38</v>
      </c>
      <c r="C3" s="22">
        <v>900</v>
      </c>
      <c r="D3" s="22">
        <f>((16/432)*0.85*400*4)*(52/1000000)</f>
        <v>2.6192592592592591E-3</v>
      </c>
      <c r="E3" s="22">
        <f>(F3/$H$2)*$G$4*$G$2*$G$6*52/1000000</f>
        <v>2.6192592592592591E-3</v>
      </c>
      <c r="F3" s="1">
        <v>16</v>
      </c>
      <c r="G3" s="1" t="s">
        <v>36</v>
      </c>
      <c r="H3" s="1" t="s">
        <v>37</v>
      </c>
      <c r="J3" t="s">
        <v>55</v>
      </c>
    </row>
    <row r="4" spans="1:11" x14ac:dyDescent="0.3">
      <c r="A4" s="22" t="s">
        <v>34</v>
      </c>
      <c r="B4" s="22">
        <v>33</v>
      </c>
      <c r="C4" s="22">
        <v>600</v>
      </c>
      <c r="D4" s="22">
        <f>((14/432)*0.85*400*4)*(52/1000000)</f>
        <v>2.2918518518518513E-3</v>
      </c>
      <c r="E4" s="22">
        <f t="shared" ref="E4:E5" si="0">(F4/$H$2)*$G$4*$G$2*$G$6*52/1000000</f>
        <v>2.2918518518518518E-3</v>
      </c>
      <c r="F4" s="1">
        <v>14</v>
      </c>
      <c r="G4" s="1">
        <v>0.85</v>
      </c>
      <c r="H4" s="1">
        <v>10</v>
      </c>
      <c r="I4" s="1">
        <f>H4*0.514444</f>
        <v>5.1444400000000003</v>
      </c>
      <c r="J4">
        <f>I4*3.6</f>
        <v>18.519984000000001</v>
      </c>
      <c r="K4" t="s">
        <v>56</v>
      </c>
    </row>
    <row r="5" spans="1:11" x14ac:dyDescent="0.3">
      <c r="A5" s="22" t="s">
        <v>35</v>
      </c>
      <c r="B5" s="22">
        <v>25</v>
      </c>
      <c r="C5" s="22">
        <v>300</v>
      </c>
      <c r="D5" s="22">
        <f>((12/432)*0.85*400*4)*(52/1000000)</f>
        <v>1.9644444444444444E-3</v>
      </c>
      <c r="E5" s="22">
        <f t="shared" si="0"/>
        <v>1.9644444444444444E-3</v>
      </c>
      <c r="F5" s="1">
        <v>12</v>
      </c>
      <c r="G5" s="1" t="s">
        <v>39</v>
      </c>
    </row>
    <row r="6" spans="1:11" x14ac:dyDescent="0.3">
      <c r="G6" s="1">
        <v>4</v>
      </c>
    </row>
    <row r="7" spans="1:11" x14ac:dyDescent="0.3">
      <c r="A7" s="1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I25"/>
  <sheetViews>
    <sheetView topLeftCell="A2" workbookViewId="0">
      <selection activeCell="C19" sqref="C19"/>
    </sheetView>
  </sheetViews>
  <sheetFormatPr defaultRowHeight="14.4" x14ac:dyDescent="0.3"/>
  <cols>
    <col min="3" max="9" width="9.109375" style="1"/>
  </cols>
  <sheetData>
    <row r="2" spans="1:9" x14ac:dyDescent="0.3">
      <c r="A2" s="4" t="s">
        <v>9</v>
      </c>
      <c r="B2" s="4" t="s">
        <v>10</v>
      </c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</row>
    <row r="3" spans="1:9" x14ac:dyDescent="0.3">
      <c r="A3" s="1" t="s">
        <v>1</v>
      </c>
      <c r="B3" s="1" t="s">
        <v>0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</row>
    <row r="4" spans="1:9" x14ac:dyDescent="0.3">
      <c r="A4" s="2">
        <v>0</v>
      </c>
      <c r="B4" s="2">
        <v>1</v>
      </c>
      <c r="C4" s="2" t="s">
        <v>11</v>
      </c>
      <c r="D4" s="2"/>
      <c r="E4" s="2"/>
      <c r="F4" s="2"/>
      <c r="G4" s="2"/>
      <c r="H4" s="2"/>
      <c r="I4" s="2"/>
    </row>
    <row r="5" spans="1:9" x14ac:dyDescent="0.3">
      <c r="A5" s="2">
        <v>1</v>
      </c>
      <c r="B5" s="2">
        <v>1</v>
      </c>
      <c r="C5" s="2"/>
      <c r="D5" s="2" t="s">
        <v>11</v>
      </c>
      <c r="E5" s="2"/>
      <c r="F5" s="2"/>
      <c r="G5" s="2"/>
      <c r="H5" s="2"/>
      <c r="I5" s="2"/>
    </row>
    <row r="6" spans="1:9" x14ac:dyDescent="0.3">
      <c r="A6" s="2">
        <v>2</v>
      </c>
      <c r="B6" s="2">
        <v>1</v>
      </c>
      <c r="C6" s="2"/>
      <c r="D6" s="2"/>
      <c r="E6" s="2" t="s">
        <v>11</v>
      </c>
      <c r="F6" s="2"/>
      <c r="G6" s="2"/>
      <c r="H6" s="2"/>
      <c r="I6" s="2"/>
    </row>
    <row r="7" spans="1:9" x14ac:dyDescent="0.3">
      <c r="A7" s="2">
        <v>3</v>
      </c>
      <c r="B7" s="2">
        <v>1</v>
      </c>
      <c r="C7" s="2"/>
      <c r="D7" s="2"/>
      <c r="E7" s="2"/>
      <c r="F7" s="2" t="s">
        <v>11</v>
      </c>
      <c r="G7" s="2"/>
      <c r="H7" s="2"/>
      <c r="I7" s="2"/>
    </row>
    <row r="8" spans="1:9" x14ac:dyDescent="0.3">
      <c r="A8" s="2">
        <v>4</v>
      </c>
      <c r="B8" s="2">
        <v>1</v>
      </c>
      <c r="C8" s="2"/>
      <c r="D8" s="2"/>
      <c r="E8" s="2"/>
      <c r="F8" s="2"/>
      <c r="G8" s="2" t="s">
        <v>11</v>
      </c>
      <c r="H8" s="2"/>
      <c r="I8" s="2"/>
    </row>
    <row r="9" spans="1:9" x14ac:dyDescent="0.3">
      <c r="A9" s="2">
        <v>5</v>
      </c>
      <c r="B9" s="2">
        <v>1</v>
      </c>
      <c r="C9" s="2"/>
      <c r="D9" s="2"/>
      <c r="E9" s="2"/>
      <c r="F9" s="2"/>
      <c r="G9" s="2"/>
      <c r="H9" s="2" t="s">
        <v>11</v>
      </c>
      <c r="I9" s="2"/>
    </row>
    <row r="10" spans="1:9" x14ac:dyDescent="0.3">
      <c r="A10" s="2">
        <v>6</v>
      </c>
      <c r="B10" s="2">
        <v>1</v>
      </c>
      <c r="C10" s="2"/>
      <c r="D10" s="2"/>
      <c r="E10" s="2"/>
      <c r="F10" s="2"/>
      <c r="G10" s="2"/>
      <c r="H10" s="2"/>
      <c r="I10" s="2" t="s">
        <v>11</v>
      </c>
    </row>
    <row r="11" spans="1:9" x14ac:dyDescent="0.3">
      <c r="A11" s="3">
        <v>7</v>
      </c>
      <c r="B11" s="3">
        <v>2</v>
      </c>
      <c r="C11" s="3" t="s">
        <v>11</v>
      </c>
      <c r="D11" s="3"/>
      <c r="E11" s="3"/>
      <c r="F11" s="3" t="s">
        <v>11</v>
      </c>
      <c r="G11" s="3"/>
      <c r="H11" s="3"/>
      <c r="I11" s="3"/>
    </row>
    <row r="12" spans="1:9" x14ac:dyDescent="0.3">
      <c r="A12" s="3">
        <v>8</v>
      </c>
      <c r="B12" s="3">
        <v>2</v>
      </c>
      <c r="C12" s="3" t="s">
        <v>11</v>
      </c>
      <c r="D12" s="3"/>
      <c r="E12" s="3"/>
      <c r="F12" s="3"/>
      <c r="G12" s="3" t="s">
        <v>11</v>
      </c>
      <c r="H12" s="3"/>
      <c r="I12" s="3"/>
    </row>
    <row r="13" spans="1:9" x14ac:dyDescent="0.3">
      <c r="A13" s="3">
        <v>9</v>
      </c>
      <c r="B13" s="3">
        <v>2</v>
      </c>
      <c r="C13" s="3"/>
      <c r="D13" s="3" t="s">
        <v>11</v>
      </c>
      <c r="E13" s="3"/>
      <c r="F13" s="3"/>
      <c r="G13" s="3" t="s">
        <v>11</v>
      </c>
      <c r="H13" s="3"/>
      <c r="I13" s="3"/>
    </row>
    <row r="14" spans="1:9" x14ac:dyDescent="0.3">
      <c r="A14" s="3">
        <v>10</v>
      </c>
      <c r="B14" s="3">
        <v>2</v>
      </c>
      <c r="C14" s="3"/>
      <c r="D14" s="3" t="s">
        <v>11</v>
      </c>
      <c r="E14" s="3"/>
      <c r="F14" s="3"/>
      <c r="G14" s="3"/>
      <c r="H14" s="3" t="s">
        <v>11</v>
      </c>
      <c r="I14" s="3"/>
    </row>
    <row r="15" spans="1:9" x14ac:dyDescent="0.3">
      <c r="A15" s="3">
        <v>11</v>
      </c>
      <c r="B15" s="3">
        <v>2</v>
      </c>
      <c r="C15" s="3"/>
      <c r="D15" s="3"/>
      <c r="E15" s="3" t="s">
        <v>11</v>
      </c>
      <c r="F15" s="3"/>
      <c r="G15" s="3"/>
      <c r="H15" s="3" t="s">
        <v>11</v>
      </c>
      <c r="I15" s="3"/>
    </row>
    <row r="16" spans="1:9" x14ac:dyDescent="0.3">
      <c r="A16" s="3">
        <v>12</v>
      </c>
      <c r="B16" s="3">
        <v>2</v>
      </c>
      <c r="C16" s="3"/>
      <c r="D16" s="3"/>
      <c r="E16" s="3" t="s">
        <v>11</v>
      </c>
      <c r="F16" s="3"/>
      <c r="G16" s="3"/>
      <c r="H16" s="3"/>
      <c r="I16" s="3" t="s">
        <v>11</v>
      </c>
    </row>
    <row r="17" spans="1:9" x14ac:dyDescent="0.3">
      <c r="A17" s="3">
        <v>13</v>
      </c>
      <c r="B17" s="3">
        <v>2</v>
      </c>
      <c r="C17" s="3"/>
      <c r="D17" s="3"/>
      <c r="E17" s="3"/>
      <c r="F17" s="3" t="s">
        <v>11</v>
      </c>
      <c r="G17" s="3"/>
      <c r="H17" s="3"/>
      <c r="I17" s="3" t="s">
        <v>11</v>
      </c>
    </row>
    <row r="18" spans="1:9" x14ac:dyDescent="0.3">
      <c r="A18" s="2">
        <v>14</v>
      </c>
      <c r="B18" s="2">
        <v>3</v>
      </c>
      <c r="C18" s="2" t="s">
        <v>11</v>
      </c>
      <c r="D18" s="2"/>
      <c r="E18" s="2" t="s">
        <v>11</v>
      </c>
      <c r="F18" s="2"/>
      <c r="G18" s="2" t="s">
        <v>11</v>
      </c>
      <c r="H18" s="2"/>
      <c r="I18" s="2"/>
    </row>
    <row r="19" spans="1:9" x14ac:dyDescent="0.3">
      <c r="A19" s="2">
        <v>15</v>
      </c>
      <c r="B19" s="2">
        <v>3</v>
      </c>
      <c r="C19" s="2" t="s">
        <v>11</v>
      </c>
      <c r="D19" s="2"/>
      <c r="E19" s="2" t="s">
        <v>11</v>
      </c>
      <c r="F19" s="2"/>
      <c r="G19" s="2"/>
      <c r="H19" s="2" t="s">
        <v>11</v>
      </c>
      <c r="I19" s="2"/>
    </row>
    <row r="20" spans="1:9" x14ac:dyDescent="0.3">
      <c r="A20" s="2">
        <v>16</v>
      </c>
      <c r="B20" s="2">
        <v>3</v>
      </c>
      <c r="C20" s="2" t="s">
        <v>11</v>
      </c>
      <c r="D20" s="2"/>
      <c r="E20" s="2"/>
      <c r="F20" s="2" t="s">
        <v>11</v>
      </c>
      <c r="G20" s="2"/>
      <c r="H20" s="2" t="s">
        <v>11</v>
      </c>
      <c r="I20" s="2"/>
    </row>
    <row r="21" spans="1:9" x14ac:dyDescent="0.3">
      <c r="A21" s="2">
        <v>17</v>
      </c>
      <c r="B21" s="2">
        <v>3</v>
      </c>
      <c r="C21" s="2"/>
      <c r="D21" s="2" t="s">
        <v>11</v>
      </c>
      <c r="E21" s="2"/>
      <c r="F21" s="2" t="s">
        <v>11</v>
      </c>
      <c r="G21" s="2"/>
      <c r="H21" s="2" t="s">
        <v>11</v>
      </c>
      <c r="I21" s="2"/>
    </row>
    <row r="22" spans="1:9" x14ac:dyDescent="0.3">
      <c r="A22" s="2">
        <v>18</v>
      </c>
      <c r="B22" s="2">
        <v>3</v>
      </c>
      <c r="C22" s="2"/>
      <c r="D22" s="2" t="s">
        <v>11</v>
      </c>
      <c r="E22" s="2"/>
      <c r="F22" s="2" t="s">
        <v>11</v>
      </c>
      <c r="G22" s="2"/>
      <c r="H22" s="2"/>
      <c r="I22" s="2" t="s">
        <v>11</v>
      </c>
    </row>
    <row r="23" spans="1:9" x14ac:dyDescent="0.3">
      <c r="A23" s="2">
        <v>19</v>
      </c>
      <c r="B23" s="2">
        <v>3</v>
      </c>
      <c r="C23" s="2"/>
      <c r="D23" s="2" t="s">
        <v>11</v>
      </c>
      <c r="E23" s="2"/>
      <c r="F23" s="2"/>
      <c r="G23" s="2" t="s">
        <v>11</v>
      </c>
      <c r="H23" s="2"/>
      <c r="I23" s="2" t="s">
        <v>11</v>
      </c>
    </row>
    <row r="24" spans="1:9" x14ac:dyDescent="0.3">
      <c r="A24" s="2">
        <v>20</v>
      </c>
      <c r="B24" s="2">
        <v>3</v>
      </c>
      <c r="C24" s="2"/>
      <c r="D24" s="2"/>
      <c r="E24" s="2" t="s">
        <v>11</v>
      </c>
      <c r="F24" s="2"/>
      <c r="G24" s="2" t="s">
        <v>11</v>
      </c>
      <c r="H24" s="2"/>
      <c r="I24" s="2" t="s">
        <v>11</v>
      </c>
    </row>
    <row r="25" spans="1:9" x14ac:dyDescent="0.3">
      <c r="C25" s="26">
        <v>1</v>
      </c>
      <c r="D25" s="26">
        <v>2</v>
      </c>
      <c r="E25" s="26">
        <v>3</v>
      </c>
      <c r="F25" s="26">
        <v>4</v>
      </c>
      <c r="G25" s="26">
        <v>5</v>
      </c>
      <c r="H25" s="26">
        <v>6</v>
      </c>
      <c r="I25" s="26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4"/>
  <dimension ref="A1:U101"/>
  <sheetViews>
    <sheetView showGridLines="0" workbookViewId="0">
      <selection activeCell="J1" sqref="J1:J1048576"/>
    </sheetView>
  </sheetViews>
  <sheetFormatPr defaultColWidth="9" defaultRowHeight="14.4" x14ac:dyDescent="0.3"/>
  <cols>
    <col min="1" max="1" width="11.6640625" style="8" customWidth="1"/>
    <col min="2" max="2" width="6.88671875" style="8" customWidth="1"/>
    <col min="3" max="5" width="6.88671875" style="6" customWidth="1"/>
    <col min="6" max="7" width="11.6640625" style="6" customWidth="1"/>
    <col min="8" max="10" width="6.88671875" style="8" customWidth="1"/>
    <col min="11" max="11" width="14.44140625" style="8" customWidth="1"/>
    <col min="12" max="12" width="6.88671875" style="8" customWidth="1"/>
    <col min="13" max="13" width="16.44140625" style="8" bestFit="1" customWidth="1"/>
    <col min="14" max="14" width="6.88671875" style="8" customWidth="1"/>
    <col min="15" max="15" width="14.44140625" style="8" customWidth="1"/>
    <col min="16" max="16384" width="9" style="8"/>
  </cols>
  <sheetData>
    <row r="1" spans="1:21" ht="15" thickBot="1" x14ac:dyDescent="0.35">
      <c r="A1" s="21" t="s">
        <v>14</v>
      </c>
      <c r="B1" s="18" t="s">
        <v>19</v>
      </c>
      <c r="C1" s="12" t="s">
        <v>17</v>
      </c>
      <c r="D1" s="12" t="s">
        <v>18</v>
      </c>
      <c r="E1" s="7" t="s">
        <v>26</v>
      </c>
      <c r="F1" s="23" t="s">
        <v>15</v>
      </c>
      <c r="G1" s="19" t="s">
        <v>19</v>
      </c>
      <c r="H1" s="9" t="s">
        <v>17</v>
      </c>
      <c r="I1" s="9" t="s">
        <v>18</v>
      </c>
      <c r="J1" s="9" t="s">
        <v>20</v>
      </c>
      <c r="K1" s="9"/>
      <c r="L1" s="9" t="s">
        <v>24</v>
      </c>
      <c r="M1" s="9"/>
      <c r="N1" s="9" t="s">
        <v>21</v>
      </c>
      <c r="O1" s="15"/>
    </row>
    <row r="2" spans="1:21" x14ac:dyDescent="0.3">
      <c r="A2" s="49" t="s">
        <v>12</v>
      </c>
      <c r="B2" s="19">
        <v>1</v>
      </c>
      <c r="C2" s="14">
        <v>143</v>
      </c>
      <c r="D2" s="14">
        <v>56</v>
      </c>
      <c r="E2" s="20">
        <v>100</v>
      </c>
      <c r="F2" s="49" t="s">
        <v>13</v>
      </c>
      <c r="G2" s="30">
        <v>1</v>
      </c>
      <c r="H2" s="14">
        <v>229.30200503454751</v>
      </c>
      <c r="I2" s="14">
        <v>-60.633043117008697</v>
      </c>
      <c r="J2" s="14">
        <v>118.28447587559023</v>
      </c>
      <c r="K2" s="14" t="str">
        <f>CONCATENATE("setDj(",G2-1,",",ROUNDUP(J2,0),");")</f>
        <v>setDj(0,119);</v>
      </c>
      <c r="L2" s="14" t="s">
        <v>25</v>
      </c>
      <c r="M2" s="14" t="str">
        <f>CONCATENATE("setPOj(",G2-1,",",L2,");")</f>
        <v>setPOj(0,0.002);</v>
      </c>
      <c r="N2" s="9">
        <v>1</v>
      </c>
      <c r="O2" s="14" t="str">
        <f>CONCATENATE("setFRVj(",G2-1,",",ROUNDUP(N2,0),");")</f>
        <v>setFRVj(0,1);</v>
      </c>
      <c r="Q2" s="31" t="s">
        <v>41</v>
      </c>
      <c r="S2" s="8">
        <v>900</v>
      </c>
      <c r="T2" s="45">
        <f>S2*0.000835+0.083</f>
        <v>0.83450000000000002</v>
      </c>
      <c r="U2" s="45">
        <f>T2*24</f>
        <v>20.027999999999999</v>
      </c>
    </row>
    <row r="3" spans="1:21" x14ac:dyDescent="0.3">
      <c r="A3" s="50"/>
      <c r="B3" s="19">
        <v>2</v>
      </c>
      <c r="C3" s="14">
        <v>220</v>
      </c>
      <c r="D3" s="14">
        <v>120</v>
      </c>
      <c r="E3" s="20">
        <v>200</v>
      </c>
      <c r="F3" s="50"/>
      <c r="G3" s="30">
        <v>2</v>
      </c>
      <c r="H3" s="14">
        <v>229.30200503454751</v>
      </c>
      <c r="I3" s="14">
        <v>-60.633043117008697</v>
      </c>
      <c r="J3" s="14">
        <v>545.77642680808594</v>
      </c>
      <c r="K3" s="14" t="str">
        <f t="shared" ref="K3:K66" si="0">CONCATENATE("setDj(",G3-1,",",ROUNDUP(J3,0),");")</f>
        <v>setDj(1,546);</v>
      </c>
      <c r="L3" s="14" t="s">
        <v>25</v>
      </c>
      <c r="M3" s="14" t="str">
        <f t="shared" ref="M3:M66" si="1">CONCATENATE("setPOj(",G3-1,",",L3,");")</f>
        <v>setPOj(1,0.002);</v>
      </c>
      <c r="N3" s="9">
        <v>2</v>
      </c>
      <c r="O3" s="14" t="str">
        <f t="shared" ref="O3:O66" si="2">CONCATENATE("setFRVj(",G3-1,",",ROUNDUP(N3,0),");")</f>
        <v>setFRVj(1,2);</v>
      </c>
      <c r="Q3" s="32" t="s">
        <v>42</v>
      </c>
      <c r="S3" s="8">
        <v>600</v>
      </c>
      <c r="T3" s="45">
        <f t="shared" ref="T3:T4" si="3">S3*0.000835+0.083</f>
        <v>0.58399999999999996</v>
      </c>
      <c r="U3" s="45">
        <f t="shared" ref="U3:U4" si="4">T3*24</f>
        <v>14.015999999999998</v>
      </c>
    </row>
    <row r="4" spans="1:21" x14ac:dyDescent="0.3">
      <c r="A4" s="50"/>
      <c r="B4" s="16"/>
      <c r="C4" s="9"/>
      <c r="D4" s="9"/>
      <c r="E4" s="10"/>
      <c r="F4" s="50"/>
      <c r="G4" s="30">
        <v>3</v>
      </c>
      <c r="H4" s="14">
        <v>229.57228758779911</v>
      </c>
      <c r="I4" s="14">
        <v>-60.087645704107047</v>
      </c>
      <c r="J4" s="14">
        <v>234.72817983270724</v>
      </c>
      <c r="K4" s="14" t="str">
        <f t="shared" si="0"/>
        <v>setDj(2,235);</v>
      </c>
      <c r="L4" s="14" t="s">
        <v>25</v>
      </c>
      <c r="M4" s="14" t="str">
        <f t="shared" si="1"/>
        <v>setPOj(2,0.002);</v>
      </c>
      <c r="N4" s="9">
        <v>1</v>
      </c>
      <c r="O4" s="14" t="str">
        <f t="shared" si="2"/>
        <v>setFRVj(2,1);</v>
      </c>
      <c r="Q4" s="33" t="s">
        <v>43</v>
      </c>
      <c r="S4" s="8">
        <v>300</v>
      </c>
      <c r="T4" s="45">
        <f t="shared" si="3"/>
        <v>0.33350000000000002</v>
      </c>
      <c r="U4" s="45">
        <f t="shared" si="4"/>
        <v>8.0040000000000013</v>
      </c>
    </row>
    <row r="5" spans="1:21" x14ac:dyDescent="0.3">
      <c r="A5" s="50"/>
      <c r="B5" s="16"/>
      <c r="C5" s="9"/>
      <c r="D5" s="9"/>
      <c r="E5" s="10"/>
      <c r="F5" s="50"/>
      <c r="G5" s="30">
        <v>4</v>
      </c>
      <c r="H5" s="14">
        <v>313.99990993169416</v>
      </c>
      <c r="I5" s="14">
        <v>0.23782953543295696</v>
      </c>
      <c r="J5" s="14">
        <v>207.37812083388053</v>
      </c>
      <c r="K5" s="14" t="str">
        <f t="shared" si="0"/>
        <v>setDj(3,208);</v>
      </c>
      <c r="L5" s="14" t="s">
        <v>25</v>
      </c>
      <c r="M5" s="14" t="str">
        <f t="shared" si="1"/>
        <v>setPOj(3,0.002);</v>
      </c>
      <c r="N5" s="9">
        <v>3</v>
      </c>
      <c r="O5" s="14" t="str">
        <f t="shared" si="2"/>
        <v>setFRVj(3,3);</v>
      </c>
      <c r="Q5" s="34" t="s">
        <v>44</v>
      </c>
      <c r="S5" s="45"/>
      <c r="T5" s="45"/>
    </row>
    <row r="6" spans="1:21" x14ac:dyDescent="0.3">
      <c r="A6" s="50"/>
      <c r="B6" s="16"/>
      <c r="C6" s="9"/>
      <c r="D6" s="9"/>
      <c r="E6" s="10"/>
      <c r="F6" s="50"/>
      <c r="G6" s="30">
        <v>5</v>
      </c>
      <c r="H6" s="14">
        <v>344.4940299671398</v>
      </c>
      <c r="I6" s="14">
        <v>18.677883097380018</v>
      </c>
      <c r="J6" s="14">
        <v>293.57481955364551</v>
      </c>
      <c r="K6" s="14" t="str">
        <f t="shared" si="0"/>
        <v>setDj(4,294);</v>
      </c>
      <c r="L6" s="14" t="s">
        <v>25</v>
      </c>
      <c r="M6" s="14" t="str">
        <f t="shared" si="1"/>
        <v>setPOj(4,0.002);</v>
      </c>
      <c r="N6" s="9">
        <v>1</v>
      </c>
      <c r="O6" s="14" t="str">
        <f t="shared" si="2"/>
        <v>setFRVj(4,1);</v>
      </c>
      <c r="Q6" s="35" t="s">
        <v>45</v>
      </c>
      <c r="S6" s="45"/>
      <c r="T6" s="45"/>
    </row>
    <row r="7" spans="1:21" x14ac:dyDescent="0.3">
      <c r="A7" s="50"/>
      <c r="B7" s="16"/>
      <c r="C7" s="9"/>
      <c r="D7" s="9"/>
      <c r="E7" s="10"/>
      <c r="F7" s="50"/>
      <c r="G7" s="30">
        <v>6</v>
      </c>
      <c r="H7" s="14">
        <v>355.45884937806653</v>
      </c>
      <c r="I7" s="14">
        <v>19.621579926729421</v>
      </c>
      <c r="J7" s="14">
        <v>360.92797644763806</v>
      </c>
      <c r="K7" s="14" t="str">
        <f t="shared" si="0"/>
        <v>setDj(5,361);</v>
      </c>
      <c r="L7" s="14" t="s">
        <v>25</v>
      </c>
      <c r="M7" s="14" t="str">
        <f t="shared" si="1"/>
        <v>setPOj(5,0.002);</v>
      </c>
      <c r="N7" s="9">
        <v>1</v>
      </c>
      <c r="O7" s="14" t="str">
        <f t="shared" si="2"/>
        <v>setFRVj(5,1);</v>
      </c>
      <c r="Q7" s="37" t="s">
        <v>46</v>
      </c>
      <c r="S7" s="45"/>
      <c r="T7" s="45"/>
    </row>
    <row r="8" spans="1:21" x14ac:dyDescent="0.3">
      <c r="A8" s="50"/>
      <c r="B8" s="16"/>
      <c r="C8" s="9"/>
      <c r="D8" s="9"/>
      <c r="E8" s="10"/>
      <c r="F8" s="50"/>
      <c r="G8" s="29">
        <v>7</v>
      </c>
      <c r="H8" s="14">
        <v>238.50963537511944</v>
      </c>
      <c r="I8" s="14">
        <v>39.054397302299463</v>
      </c>
      <c r="J8" s="14">
        <v>310</v>
      </c>
      <c r="K8" s="14" t="str">
        <f t="shared" si="0"/>
        <v>setDj(6,310);</v>
      </c>
      <c r="L8" s="14" t="s">
        <v>25</v>
      </c>
      <c r="M8" s="14" t="str">
        <f t="shared" si="1"/>
        <v>setPOj(6,0.002);</v>
      </c>
      <c r="N8" s="9">
        <v>2</v>
      </c>
      <c r="O8" s="14" t="str">
        <f t="shared" si="2"/>
        <v>setFRVj(6,2);</v>
      </c>
      <c r="Q8" s="39" t="s">
        <v>47</v>
      </c>
      <c r="S8" s="45"/>
      <c r="T8" s="45"/>
    </row>
    <row r="9" spans="1:21" x14ac:dyDescent="0.3">
      <c r="A9" s="50"/>
      <c r="B9" s="16"/>
      <c r="C9" s="9"/>
      <c r="D9" s="9"/>
      <c r="E9" s="10"/>
      <c r="F9" s="50"/>
      <c r="G9" s="29">
        <v>8</v>
      </c>
      <c r="H9" s="14">
        <v>238.62360758107164</v>
      </c>
      <c r="I9" s="14">
        <v>42.574102660747563</v>
      </c>
      <c r="J9" s="14">
        <v>310</v>
      </c>
      <c r="K9" s="14" t="str">
        <f t="shared" si="0"/>
        <v>setDj(7,310);</v>
      </c>
      <c r="L9" s="14" t="s">
        <v>25</v>
      </c>
      <c r="M9" s="14" t="str">
        <f t="shared" si="1"/>
        <v>setPOj(7,0.002);</v>
      </c>
      <c r="N9" s="9">
        <v>2</v>
      </c>
      <c r="O9" s="14" t="str">
        <f t="shared" si="2"/>
        <v>setFRVj(7,2);</v>
      </c>
      <c r="Q9" s="41" t="s">
        <v>48</v>
      </c>
      <c r="S9" s="45"/>
      <c r="T9" s="45"/>
    </row>
    <row r="10" spans="1:21" x14ac:dyDescent="0.3">
      <c r="A10" s="50"/>
      <c r="B10" s="16"/>
      <c r="C10" s="9"/>
      <c r="D10" s="9"/>
      <c r="E10" s="10"/>
      <c r="F10" s="50"/>
      <c r="G10" s="29">
        <v>9</v>
      </c>
      <c r="H10" s="14">
        <v>239.14687536519585</v>
      </c>
      <c r="I10" s="14">
        <v>55.704432898907932</v>
      </c>
      <c r="J10" s="14">
        <v>310</v>
      </c>
      <c r="K10" s="14" t="str">
        <f t="shared" si="0"/>
        <v>setDj(8,310);</v>
      </c>
      <c r="L10" s="14" t="s">
        <v>25</v>
      </c>
      <c r="M10" s="14" t="str">
        <f t="shared" si="1"/>
        <v>setPOj(8,0.002);</v>
      </c>
      <c r="N10" s="9">
        <v>2</v>
      </c>
      <c r="O10" s="14" t="str">
        <f t="shared" si="2"/>
        <v>setFRVj(8,2);</v>
      </c>
      <c r="Q10" s="43" t="s">
        <v>49</v>
      </c>
      <c r="S10" s="45"/>
      <c r="T10" s="45"/>
    </row>
    <row r="11" spans="1:21" ht="15" thickBot="1" x14ac:dyDescent="0.35">
      <c r="A11" s="51"/>
      <c r="B11" s="17"/>
      <c r="C11" s="11"/>
      <c r="D11" s="11"/>
      <c r="E11" s="5"/>
      <c r="F11" s="50"/>
      <c r="G11" s="29">
        <v>10</v>
      </c>
      <c r="H11" s="14">
        <v>248.96031731277102</v>
      </c>
      <c r="I11" s="14">
        <v>57.964534799924436</v>
      </c>
      <c r="J11" s="14">
        <v>290.36739528320618</v>
      </c>
      <c r="K11" s="14" t="str">
        <f t="shared" si="0"/>
        <v>setDj(9,291);</v>
      </c>
      <c r="L11" s="14" t="s">
        <v>25</v>
      </c>
      <c r="M11" s="14" t="str">
        <f t="shared" si="1"/>
        <v>setPOj(9,0.002);</v>
      </c>
      <c r="N11" s="9">
        <v>1</v>
      </c>
      <c r="O11" s="14" t="str">
        <f t="shared" si="2"/>
        <v>setFRVj(9,1);</v>
      </c>
      <c r="Q11" s="6"/>
      <c r="S11" s="45"/>
      <c r="T11" s="45"/>
    </row>
    <row r="12" spans="1:21" x14ac:dyDescent="0.3">
      <c r="F12" s="50"/>
      <c r="G12" s="29">
        <v>11</v>
      </c>
      <c r="H12" s="14">
        <v>256.28886512070187</v>
      </c>
      <c r="I12" s="14">
        <v>50.940537137377511</v>
      </c>
      <c r="J12" s="14">
        <v>278.99258318037374</v>
      </c>
      <c r="K12" s="14" t="str">
        <f t="shared" si="0"/>
        <v>setDj(10,279);</v>
      </c>
      <c r="L12" s="14" t="s">
        <v>25</v>
      </c>
      <c r="M12" s="14" t="str">
        <f t="shared" si="1"/>
        <v>setPOj(10,0.002);</v>
      </c>
      <c r="N12" s="9">
        <v>1</v>
      </c>
      <c r="O12" s="14" t="str">
        <f t="shared" si="2"/>
        <v>setFRVj(10,1);</v>
      </c>
      <c r="Q12" s="6"/>
      <c r="S12" s="45"/>
      <c r="T12" s="45"/>
    </row>
    <row r="13" spans="1:21" x14ac:dyDescent="0.3">
      <c r="F13" s="50"/>
      <c r="G13" s="29">
        <v>12</v>
      </c>
      <c r="H13" s="14">
        <v>259.26155890987241</v>
      </c>
      <c r="I13" s="14">
        <v>36.792460964486558</v>
      </c>
      <c r="J13" s="14">
        <v>82.076561445310972</v>
      </c>
      <c r="K13" s="14" t="str">
        <f t="shared" si="0"/>
        <v>setDj(11,83);</v>
      </c>
      <c r="L13" s="14" t="s">
        <v>25</v>
      </c>
      <c r="M13" s="14" t="str">
        <f t="shared" si="1"/>
        <v>setPOj(11,0.002);</v>
      </c>
      <c r="N13" s="9">
        <v>3</v>
      </c>
      <c r="O13" s="14" t="str">
        <f t="shared" si="2"/>
        <v>setFRVj(11,3);</v>
      </c>
      <c r="Q13" s="6"/>
      <c r="S13" s="45"/>
      <c r="T13" s="45"/>
    </row>
    <row r="14" spans="1:21" x14ac:dyDescent="0.3">
      <c r="F14" s="50"/>
      <c r="G14" s="29">
        <v>13</v>
      </c>
      <c r="H14" s="14">
        <v>266.05221473342749</v>
      </c>
      <c r="I14" s="14">
        <v>46.0023807583717</v>
      </c>
      <c r="J14" s="14">
        <v>185.56448544286178</v>
      </c>
      <c r="K14" s="14" t="str">
        <f t="shared" si="0"/>
        <v>setDj(12,186);</v>
      </c>
      <c r="L14" s="14" t="s">
        <v>25</v>
      </c>
      <c r="M14" s="14" t="str">
        <f t="shared" si="1"/>
        <v>setPOj(12,0.002);</v>
      </c>
      <c r="N14" s="9">
        <v>1</v>
      </c>
      <c r="O14" s="14" t="str">
        <f t="shared" si="2"/>
        <v>setFRVj(12,1);</v>
      </c>
      <c r="Q14" s="6"/>
      <c r="S14" s="45"/>
      <c r="T14" s="45"/>
    </row>
    <row r="15" spans="1:21" x14ac:dyDescent="0.3">
      <c r="C15" s="46"/>
      <c r="D15" s="46"/>
      <c r="F15" s="50"/>
      <c r="G15" s="29">
        <v>14</v>
      </c>
      <c r="H15" s="14">
        <v>267.27412515607722</v>
      </c>
      <c r="I15" s="14">
        <v>26.677578592380602</v>
      </c>
      <c r="J15" s="14">
        <v>96.197414256198073</v>
      </c>
      <c r="K15" s="14" t="str">
        <f t="shared" si="0"/>
        <v>setDj(13,97);</v>
      </c>
      <c r="L15" s="14" t="s">
        <v>25</v>
      </c>
      <c r="M15" s="14" t="str">
        <f t="shared" si="1"/>
        <v>setPOj(13,0.002);</v>
      </c>
      <c r="N15" s="9">
        <v>1</v>
      </c>
      <c r="O15" s="14" t="str">
        <f t="shared" si="2"/>
        <v>setFRVj(13,1);</v>
      </c>
      <c r="Q15" s="6"/>
      <c r="S15" s="45"/>
      <c r="T15" s="45"/>
    </row>
    <row r="16" spans="1:21" x14ac:dyDescent="0.3">
      <c r="F16" s="50"/>
      <c r="G16" s="29">
        <v>15</v>
      </c>
      <c r="H16" s="14">
        <v>273.8212186350645</v>
      </c>
      <c r="I16" s="14">
        <v>34.611273094299783</v>
      </c>
      <c r="J16" s="14">
        <v>210.14742667389368</v>
      </c>
      <c r="K16" s="14" t="str">
        <f t="shared" si="0"/>
        <v>setDj(14,211);</v>
      </c>
      <c r="L16" s="14" t="s">
        <v>25</v>
      </c>
      <c r="M16" s="14" t="str">
        <f t="shared" si="1"/>
        <v>setPOj(14,0.002);</v>
      </c>
      <c r="N16" s="9">
        <v>1</v>
      </c>
      <c r="O16" s="14" t="str">
        <f t="shared" si="2"/>
        <v>setFRVj(14,1);</v>
      </c>
      <c r="S16" s="45"/>
      <c r="T16" s="45"/>
    </row>
    <row r="17" spans="6:20" x14ac:dyDescent="0.3">
      <c r="F17" s="50"/>
      <c r="G17" s="29">
        <v>16</v>
      </c>
      <c r="H17" s="14">
        <v>279.95576015018912</v>
      </c>
      <c r="I17" s="14">
        <v>33.893544499355741</v>
      </c>
      <c r="J17" s="14">
        <v>172.96798541727486</v>
      </c>
      <c r="K17" s="14" t="str">
        <f t="shared" si="0"/>
        <v>setDj(15,173);</v>
      </c>
      <c r="L17" s="14" t="s">
        <v>25</v>
      </c>
      <c r="M17" s="14" t="str">
        <f t="shared" si="1"/>
        <v>setPOj(15,0.002);</v>
      </c>
      <c r="N17" s="9">
        <v>3</v>
      </c>
      <c r="O17" s="14" t="str">
        <f t="shared" si="2"/>
        <v>setFRVj(15,3);</v>
      </c>
      <c r="S17" s="45"/>
      <c r="T17" s="45"/>
    </row>
    <row r="18" spans="6:20" x14ac:dyDescent="0.3">
      <c r="F18" s="50"/>
      <c r="G18" s="29">
        <v>17</v>
      </c>
      <c r="H18" s="14">
        <v>280.89730749734974</v>
      </c>
      <c r="I18" s="14">
        <v>41.36932116347883</v>
      </c>
      <c r="J18" s="14">
        <v>304.39567777634272</v>
      </c>
      <c r="K18" s="14" t="str">
        <f t="shared" si="0"/>
        <v>setDj(16,305);</v>
      </c>
      <c r="L18" s="14" t="s">
        <v>25</v>
      </c>
      <c r="M18" s="14" t="str">
        <f t="shared" si="1"/>
        <v>setPOj(16,0.002);</v>
      </c>
      <c r="N18" s="9">
        <v>1</v>
      </c>
      <c r="O18" s="14" t="str">
        <f t="shared" si="2"/>
        <v>setFRVj(16,1);</v>
      </c>
      <c r="S18" s="45"/>
      <c r="T18" s="45"/>
    </row>
    <row r="19" spans="6:20" x14ac:dyDescent="0.3">
      <c r="F19" s="50"/>
      <c r="G19" s="27">
        <v>18</v>
      </c>
      <c r="H19" s="14">
        <v>253.82685852676187</v>
      </c>
      <c r="I19" s="14">
        <v>94.058136455273683</v>
      </c>
      <c r="J19" s="14">
        <v>182.31058600880081</v>
      </c>
      <c r="K19" s="14" t="str">
        <f t="shared" si="0"/>
        <v>setDj(17,183);</v>
      </c>
      <c r="L19" s="14" t="s">
        <v>25</v>
      </c>
      <c r="M19" s="14" t="str">
        <f t="shared" si="1"/>
        <v>setPOj(17,0.002);</v>
      </c>
      <c r="N19" s="9">
        <v>1</v>
      </c>
      <c r="O19" s="14" t="str">
        <f t="shared" si="2"/>
        <v>setFRVj(17,1);</v>
      </c>
      <c r="S19" s="45"/>
      <c r="T19" s="45"/>
    </row>
    <row r="20" spans="6:20" x14ac:dyDescent="0.3">
      <c r="F20" s="50"/>
      <c r="G20" s="27">
        <v>19</v>
      </c>
      <c r="H20" s="14">
        <v>253.97938694965254</v>
      </c>
      <c r="I20" s="14">
        <v>96.925049252755301</v>
      </c>
      <c r="J20" s="14">
        <v>211.55322479960179</v>
      </c>
      <c r="K20" s="14" t="str">
        <f t="shared" si="0"/>
        <v>setDj(18,212);</v>
      </c>
      <c r="L20" s="14" t="s">
        <v>25</v>
      </c>
      <c r="M20" s="14" t="str">
        <f t="shared" si="1"/>
        <v>setPOj(18,0.002);</v>
      </c>
      <c r="N20" s="9">
        <v>2</v>
      </c>
      <c r="O20" s="14" t="str">
        <f t="shared" si="2"/>
        <v>setFRVj(18,2);</v>
      </c>
      <c r="S20" s="45"/>
      <c r="T20" s="45"/>
    </row>
    <row r="21" spans="6:20" x14ac:dyDescent="0.3">
      <c r="F21" s="50"/>
      <c r="G21" s="27">
        <v>20</v>
      </c>
      <c r="H21" s="14">
        <v>255.83402929555405</v>
      </c>
      <c r="I21" s="14">
        <v>84.147047030699028</v>
      </c>
      <c r="J21" s="14">
        <v>264.62943895626472</v>
      </c>
      <c r="K21" s="14" t="str">
        <f t="shared" si="0"/>
        <v>setDj(19,265);</v>
      </c>
      <c r="L21" s="14" t="s">
        <v>25</v>
      </c>
      <c r="M21" s="14" t="str">
        <f t="shared" si="1"/>
        <v>setPOj(19,0.002);</v>
      </c>
      <c r="N21" s="9">
        <v>3</v>
      </c>
      <c r="O21" s="14" t="str">
        <f t="shared" si="2"/>
        <v>setFRVj(19,3);</v>
      </c>
      <c r="S21" s="45"/>
      <c r="T21" s="45"/>
    </row>
    <row r="22" spans="6:20" x14ac:dyDescent="0.3">
      <c r="F22" s="50"/>
      <c r="G22" s="27">
        <v>21</v>
      </c>
      <c r="H22" s="14">
        <v>256.17111990125778</v>
      </c>
      <c r="I22" s="14">
        <v>83.807770469863542</v>
      </c>
      <c r="J22" s="14">
        <v>240.63200106476299</v>
      </c>
      <c r="K22" s="14" t="str">
        <f t="shared" si="0"/>
        <v>setDj(20,241);</v>
      </c>
      <c r="L22" s="14" t="s">
        <v>25</v>
      </c>
      <c r="M22" s="14" t="str">
        <f t="shared" si="1"/>
        <v>setPOj(20,0.002);</v>
      </c>
      <c r="N22" s="9">
        <v>1</v>
      </c>
      <c r="O22" s="14" t="str">
        <f t="shared" si="2"/>
        <v>setFRVj(20,1);</v>
      </c>
      <c r="S22" s="45"/>
      <c r="T22" s="45"/>
    </row>
    <row r="23" spans="6:20" x14ac:dyDescent="0.3">
      <c r="F23" s="50"/>
      <c r="G23" s="27">
        <v>22</v>
      </c>
      <c r="H23" s="14">
        <v>273.1447375058936</v>
      </c>
      <c r="I23" s="14">
        <v>86.812098327710629</v>
      </c>
      <c r="J23" s="14">
        <v>291.04520797699013</v>
      </c>
      <c r="K23" s="14" t="str">
        <f t="shared" si="0"/>
        <v>setDj(21,292);</v>
      </c>
      <c r="L23" s="14" t="s">
        <v>25</v>
      </c>
      <c r="M23" s="14" t="str">
        <f t="shared" si="1"/>
        <v>setPOj(21,0.002);</v>
      </c>
      <c r="N23" s="9">
        <v>1</v>
      </c>
      <c r="O23" s="14" t="str">
        <f t="shared" si="2"/>
        <v>setFRVj(21,1);</v>
      </c>
      <c r="S23" s="45"/>
      <c r="T23" s="45"/>
    </row>
    <row r="24" spans="6:20" x14ac:dyDescent="0.3">
      <c r="F24" s="50"/>
      <c r="G24" s="27">
        <v>23</v>
      </c>
      <c r="H24" s="14">
        <v>274.66646345668971</v>
      </c>
      <c r="I24" s="14">
        <v>96.454583337725225</v>
      </c>
      <c r="J24" s="14">
        <v>269.09058234667941</v>
      </c>
      <c r="K24" s="14" t="str">
        <f t="shared" si="0"/>
        <v>setDj(22,270);</v>
      </c>
      <c r="L24" s="14" t="s">
        <v>25</v>
      </c>
      <c r="M24" s="14" t="str">
        <f t="shared" si="1"/>
        <v>setPOj(22,0.002);</v>
      </c>
      <c r="N24" s="9">
        <v>1</v>
      </c>
      <c r="O24" s="14" t="str">
        <f t="shared" si="2"/>
        <v>setFRVj(22,1);</v>
      </c>
      <c r="S24" s="45"/>
      <c r="T24" s="45"/>
    </row>
    <row r="25" spans="6:20" x14ac:dyDescent="0.3">
      <c r="F25" s="50"/>
      <c r="G25" s="27">
        <v>24</v>
      </c>
      <c r="H25" s="14">
        <v>278.45615371394206</v>
      </c>
      <c r="I25" s="14">
        <v>90.765927876878393</v>
      </c>
      <c r="J25" s="14">
        <v>269.76484064861296</v>
      </c>
      <c r="K25" s="14" t="str">
        <f t="shared" si="0"/>
        <v>setDj(23,270);</v>
      </c>
      <c r="L25" s="14" t="s">
        <v>25</v>
      </c>
      <c r="M25" s="14" t="str">
        <f t="shared" si="1"/>
        <v>setPOj(23,0.002);</v>
      </c>
      <c r="N25" s="9">
        <v>1</v>
      </c>
      <c r="O25" s="14" t="str">
        <f t="shared" si="2"/>
        <v>setFRVj(23,1);</v>
      </c>
      <c r="S25" s="45"/>
      <c r="T25" s="45"/>
    </row>
    <row r="26" spans="6:20" x14ac:dyDescent="0.3">
      <c r="F26" s="50"/>
      <c r="G26" s="28">
        <v>25</v>
      </c>
      <c r="H26" s="14">
        <v>261.0779197030995</v>
      </c>
      <c r="I26" s="14">
        <v>64.328008256966683</v>
      </c>
      <c r="J26" s="14">
        <v>157.92278957999292</v>
      </c>
      <c r="K26" s="14" t="str">
        <f t="shared" si="0"/>
        <v>setDj(24,158);</v>
      </c>
      <c r="L26" s="14" t="s">
        <v>25</v>
      </c>
      <c r="M26" s="14" t="str">
        <f t="shared" si="1"/>
        <v>setPOj(24,0.002);</v>
      </c>
      <c r="N26" s="9">
        <v>1</v>
      </c>
      <c r="O26" s="14" t="str">
        <f t="shared" si="2"/>
        <v>setFRVj(24,1);</v>
      </c>
      <c r="S26" s="45"/>
      <c r="T26" s="45"/>
    </row>
    <row r="27" spans="6:20" x14ac:dyDescent="0.3">
      <c r="F27" s="50"/>
      <c r="G27" s="28">
        <v>26</v>
      </c>
      <c r="H27" s="14">
        <v>271.20317973778356</v>
      </c>
      <c r="I27" s="14">
        <v>69.633578825990668</v>
      </c>
      <c r="J27" s="14">
        <v>220.78480595896349</v>
      </c>
      <c r="K27" s="14" t="str">
        <f t="shared" si="0"/>
        <v>setDj(25,221);</v>
      </c>
      <c r="L27" s="14" t="s">
        <v>25</v>
      </c>
      <c r="M27" s="14" t="str">
        <f t="shared" si="1"/>
        <v>setPOj(25,0.002);</v>
      </c>
      <c r="N27" s="9">
        <v>1</v>
      </c>
      <c r="O27" s="14" t="str">
        <f t="shared" si="2"/>
        <v>setFRVj(25,1);</v>
      </c>
      <c r="S27" s="45"/>
      <c r="T27" s="45"/>
    </row>
    <row r="28" spans="6:20" x14ac:dyDescent="0.3">
      <c r="F28" s="50"/>
      <c r="G28" s="28">
        <v>27</v>
      </c>
      <c r="H28" s="14">
        <v>271.55693356536085</v>
      </c>
      <c r="I28" s="14">
        <v>68.240983525871087</v>
      </c>
      <c r="J28" s="14">
        <v>259.31323779276431</v>
      </c>
      <c r="K28" s="14" t="str">
        <f t="shared" si="0"/>
        <v>setDj(26,260);</v>
      </c>
      <c r="L28" s="14" t="s">
        <v>25</v>
      </c>
      <c r="M28" s="14" t="str">
        <f t="shared" si="1"/>
        <v>setPOj(26,0.002);</v>
      </c>
      <c r="N28" s="9">
        <v>1</v>
      </c>
      <c r="O28" s="14" t="str">
        <f t="shared" si="2"/>
        <v>setFRVj(26,1);</v>
      </c>
      <c r="S28" s="45"/>
      <c r="T28" s="45"/>
    </row>
    <row r="29" spans="6:20" x14ac:dyDescent="0.3">
      <c r="F29" s="50"/>
      <c r="G29" s="28">
        <v>28</v>
      </c>
      <c r="H29" s="14">
        <v>274.33102494064485</v>
      </c>
      <c r="I29" s="14">
        <v>56.057905374847138</v>
      </c>
      <c r="J29" s="14">
        <v>310</v>
      </c>
      <c r="K29" s="14" t="str">
        <f t="shared" si="0"/>
        <v>setDj(27,310);</v>
      </c>
      <c r="L29" s="14" t="s">
        <v>25</v>
      </c>
      <c r="M29" s="14" t="str">
        <f t="shared" si="1"/>
        <v>setPOj(27,0.002);</v>
      </c>
      <c r="N29" s="9">
        <v>2</v>
      </c>
      <c r="O29" s="14" t="str">
        <f t="shared" si="2"/>
        <v>setFRVj(27,2);</v>
      </c>
      <c r="S29" s="45"/>
      <c r="T29" s="45"/>
    </row>
    <row r="30" spans="6:20" x14ac:dyDescent="0.3">
      <c r="F30" s="50"/>
      <c r="G30" s="28">
        <v>29</v>
      </c>
      <c r="H30" s="14">
        <v>277.65785405914522</v>
      </c>
      <c r="I30" s="14">
        <v>54.727653697837574</v>
      </c>
      <c r="J30" s="14">
        <v>473.00623656700782</v>
      </c>
      <c r="K30" s="14" t="str">
        <f t="shared" si="0"/>
        <v>setDj(28,474);</v>
      </c>
      <c r="L30" s="14" t="s">
        <v>25</v>
      </c>
      <c r="M30" s="14" t="str">
        <f t="shared" si="1"/>
        <v>setPOj(28,0.002);</v>
      </c>
      <c r="N30" s="9">
        <v>2</v>
      </c>
      <c r="O30" s="14" t="str">
        <f t="shared" si="2"/>
        <v>setFRVj(28,2);</v>
      </c>
      <c r="S30" s="45"/>
      <c r="T30" s="45"/>
    </row>
    <row r="31" spans="6:20" x14ac:dyDescent="0.3">
      <c r="F31" s="50"/>
      <c r="G31" s="28">
        <v>30</v>
      </c>
      <c r="H31" s="14">
        <v>280.09542641966402</v>
      </c>
      <c r="I31" s="14">
        <v>54.279292455057316</v>
      </c>
      <c r="J31" s="14">
        <v>165.08096849368502</v>
      </c>
      <c r="K31" s="14" t="str">
        <f t="shared" si="0"/>
        <v>setDj(29,166);</v>
      </c>
      <c r="L31" s="14" t="s">
        <v>25</v>
      </c>
      <c r="M31" s="14" t="str">
        <f t="shared" si="1"/>
        <v>setPOj(29,0.002);</v>
      </c>
      <c r="N31" s="9">
        <v>1</v>
      </c>
      <c r="O31" s="14" t="str">
        <f t="shared" si="2"/>
        <v>setFRVj(29,1);</v>
      </c>
      <c r="S31" s="45"/>
      <c r="T31" s="45"/>
    </row>
    <row r="32" spans="6:20" x14ac:dyDescent="0.3">
      <c r="F32" s="50"/>
      <c r="G32" s="28">
        <v>31</v>
      </c>
      <c r="H32" s="14">
        <v>280.16984299066172</v>
      </c>
      <c r="I32" s="14">
        <v>54.292032989358141</v>
      </c>
      <c r="J32" s="14">
        <v>100.24730815672166</v>
      </c>
      <c r="K32" s="14" t="str">
        <f t="shared" si="0"/>
        <v>setDj(30,101);</v>
      </c>
      <c r="L32" s="14" t="s">
        <v>25</v>
      </c>
      <c r="M32" s="14" t="str">
        <f t="shared" si="1"/>
        <v>setPOj(30,0.002);</v>
      </c>
      <c r="N32" s="9">
        <v>1</v>
      </c>
      <c r="O32" s="14" t="str">
        <f t="shared" si="2"/>
        <v>setFRVj(30,1);</v>
      </c>
      <c r="S32" s="45"/>
      <c r="T32" s="45"/>
    </row>
    <row r="33" spans="6:20" x14ac:dyDescent="0.3">
      <c r="F33" s="50"/>
      <c r="G33" s="28">
        <v>32</v>
      </c>
      <c r="H33" s="14">
        <v>280.29338691419423</v>
      </c>
      <c r="I33" s="14">
        <v>56.84731525912035</v>
      </c>
      <c r="J33" s="14">
        <v>473.00623656700782</v>
      </c>
      <c r="K33" s="14" t="str">
        <f t="shared" si="0"/>
        <v>setDj(31,474);</v>
      </c>
      <c r="L33" s="14" t="s">
        <v>25</v>
      </c>
      <c r="M33" s="14" t="str">
        <f t="shared" si="1"/>
        <v>setPOj(31,0.002);</v>
      </c>
      <c r="N33" s="9">
        <v>1</v>
      </c>
      <c r="O33" s="14" t="str">
        <f t="shared" si="2"/>
        <v>setFRVj(31,1);</v>
      </c>
      <c r="S33" s="45"/>
      <c r="T33" s="45"/>
    </row>
    <row r="34" spans="6:20" x14ac:dyDescent="0.3">
      <c r="F34" s="50"/>
      <c r="G34" s="28">
        <v>33</v>
      </c>
      <c r="H34" s="14">
        <v>282.58651232831761</v>
      </c>
      <c r="I34" s="14">
        <v>55.178803754537533</v>
      </c>
      <c r="J34" s="14">
        <v>141.13805181087204</v>
      </c>
      <c r="K34" s="14" t="str">
        <f t="shared" si="0"/>
        <v>setDj(32,142);</v>
      </c>
      <c r="L34" s="14" t="s">
        <v>25</v>
      </c>
      <c r="M34" s="14" t="str">
        <f t="shared" si="1"/>
        <v>setPOj(32,0.002);</v>
      </c>
      <c r="N34" s="9">
        <v>1</v>
      </c>
      <c r="O34" s="14" t="str">
        <f t="shared" si="2"/>
        <v>setFRVj(32,1);</v>
      </c>
      <c r="S34" s="45"/>
      <c r="T34" s="45"/>
    </row>
    <row r="35" spans="6:20" x14ac:dyDescent="0.3">
      <c r="F35" s="50"/>
      <c r="G35" s="36">
        <v>34</v>
      </c>
      <c r="H35" s="14">
        <v>291.6402119953139</v>
      </c>
      <c r="I35" s="14">
        <v>50.616072025872796</v>
      </c>
      <c r="J35" s="14">
        <v>270.48080963039234</v>
      </c>
      <c r="K35" s="14" t="str">
        <f t="shared" si="0"/>
        <v>setDj(33,271);</v>
      </c>
      <c r="L35" s="14" t="s">
        <v>25</v>
      </c>
      <c r="M35" s="14" t="str">
        <f t="shared" si="1"/>
        <v>setPOj(33,0.002);</v>
      </c>
      <c r="N35" s="9">
        <v>1</v>
      </c>
      <c r="O35" s="14" t="str">
        <f t="shared" si="2"/>
        <v>setFRVj(33,1);</v>
      </c>
      <c r="S35" s="45"/>
      <c r="T35" s="45"/>
    </row>
    <row r="36" spans="6:20" x14ac:dyDescent="0.3">
      <c r="F36" s="50"/>
      <c r="G36" s="36">
        <v>35</v>
      </c>
      <c r="H36" s="14">
        <v>295.62971629034115</v>
      </c>
      <c r="I36" s="14">
        <v>58.073069733265378</v>
      </c>
      <c r="J36" s="14">
        <v>153.37368866307943</v>
      </c>
      <c r="K36" s="14" t="str">
        <f t="shared" si="0"/>
        <v>setDj(34,154);</v>
      </c>
      <c r="L36" s="14" t="s">
        <v>25</v>
      </c>
      <c r="M36" s="14" t="str">
        <f t="shared" si="1"/>
        <v>setPOj(34,0.002);</v>
      </c>
      <c r="N36" s="9">
        <v>1</v>
      </c>
      <c r="O36" s="14" t="str">
        <f t="shared" si="2"/>
        <v>setFRVj(34,1);</v>
      </c>
      <c r="S36" s="45"/>
      <c r="T36" s="45"/>
    </row>
    <row r="37" spans="6:20" x14ac:dyDescent="0.3">
      <c r="F37" s="50"/>
      <c r="G37" s="36">
        <v>36</v>
      </c>
      <c r="H37" s="14">
        <v>296.95331126761499</v>
      </c>
      <c r="I37" s="14">
        <v>59.893363067344836</v>
      </c>
      <c r="J37" s="14">
        <v>217.21024133842053</v>
      </c>
      <c r="K37" s="14" t="str">
        <f t="shared" si="0"/>
        <v>setDj(35,218);</v>
      </c>
      <c r="L37" s="14" t="s">
        <v>25</v>
      </c>
      <c r="M37" s="14" t="str">
        <f t="shared" si="1"/>
        <v>setPOj(35,0.002);</v>
      </c>
      <c r="N37" s="9">
        <v>1</v>
      </c>
      <c r="O37" s="14" t="str">
        <f t="shared" si="2"/>
        <v>setFRVj(35,1);</v>
      </c>
      <c r="S37" s="45"/>
      <c r="T37" s="45"/>
    </row>
    <row r="38" spans="6:20" x14ac:dyDescent="0.3">
      <c r="F38" s="50"/>
      <c r="G38" s="36">
        <v>37</v>
      </c>
      <c r="H38" s="14">
        <v>296.97428689541709</v>
      </c>
      <c r="I38" s="14">
        <v>53.493812082482982</v>
      </c>
      <c r="J38" s="14">
        <v>257.99725663407816</v>
      </c>
      <c r="K38" s="14" t="str">
        <f t="shared" si="0"/>
        <v>setDj(36,258);</v>
      </c>
      <c r="L38" s="14" t="s">
        <v>25</v>
      </c>
      <c r="M38" s="14" t="str">
        <f t="shared" si="1"/>
        <v>setPOj(36,0.002);</v>
      </c>
      <c r="N38" s="9">
        <v>1</v>
      </c>
      <c r="O38" s="14" t="str">
        <f t="shared" si="2"/>
        <v>setFRVj(36,1);</v>
      </c>
      <c r="S38" s="45"/>
      <c r="T38" s="45"/>
    </row>
    <row r="39" spans="6:20" x14ac:dyDescent="0.3">
      <c r="F39" s="50"/>
      <c r="G39" s="36">
        <v>38</v>
      </c>
      <c r="H39" s="14">
        <v>298.12772604722471</v>
      </c>
      <c r="I39" s="14">
        <v>60.751534399457711</v>
      </c>
      <c r="J39" s="14">
        <v>221.02091728659002</v>
      </c>
      <c r="K39" s="14" t="str">
        <f t="shared" si="0"/>
        <v>setDj(37,222);</v>
      </c>
      <c r="L39" s="14" t="s">
        <v>25</v>
      </c>
      <c r="M39" s="14" t="str">
        <f t="shared" si="1"/>
        <v>setPOj(37,0.002);</v>
      </c>
      <c r="N39" s="9">
        <v>1</v>
      </c>
      <c r="O39" s="14" t="str">
        <f t="shared" si="2"/>
        <v>setFRVj(37,1);</v>
      </c>
      <c r="S39" s="45"/>
      <c r="T39" s="45"/>
    </row>
    <row r="40" spans="6:20" x14ac:dyDescent="0.3">
      <c r="F40" s="50"/>
      <c r="G40" s="36">
        <v>39</v>
      </c>
      <c r="H40" s="14">
        <v>298.86672650236659</v>
      </c>
      <c r="I40" s="14">
        <v>65.099978969969101</v>
      </c>
      <c r="J40" s="14">
        <v>511.39466425029991</v>
      </c>
      <c r="K40" s="14" t="str">
        <f t="shared" si="0"/>
        <v>setDj(38,512);</v>
      </c>
      <c r="L40" s="14" t="s">
        <v>25</v>
      </c>
      <c r="M40" s="14" t="str">
        <f t="shared" si="1"/>
        <v>setPOj(38,0.002);</v>
      </c>
      <c r="N40" s="9">
        <v>1</v>
      </c>
      <c r="O40" s="14" t="str">
        <f t="shared" si="2"/>
        <v>setFRVj(38,1);</v>
      </c>
      <c r="S40" s="45"/>
      <c r="T40" s="45"/>
    </row>
    <row r="41" spans="6:20" x14ac:dyDescent="0.3">
      <c r="F41" s="50"/>
      <c r="G41" s="36">
        <v>40</v>
      </c>
      <c r="H41" s="14">
        <v>299.63075816670232</v>
      </c>
      <c r="I41" s="14">
        <v>67.218866469909969</v>
      </c>
      <c r="J41" s="14">
        <v>145.81890293924988</v>
      </c>
      <c r="K41" s="14" t="str">
        <f t="shared" si="0"/>
        <v>setDj(39,146);</v>
      </c>
      <c r="L41" s="14" t="s">
        <v>25</v>
      </c>
      <c r="M41" s="14" t="str">
        <f t="shared" si="1"/>
        <v>setPOj(39,0.002);</v>
      </c>
      <c r="N41" s="9">
        <v>3</v>
      </c>
      <c r="O41" s="14" t="str">
        <f t="shared" si="2"/>
        <v>setFRVj(39,3);</v>
      </c>
      <c r="S41" s="45"/>
      <c r="T41" s="45"/>
    </row>
    <row r="42" spans="6:20" x14ac:dyDescent="0.3">
      <c r="F42" s="50"/>
      <c r="G42" s="36">
        <v>41</v>
      </c>
      <c r="H42" s="14">
        <v>301.83307477458123</v>
      </c>
      <c r="I42" s="14">
        <v>74.951951089495054</v>
      </c>
      <c r="J42" s="14">
        <v>310</v>
      </c>
      <c r="K42" s="14" t="str">
        <f t="shared" si="0"/>
        <v>setDj(40,310);</v>
      </c>
      <c r="L42" s="14" t="s">
        <v>25</v>
      </c>
      <c r="M42" s="14" t="str">
        <f t="shared" si="1"/>
        <v>setPOj(40,0.002);</v>
      </c>
      <c r="N42" s="9">
        <v>2</v>
      </c>
      <c r="O42" s="14" t="str">
        <f t="shared" si="2"/>
        <v>setFRVj(40,2);</v>
      </c>
      <c r="S42" s="45"/>
      <c r="T42" s="45"/>
    </row>
    <row r="43" spans="6:20" x14ac:dyDescent="0.3">
      <c r="F43" s="50"/>
      <c r="G43" s="38">
        <v>42</v>
      </c>
      <c r="H43" s="14">
        <v>299.58002484013491</v>
      </c>
      <c r="I43" s="14">
        <v>41.531245279030067</v>
      </c>
      <c r="J43" s="14">
        <v>211.53340681752402</v>
      </c>
      <c r="K43" s="14" t="str">
        <f t="shared" si="0"/>
        <v>setDj(41,212);</v>
      </c>
      <c r="L43" s="14" t="s">
        <v>25</v>
      </c>
      <c r="M43" s="14" t="str">
        <f t="shared" si="1"/>
        <v>setPOj(41,0.002);</v>
      </c>
      <c r="N43" s="9">
        <v>1</v>
      </c>
      <c r="O43" s="14" t="str">
        <f t="shared" si="2"/>
        <v>setFRVj(41,1);</v>
      </c>
      <c r="S43" s="45"/>
      <c r="T43" s="45"/>
    </row>
    <row r="44" spans="6:20" x14ac:dyDescent="0.3">
      <c r="F44" s="50"/>
      <c r="G44" s="38">
        <v>43</v>
      </c>
      <c r="H44" s="14">
        <v>302.66913591291711</v>
      </c>
      <c r="I44" s="14">
        <v>45.577987488217346</v>
      </c>
      <c r="J44" s="14">
        <v>364.08810064884096</v>
      </c>
      <c r="K44" s="14" t="str">
        <f t="shared" si="0"/>
        <v>setDj(42,365);</v>
      </c>
      <c r="L44" s="14" t="s">
        <v>25</v>
      </c>
      <c r="M44" s="14" t="str">
        <f t="shared" si="1"/>
        <v>setPOj(42,0.002);</v>
      </c>
      <c r="N44" s="9">
        <v>1</v>
      </c>
      <c r="O44" s="14" t="str">
        <f t="shared" si="2"/>
        <v>setFRVj(42,1);</v>
      </c>
      <c r="S44" s="45"/>
      <c r="T44" s="45"/>
    </row>
    <row r="45" spans="6:20" x14ac:dyDescent="0.3">
      <c r="F45" s="50"/>
      <c r="G45" s="38">
        <v>44</v>
      </c>
      <c r="H45" s="14">
        <v>304.93451772597047</v>
      </c>
      <c r="I45" s="14">
        <v>43.346740352993152</v>
      </c>
      <c r="J45" s="14">
        <v>197.82461126156434</v>
      </c>
      <c r="K45" s="14" t="str">
        <f t="shared" si="0"/>
        <v>setDj(43,198);</v>
      </c>
      <c r="L45" s="14" t="s">
        <v>25</v>
      </c>
      <c r="M45" s="14" t="str">
        <f t="shared" si="1"/>
        <v>setPOj(43,0.002);</v>
      </c>
      <c r="N45" s="9">
        <v>1</v>
      </c>
      <c r="O45" s="14" t="str">
        <f t="shared" si="2"/>
        <v>setFRVj(43,1);</v>
      </c>
      <c r="S45" s="45"/>
      <c r="T45" s="45"/>
    </row>
    <row r="46" spans="6:20" x14ac:dyDescent="0.3">
      <c r="F46" s="50"/>
      <c r="G46" s="38">
        <v>45</v>
      </c>
      <c r="H46" s="14">
        <v>308.41777550242728</v>
      </c>
      <c r="I46" s="14">
        <v>37.496528008674701</v>
      </c>
      <c r="J46" s="14">
        <v>104.16132807466707</v>
      </c>
      <c r="K46" s="14" t="str">
        <f t="shared" si="0"/>
        <v>setDj(44,105);</v>
      </c>
      <c r="L46" s="14" t="s">
        <v>25</v>
      </c>
      <c r="M46" s="14" t="str">
        <f t="shared" si="1"/>
        <v>setPOj(44,0.002);</v>
      </c>
      <c r="N46" s="9">
        <v>1</v>
      </c>
      <c r="O46" s="14" t="str">
        <f t="shared" si="2"/>
        <v>setFRVj(44,1);</v>
      </c>
      <c r="S46" s="45"/>
      <c r="T46" s="45"/>
    </row>
    <row r="47" spans="6:20" x14ac:dyDescent="0.3">
      <c r="F47" s="50"/>
      <c r="G47" s="38">
        <v>46</v>
      </c>
      <c r="H47" s="14">
        <v>308.60521441239564</v>
      </c>
      <c r="I47" s="14">
        <v>38.520405468781711</v>
      </c>
      <c r="J47" s="14">
        <v>527.46084887326492</v>
      </c>
      <c r="K47" s="14" t="str">
        <f t="shared" si="0"/>
        <v>setDj(45,528);</v>
      </c>
      <c r="L47" s="14" t="s">
        <v>25</v>
      </c>
      <c r="M47" s="14" t="str">
        <f t="shared" si="1"/>
        <v>setPOj(45,0.002);</v>
      </c>
      <c r="N47" s="9">
        <v>2</v>
      </c>
      <c r="O47" s="14" t="str">
        <f t="shared" si="2"/>
        <v>setFRVj(45,2);</v>
      </c>
      <c r="S47" s="45"/>
      <c r="T47" s="45"/>
    </row>
    <row r="48" spans="6:20" x14ac:dyDescent="0.3">
      <c r="F48" s="50"/>
      <c r="G48" s="38">
        <v>47</v>
      </c>
      <c r="H48" s="14">
        <v>317.76115120391955</v>
      </c>
      <c r="I48" s="14">
        <v>37.786912887397882</v>
      </c>
      <c r="J48" s="14">
        <v>341.491467583023</v>
      </c>
      <c r="K48" s="14" t="str">
        <f t="shared" si="0"/>
        <v>setDj(46,342);</v>
      </c>
      <c r="L48" s="14" t="s">
        <v>25</v>
      </c>
      <c r="M48" s="14" t="str">
        <f t="shared" si="1"/>
        <v>setPOj(46,0.002);</v>
      </c>
      <c r="N48" s="9">
        <v>1</v>
      </c>
      <c r="O48" s="14" t="str">
        <f t="shared" si="2"/>
        <v>setFRVj(46,1);</v>
      </c>
      <c r="S48" s="45"/>
      <c r="T48" s="45"/>
    </row>
    <row r="49" spans="6:20" x14ac:dyDescent="0.3">
      <c r="F49" s="50"/>
      <c r="G49" s="38">
        <v>48</v>
      </c>
      <c r="H49" s="14">
        <v>318.78588372100916</v>
      </c>
      <c r="I49" s="14">
        <v>37.637220144628344</v>
      </c>
      <c r="J49" s="14">
        <v>211.64363379024599</v>
      </c>
      <c r="K49" s="14" t="str">
        <f t="shared" si="0"/>
        <v>setDj(47,212);</v>
      </c>
      <c r="L49" s="14" t="s">
        <v>25</v>
      </c>
      <c r="M49" s="14" t="str">
        <f t="shared" si="1"/>
        <v>setPOj(47,0.002);</v>
      </c>
      <c r="N49" s="9">
        <v>3</v>
      </c>
      <c r="O49" s="14" t="str">
        <f t="shared" si="2"/>
        <v>setFRVj(47,3);</v>
      </c>
      <c r="S49" s="45"/>
      <c r="T49" s="45"/>
    </row>
    <row r="50" spans="6:20" x14ac:dyDescent="0.3">
      <c r="F50" s="50"/>
      <c r="G50" s="38">
        <v>49</v>
      </c>
      <c r="H50" s="14">
        <v>320.82745764204839</v>
      </c>
      <c r="I50" s="14">
        <v>37.247705611796874</v>
      </c>
      <c r="J50" s="14">
        <v>224.72476401833561</v>
      </c>
      <c r="K50" s="14" t="str">
        <f t="shared" si="0"/>
        <v>setDj(48,225);</v>
      </c>
      <c r="L50" s="14" t="s">
        <v>25</v>
      </c>
      <c r="M50" s="14" t="str">
        <f t="shared" si="1"/>
        <v>setPOj(48,0.002);</v>
      </c>
      <c r="N50" s="9">
        <v>1</v>
      </c>
      <c r="O50" s="14" t="str">
        <f t="shared" si="2"/>
        <v>setFRVj(48,1);</v>
      </c>
      <c r="S50" s="45"/>
      <c r="T50" s="45"/>
    </row>
    <row r="51" spans="6:20" x14ac:dyDescent="0.3">
      <c r="F51" s="50"/>
      <c r="G51" s="40">
        <v>50</v>
      </c>
      <c r="H51" s="14">
        <v>313.3560244282458</v>
      </c>
      <c r="I51" s="14">
        <v>64.316122793834708</v>
      </c>
      <c r="J51" s="14">
        <v>99.353565178501128</v>
      </c>
      <c r="K51" s="14" t="str">
        <f t="shared" si="0"/>
        <v>setDj(49,100);</v>
      </c>
      <c r="L51" s="14" t="s">
        <v>25</v>
      </c>
      <c r="M51" s="14" t="str">
        <f t="shared" si="1"/>
        <v>setPOj(49,0.002);</v>
      </c>
      <c r="N51" s="9">
        <v>1</v>
      </c>
      <c r="O51" s="14" t="str">
        <f t="shared" si="2"/>
        <v>setFRVj(49,1);</v>
      </c>
      <c r="S51" s="45"/>
      <c r="T51" s="45"/>
    </row>
    <row r="52" spans="6:20" x14ac:dyDescent="0.3">
      <c r="F52" s="50"/>
      <c r="G52" s="40">
        <v>51</v>
      </c>
      <c r="H52" s="14">
        <v>314.27140641568718</v>
      </c>
      <c r="I52" s="14">
        <v>60.278380116804406</v>
      </c>
      <c r="J52" s="14">
        <v>100.96468435237094</v>
      </c>
      <c r="K52" s="14" t="str">
        <f t="shared" si="0"/>
        <v>setDj(50,101);</v>
      </c>
      <c r="L52" s="14" t="s">
        <v>25</v>
      </c>
      <c r="M52" s="14" t="str">
        <f t="shared" si="1"/>
        <v>setPOj(50,0.002);</v>
      </c>
      <c r="N52" s="9">
        <v>1</v>
      </c>
      <c r="O52" s="14" t="str">
        <f t="shared" si="2"/>
        <v>setFRVj(50,1);</v>
      </c>
      <c r="S52" s="45"/>
      <c r="T52" s="45"/>
    </row>
    <row r="53" spans="6:20" x14ac:dyDescent="0.3">
      <c r="F53" s="50"/>
      <c r="G53" s="40">
        <v>52</v>
      </c>
      <c r="H53" s="14">
        <v>315.62632034168314</v>
      </c>
      <c r="I53" s="14">
        <v>52.725950987812595</v>
      </c>
      <c r="J53" s="14">
        <v>169.3516454756429</v>
      </c>
      <c r="K53" s="14" t="str">
        <f t="shared" si="0"/>
        <v>setDj(51,170);</v>
      </c>
      <c r="L53" s="14" t="s">
        <v>25</v>
      </c>
      <c r="M53" s="14" t="str">
        <f t="shared" si="1"/>
        <v>setPOj(51,0.002);</v>
      </c>
      <c r="N53" s="9">
        <v>1</v>
      </c>
      <c r="O53" s="14" t="str">
        <f t="shared" si="2"/>
        <v>setFRVj(51,1);</v>
      </c>
      <c r="S53" s="45"/>
      <c r="T53" s="45"/>
    </row>
    <row r="54" spans="6:20" x14ac:dyDescent="0.3">
      <c r="F54" s="50"/>
      <c r="G54" s="40">
        <v>53</v>
      </c>
      <c r="H54" s="14">
        <v>317.58527676921932</v>
      </c>
      <c r="I54" s="14">
        <v>51.891953423107573</v>
      </c>
      <c r="J54" s="14">
        <v>400.84350127536862</v>
      </c>
      <c r="K54" s="14" t="str">
        <f t="shared" si="0"/>
        <v>setDj(52,401);</v>
      </c>
      <c r="L54" s="14" t="s">
        <v>25</v>
      </c>
      <c r="M54" s="14" t="str">
        <f t="shared" si="1"/>
        <v>setPOj(52,0.002);</v>
      </c>
      <c r="N54" s="9">
        <v>1</v>
      </c>
      <c r="O54" s="14" t="str">
        <f t="shared" si="2"/>
        <v>setFRVj(52,1);</v>
      </c>
      <c r="S54" s="45"/>
      <c r="T54" s="45"/>
    </row>
    <row r="55" spans="6:20" x14ac:dyDescent="0.3">
      <c r="F55" s="50"/>
      <c r="G55" s="40">
        <v>54</v>
      </c>
      <c r="H55" s="14">
        <v>318.22902348501771</v>
      </c>
      <c r="I55" s="14">
        <v>66.682334603106625</v>
      </c>
      <c r="J55" s="14">
        <v>497.09146032949423</v>
      </c>
      <c r="K55" s="14" t="str">
        <f t="shared" si="0"/>
        <v>setDj(53,498);</v>
      </c>
      <c r="L55" s="14" t="s">
        <v>25</v>
      </c>
      <c r="M55" s="14" t="str">
        <f t="shared" si="1"/>
        <v>setPOj(53,0.002);</v>
      </c>
      <c r="N55" s="9">
        <v>1</v>
      </c>
      <c r="O55" s="14" t="str">
        <f t="shared" si="2"/>
        <v>setFRVj(53,1);</v>
      </c>
      <c r="S55" s="45"/>
      <c r="T55" s="45"/>
    </row>
    <row r="56" spans="6:20" x14ac:dyDescent="0.3">
      <c r="F56" s="50"/>
      <c r="G56" s="40">
        <v>55</v>
      </c>
      <c r="H56" s="14">
        <v>323.09165427338382</v>
      </c>
      <c r="I56" s="14">
        <v>69.074871813534216</v>
      </c>
      <c r="J56" s="14">
        <v>195.4263682263873</v>
      </c>
      <c r="K56" s="14" t="str">
        <f t="shared" si="0"/>
        <v>setDj(54,196);</v>
      </c>
      <c r="L56" s="14" t="s">
        <v>25</v>
      </c>
      <c r="M56" s="14" t="str">
        <f t="shared" si="1"/>
        <v>setPOj(54,0.002);</v>
      </c>
      <c r="N56" s="9">
        <v>1</v>
      </c>
      <c r="O56" s="14" t="str">
        <f t="shared" si="2"/>
        <v>setFRVj(54,1);</v>
      </c>
      <c r="S56" s="45"/>
      <c r="T56" s="45"/>
    </row>
    <row r="57" spans="6:20" x14ac:dyDescent="0.3">
      <c r="F57" s="50"/>
      <c r="G57" s="40">
        <v>56</v>
      </c>
      <c r="H57" s="14">
        <v>327.63504935533552</v>
      </c>
      <c r="I57" s="14">
        <v>54.447954474525964</v>
      </c>
      <c r="J57" s="14">
        <v>437.06154465065606</v>
      </c>
      <c r="K57" s="14" t="str">
        <f t="shared" si="0"/>
        <v>setDj(55,438);</v>
      </c>
      <c r="L57" s="14" t="s">
        <v>25</v>
      </c>
      <c r="M57" s="14" t="str">
        <f t="shared" si="1"/>
        <v>setPOj(55,0.002);</v>
      </c>
      <c r="N57" s="9">
        <v>1</v>
      </c>
      <c r="O57" s="14" t="str">
        <f t="shared" si="2"/>
        <v>setFRVj(55,1);</v>
      </c>
      <c r="S57" s="45"/>
      <c r="T57" s="45"/>
    </row>
    <row r="58" spans="6:20" x14ac:dyDescent="0.3">
      <c r="F58" s="50"/>
      <c r="G58" s="40">
        <v>57</v>
      </c>
      <c r="H58" s="14">
        <v>330.2247369166393</v>
      </c>
      <c r="I58" s="14">
        <v>60.724158360665655</v>
      </c>
      <c r="J58" s="14">
        <v>243.42490578966306</v>
      </c>
      <c r="K58" s="14" t="str">
        <f t="shared" si="0"/>
        <v>setDj(56,244);</v>
      </c>
      <c r="L58" s="14" t="s">
        <v>25</v>
      </c>
      <c r="M58" s="14" t="str">
        <f t="shared" si="1"/>
        <v>setPOj(56,0.002);</v>
      </c>
      <c r="N58" s="9">
        <v>1</v>
      </c>
      <c r="O58" s="14" t="str">
        <f t="shared" si="2"/>
        <v>setFRVj(56,1);</v>
      </c>
      <c r="S58" s="45"/>
      <c r="T58" s="45"/>
    </row>
    <row r="59" spans="6:20" x14ac:dyDescent="0.3">
      <c r="F59" s="50"/>
      <c r="G59" s="40">
        <v>58</v>
      </c>
      <c r="H59" s="14">
        <v>335.68588574332102</v>
      </c>
      <c r="I59" s="14">
        <v>65.413959616598717</v>
      </c>
      <c r="J59" s="14">
        <v>126.26125453869709</v>
      </c>
      <c r="K59" s="14" t="str">
        <f t="shared" si="0"/>
        <v>setDj(57,127);</v>
      </c>
      <c r="L59" s="14" t="s">
        <v>25</v>
      </c>
      <c r="M59" s="14" t="str">
        <f t="shared" si="1"/>
        <v>setPOj(57,0.002);</v>
      </c>
      <c r="N59" s="9">
        <v>3</v>
      </c>
      <c r="O59" s="14" t="str">
        <f t="shared" si="2"/>
        <v>setFRVj(57,3);</v>
      </c>
      <c r="S59" s="45"/>
      <c r="T59" s="45"/>
    </row>
    <row r="60" spans="6:20" x14ac:dyDescent="0.3">
      <c r="F60" s="50"/>
      <c r="G60" s="40">
        <v>59</v>
      </c>
      <c r="H60" s="14">
        <v>335.71822937286294</v>
      </c>
      <c r="I60" s="14">
        <v>53.78912963368883</v>
      </c>
      <c r="J60" s="14">
        <v>262.49840422364741</v>
      </c>
      <c r="K60" s="14" t="str">
        <f t="shared" si="0"/>
        <v>setDj(58,263);</v>
      </c>
      <c r="L60" s="14" t="s">
        <v>25</v>
      </c>
      <c r="M60" s="14" t="str">
        <f t="shared" si="1"/>
        <v>setPOj(58,0.002);</v>
      </c>
      <c r="N60" s="9">
        <v>1</v>
      </c>
      <c r="O60" s="14" t="str">
        <f t="shared" si="2"/>
        <v>setFRVj(58,1);</v>
      </c>
      <c r="S60" s="45"/>
      <c r="T60" s="45"/>
    </row>
    <row r="61" spans="6:20" x14ac:dyDescent="0.3">
      <c r="F61" s="50"/>
      <c r="G61" s="42">
        <v>60</v>
      </c>
      <c r="H61" s="14">
        <v>309.54958654683378</v>
      </c>
      <c r="I61" s="14">
        <v>81.111364608692355</v>
      </c>
      <c r="J61" s="14">
        <v>56.282984138412765</v>
      </c>
      <c r="K61" s="14" t="str">
        <f t="shared" si="0"/>
        <v>setDj(59,57);</v>
      </c>
      <c r="L61" s="14" t="s">
        <v>25</v>
      </c>
      <c r="M61" s="14" t="str">
        <f t="shared" si="1"/>
        <v>setPOj(59,0.002);</v>
      </c>
      <c r="N61" s="9">
        <v>1</v>
      </c>
      <c r="O61" s="14" t="str">
        <f t="shared" si="2"/>
        <v>setFRVj(59,1);</v>
      </c>
      <c r="S61" s="45"/>
      <c r="T61" s="45"/>
    </row>
    <row r="62" spans="6:20" x14ac:dyDescent="0.3">
      <c r="F62" s="50"/>
      <c r="G62" s="42">
        <v>61</v>
      </c>
      <c r="H62" s="14">
        <v>312.89735091193506</v>
      </c>
      <c r="I62" s="14">
        <v>81.950901993353639</v>
      </c>
      <c r="J62" s="14">
        <v>689.14538610130626</v>
      </c>
      <c r="K62" s="14" t="str">
        <f t="shared" si="0"/>
        <v>setDj(60,690);</v>
      </c>
      <c r="L62" s="14" t="s">
        <v>25</v>
      </c>
      <c r="M62" s="14" t="str">
        <f t="shared" si="1"/>
        <v>setPOj(60,0.002);</v>
      </c>
      <c r="N62" s="9">
        <v>1</v>
      </c>
      <c r="O62" s="14" t="str">
        <f t="shared" si="2"/>
        <v>setFRVj(60,1);</v>
      </c>
      <c r="S62" s="45"/>
      <c r="T62" s="45"/>
    </row>
    <row r="63" spans="6:20" x14ac:dyDescent="0.3">
      <c r="F63" s="50"/>
      <c r="G63" s="42">
        <v>62</v>
      </c>
      <c r="H63" s="14">
        <v>313.66052544226898</v>
      </c>
      <c r="I63" s="14">
        <v>93.61993621136773</v>
      </c>
      <c r="J63" s="14">
        <v>406.27303669523673</v>
      </c>
      <c r="K63" s="14" t="str">
        <f t="shared" si="0"/>
        <v>setDj(61,407);</v>
      </c>
      <c r="L63" s="14" t="s">
        <v>25</v>
      </c>
      <c r="M63" s="14" t="str">
        <f t="shared" si="1"/>
        <v>setPOj(61,0.002);</v>
      </c>
      <c r="N63" s="9">
        <v>1</v>
      </c>
      <c r="O63" s="14" t="str">
        <f t="shared" si="2"/>
        <v>setFRVj(61,1);</v>
      </c>
      <c r="S63" s="45"/>
      <c r="T63" s="45"/>
    </row>
    <row r="64" spans="6:20" x14ac:dyDescent="0.3">
      <c r="F64" s="50"/>
      <c r="G64" s="42">
        <v>63</v>
      </c>
      <c r="H64" s="14">
        <v>316.91247174419232</v>
      </c>
      <c r="I64" s="14">
        <v>84.838688492800529</v>
      </c>
      <c r="J64" s="14">
        <v>473.00623656700782</v>
      </c>
      <c r="K64" s="14" t="str">
        <f t="shared" si="0"/>
        <v>setDj(62,474);</v>
      </c>
      <c r="L64" s="14" t="s">
        <v>25</v>
      </c>
      <c r="M64" s="14" t="str">
        <f t="shared" si="1"/>
        <v>setPOj(62,0.002);</v>
      </c>
      <c r="N64" s="9">
        <v>2</v>
      </c>
      <c r="O64" s="14" t="str">
        <f t="shared" si="2"/>
        <v>setFRVj(62,2);</v>
      </c>
      <c r="S64" s="45"/>
      <c r="T64" s="45"/>
    </row>
    <row r="65" spans="6:20" x14ac:dyDescent="0.3">
      <c r="F65" s="50"/>
      <c r="G65" s="42">
        <v>64</v>
      </c>
      <c r="H65" s="14">
        <v>317.38171528957741</v>
      </c>
      <c r="I65" s="14">
        <v>93.971337653237754</v>
      </c>
      <c r="J65" s="14">
        <v>473.00623656700782</v>
      </c>
      <c r="K65" s="14" t="str">
        <f t="shared" si="0"/>
        <v>setDj(63,474);</v>
      </c>
      <c r="L65" s="14" t="s">
        <v>25</v>
      </c>
      <c r="M65" s="14" t="str">
        <f t="shared" si="1"/>
        <v>setPOj(63,0.002);</v>
      </c>
      <c r="N65" s="9">
        <v>2</v>
      </c>
      <c r="O65" s="14" t="str">
        <f t="shared" si="2"/>
        <v>setFRVj(63,2);</v>
      </c>
      <c r="S65" s="45"/>
      <c r="T65" s="45"/>
    </row>
    <row r="66" spans="6:20" x14ac:dyDescent="0.3">
      <c r="F66" s="50"/>
      <c r="G66" s="42">
        <v>65</v>
      </c>
      <c r="H66" s="14">
        <v>318.92601197985658</v>
      </c>
      <c r="I66" s="14">
        <v>93.603431499460697</v>
      </c>
      <c r="J66" s="14">
        <v>473.00623656700782</v>
      </c>
      <c r="K66" s="14" t="str">
        <f t="shared" si="0"/>
        <v>setDj(64,474);</v>
      </c>
      <c r="L66" s="14" t="s">
        <v>25</v>
      </c>
      <c r="M66" s="14" t="str">
        <f t="shared" si="1"/>
        <v>setPOj(64,0.002);</v>
      </c>
      <c r="N66" s="9">
        <v>2</v>
      </c>
      <c r="O66" s="14" t="str">
        <f t="shared" si="2"/>
        <v>setFRVj(64,2);</v>
      </c>
      <c r="S66" s="45"/>
      <c r="T66" s="45"/>
    </row>
    <row r="67" spans="6:20" x14ac:dyDescent="0.3">
      <c r="F67" s="50"/>
      <c r="G67" s="42">
        <v>66</v>
      </c>
      <c r="H67" s="14">
        <v>320.30427871708173</v>
      </c>
      <c r="I67" s="14">
        <v>79.405094518739801</v>
      </c>
      <c r="J67" s="14">
        <v>312.95113548570282</v>
      </c>
      <c r="K67" s="14" t="str">
        <f t="shared" ref="K67:K80" si="5">CONCATENATE("setDj(",G67-1,",",ROUNDUP(J67,0),");")</f>
        <v>setDj(65,313);</v>
      </c>
      <c r="L67" s="14" t="s">
        <v>25</v>
      </c>
      <c r="M67" s="14" t="str">
        <f t="shared" ref="M67:M80" si="6">CONCATENATE("setPOj(",G67-1,",",L67,");")</f>
        <v>setPOj(65,0.002);</v>
      </c>
      <c r="N67" s="9">
        <v>1</v>
      </c>
      <c r="O67" s="14" t="str">
        <f t="shared" ref="O67:O80" si="7">CONCATENATE("setFRVj(",G67-1,",",ROUNDUP(N67,0),");")</f>
        <v>setFRVj(65,1);</v>
      </c>
      <c r="S67" s="45"/>
      <c r="T67" s="45"/>
    </row>
    <row r="68" spans="6:20" x14ac:dyDescent="0.3">
      <c r="F68" s="50"/>
      <c r="G68" s="42">
        <v>67</v>
      </c>
      <c r="H68" s="14">
        <v>320.63655491128873</v>
      </c>
      <c r="I68" s="14">
        <v>78.052544190565101</v>
      </c>
      <c r="J68" s="14">
        <v>233.24923275704379</v>
      </c>
      <c r="K68" s="14" t="str">
        <f t="shared" si="5"/>
        <v>setDj(66,234);</v>
      </c>
      <c r="L68" s="14" t="s">
        <v>25</v>
      </c>
      <c r="M68" s="14" t="str">
        <f t="shared" si="6"/>
        <v>setPOj(66,0.002);</v>
      </c>
      <c r="N68" s="9">
        <v>1</v>
      </c>
      <c r="O68" s="14" t="str">
        <f t="shared" si="7"/>
        <v>setFRVj(66,1);</v>
      </c>
      <c r="S68" s="45"/>
      <c r="T68" s="45"/>
    </row>
    <row r="69" spans="6:20" x14ac:dyDescent="0.3">
      <c r="F69" s="50"/>
      <c r="G69" s="42">
        <v>68</v>
      </c>
      <c r="H69" s="14">
        <v>323.61373916791587</v>
      </c>
      <c r="I69" s="14">
        <v>100.53151533665427</v>
      </c>
      <c r="J69" s="14">
        <v>354.65328152856114</v>
      </c>
      <c r="K69" s="14" t="str">
        <f t="shared" si="5"/>
        <v>setDj(67,355);</v>
      </c>
      <c r="L69" s="14" t="s">
        <v>25</v>
      </c>
      <c r="M69" s="14" t="str">
        <f t="shared" si="6"/>
        <v>setPOj(67,0.002);</v>
      </c>
      <c r="N69" s="9">
        <v>1</v>
      </c>
      <c r="O69" s="14" t="str">
        <f t="shared" si="7"/>
        <v>setFRVj(67,1);</v>
      </c>
      <c r="S69" s="45"/>
      <c r="T69" s="45"/>
    </row>
    <row r="70" spans="6:20" x14ac:dyDescent="0.3">
      <c r="F70" s="50"/>
      <c r="G70" s="42">
        <v>69</v>
      </c>
      <c r="H70" s="14">
        <v>329.76857850421243</v>
      </c>
      <c r="I70" s="14">
        <v>80.443069527382008</v>
      </c>
      <c r="J70" s="14">
        <v>324.97668365254049</v>
      </c>
      <c r="K70" s="14" t="str">
        <f t="shared" si="5"/>
        <v>setDj(68,325);</v>
      </c>
      <c r="L70" s="14" t="s">
        <v>25</v>
      </c>
      <c r="M70" s="14" t="str">
        <f t="shared" si="6"/>
        <v>setPOj(68,0.002);</v>
      </c>
      <c r="N70" s="9">
        <v>1</v>
      </c>
      <c r="O70" s="14" t="str">
        <f t="shared" si="7"/>
        <v>setFRVj(68,1);</v>
      </c>
      <c r="S70" s="45"/>
      <c r="T70" s="45"/>
    </row>
    <row r="71" spans="6:20" x14ac:dyDescent="0.3">
      <c r="F71" s="50"/>
      <c r="G71" s="42">
        <v>70</v>
      </c>
      <c r="H71" s="14">
        <v>331.0183397839366</v>
      </c>
      <c r="I71" s="14">
        <v>85.40224156511789</v>
      </c>
      <c r="J71" s="14">
        <v>473.00623656700782</v>
      </c>
      <c r="K71" s="14" t="str">
        <f t="shared" si="5"/>
        <v>setDj(69,474);</v>
      </c>
      <c r="L71" s="14" t="s">
        <v>25</v>
      </c>
      <c r="M71" s="14" t="str">
        <f t="shared" si="6"/>
        <v>setPOj(69,0.002);</v>
      </c>
      <c r="N71" s="9">
        <v>2</v>
      </c>
      <c r="O71" s="14" t="str">
        <f t="shared" si="7"/>
        <v>setFRVj(69,2);</v>
      </c>
      <c r="S71" s="45"/>
      <c r="T71" s="45"/>
    </row>
    <row r="72" spans="6:20" x14ac:dyDescent="0.3">
      <c r="F72" s="50"/>
      <c r="G72" s="42">
        <v>71</v>
      </c>
      <c r="H72" s="14">
        <v>332.29949526511331</v>
      </c>
      <c r="I72" s="14">
        <v>82.976828226453094</v>
      </c>
      <c r="J72" s="14">
        <v>473.00623656700782</v>
      </c>
      <c r="K72" s="14" t="str">
        <f t="shared" si="5"/>
        <v>setDj(70,474);</v>
      </c>
      <c r="L72" s="14" t="s">
        <v>25</v>
      </c>
      <c r="M72" s="14" t="str">
        <f t="shared" si="6"/>
        <v>setPOj(70,0.002);</v>
      </c>
      <c r="N72" s="9">
        <v>2</v>
      </c>
      <c r="O72" s="14" t="str">
        <f t="shared" si="7"/>
        <v>setFRVj(70,2);</v>
      </c>
      <c r="S72" s="45"/>
      <c r="T72" s="45"/>
    </row>
    <row r="73" spans="6:20" x14ac:dyDescent="0.3">
      <c r="F73" s="50"/>
      <c r="G73" s="44">
        <v>72</v>
      </c>
      <c r="H73" s="14">
        <v>344.07278061076187</v>
      </c>
      <c r="I73" s="14">
        <v>64.139860015270941</v>
      </c>
      <c r="J73" s="14">
        <v>172.96798541727486</v>
      </c>
      <c r="K73" s="14" t="str">
        <f t="shared" si="5"/>
        <v>setDj(71,173);</v>
      </c>
      <c r="L73" s="14" t="s">
        <v>25</v>
      </c>
      <c r="M73" s="14" t="str">
        <f t="shared" si="6"/>
        <v>setPOj(71,0.002);</v>
      </c>
      <c r="N73" s="9">
        <v>3</v>
      </c>
      <c r="O73" s="14" t="str">
        <f t="shared" si="7"/>
        <v>setFRVj(71,3);</v>
      </c>
      <c r="S73" s="45"/>
      <c r="T73" s="45"/>
    </row>
    <row r="74" spans="6:20" x14ac:dyDescent="0.3">
      <c r="F74" s="50"/>
      <c r="G74" s="44">
        <v>73</v>
      </c>
      <c r="H74" s="14">
        <v>345.32847733269944</v>
      </c>
      <c r="I74" s="14">
        <v>62.843000748526634</v>
      </c>
      <c r="J74" s="14">
        <v>303.05135811492471</v>
      </c>
      <c r="K74" s="14" t="str">
        <f t="shared" si="5"/>
        <v>setDj(72,304);</v>
      </c>
      <c r="L74" s="14" t="s">
        <v>25</v>
      </c>
      <c r="M74" s="14" t="str">
        <f t="shared" si="6"/>
        <v>setPOj(72,0.002);</v>
      </c>
      <c r="N74" s="9">
        <v>1</v>
      </c>
      <c r="O74" s="14" t="str">
        <f t="shared" si="7"/>
        <v>setFRVj(72,1);</v>
      </c>
      <c r="S74" s="45"/>
      <c r="T74" s="45"/>
    </row>
    <row r="75" spans="6:20" x14ac:dyDescent="0.3">
      <c r="F75" s="50"/>
      <c r="G75" s="44">
        <v>74</v>
      </c>
      <c r="H75" s="14">
        <v>348.83263622622866</v>
      </c>
      <c r="I75" s="14">
        <v>77.905067832636604</v>
      </c>
      <c r="J75" s="14">
        <v>128.33892814918858</v>
      </c>
      <c r="K75" s="14" t="str">
        <f t="shared" si="5"/>
        <v>setDj(73,129);</v>
      </c>
      <c r="L75" s="14" t="s">
        <v>25</v>
      </c>
      <c r="M75" s="14" t="str">
        <f t="shared" si="6"/>
        <v>setPOj(73,0.002);</v>
      </c>
      <c r="N75" s="9">
        <v>1</v>
      </c>
      <c r="O75" s="14" t="str">
        <f t="shared" si="7"/>
        <v>setFRVj(73,1);</v>
      </c>
      <c r="S75" s="45"/>
      <c r="T75" s="45"/>
    </row>
    <row r="76" spans="6:20" x14ac:dyDescent="0.3">
      <c r="F76" s="50"/>
      <c r="G76" s="44">
        <v>75</v>
      </c>
      <c r="H76" s="14">
        <v>351.67024516615339</v>
      </c>
      <c r="I76" s="14">
        <v>76.993757310431079</v>
      </c>
      <c r="J76" s="14">
        <v>221.36043010799847</v>
      </c>
      <c r="K76" s="14" t="str">
        <f t="shared" si="5"/>
        <v>setDj(74,222);</v>
      </c>
      <c r="L76" s="14" t="s">
        <v>25</v>
      </c>
      <c r="M76" s="14" t="str">
        <f t="shared" si="6"/>
        <v>setPOj(74,0.002);</v>
      </c>
      <c r="N76" s="9">
        <v>1</v>
      </c>
      <c r="O76" s="14" t="str">
        <f t="shared" si="7"/>
        <v>setFRVj(74,1);</v>
      </c>
      <c r="S76" s="45"/>
      <c r="T76" s="45"/>
    </row>
    <row r="77" spans="6:20" x14ac:dyDescent="0.3">
      <c r="F77" s="50"/>
      <c r="G77" s="44">
        <v>76</v>
      </c>
      <c r="H77" s="14">
        <v>354.46844381007531</v>
      </c>
      <c r="I77" s="14">
        <v>78.237601847599379</v>
      </c>
      <c r="J77" s="14">
        <v>473.00623656700782</v>
      </c>
      <c r="K77" s="14" t="str">
        <f t="shared" si="5"/>
        <v>setDj(75,474);</v>
      </c>
      <c r="L77" s="14" t="s">
        <v>25</v>
      </c>
      <c r="M77" s="14" t="str">
        <f t="shared" si="6"/>
        <v>setPOj(75,0.002);</v>
      </c>
      <c r="N77" s="9">
        <v>2</v>
      </c>
      <c r="O77" s="14" t="str">
        <f t="shared" si="7"/>
        <v>setFRVj(75,2);</v>
      </c>
      <c r="S77" s="45"/>
      <c r="T77" s="45"/>
    </row>
    <row r="78" spans="6:20" x14ac:dyDescent="0.3">
      <c r="F78" s="50"/>
      <c r="G78" s="44">
        <v>77</v>
      </c>
      <c r="H78" s="14">
        <v>355.89885017762288</v>
      </c>
      <c r="I78" s="14">
        <v>71.859105602103924</v>
      </c>
      <c r="J78" s="14">
        <v>215.29992769227658</v>
      </c>
      <c r="K78" s="14" t="str">
        <f t="shared" si="5"/>
        <v>setDj(76,216);</v>
      </c>
      <c r="L78" s="14" t="s">
        <v>25</v>
      </c>
      <c r="M78" s="14" t="str">
        <f t="shared" si="6"/>
        <v>setPOj(76,0.002);</v>
      </c>
      <c r="N78" s="9">
        <v>1</v>
      </c>
      <c r="O78" s="14" t="str">
        <f t="shared" si="7"/>
        <v>setFRVj(76,1);</v>
      </c>
      <c r="S78" s="45"/>
      <c r="T78" s="45"/>
    </row>
    <row r="79" spans="6:20" x14ac:dyDescent="0.3">
      <c r="F79" s="50"/>
      <c r="G79" s="44">
        <v>78</v>
      </c>
      <c r="H79" s="14">
        <v>356.51462447458147</v>
      </c>
      <c r="I79" s="14">
        <v>87.099497907554934</v>
      </c>
      <c r="J79" s="14">
        <v>473.00623656700782</v>
      </c>
      <c r="K79" s="14" t="str">
        <f t="shared" si="5"/>
        <v>setDj(77,474);</v>
      </c>
      <c r="L79" s="14" t="s">
        <v>25</v>
      </c>
      <c r="M79" s="14" t="str">
        <f t="shared" si="6"/>
        <v>setPOj(77,0.002);</v>
      </c>
      <c r="N79" s="9">
        <v>2</v>
      </c>
      <c r="O79" s="14" t="str">
        <f t="shared" si="7"/>
        <v>setFRVj(77,2);</v>
      </c>
      <c r="S79" s="45"/>
      <c r="T79" s="45"/>
    </row>
    <row r="80" spans="6:20" x14ac:dyDescent="0.3">
      <c r="F80" s="50"/>
      <c r="G80" s="44">
        <v>79</v>
      </c>
      <c r="H80" s="14">
        <v>357.68914786997556</v>
      </c>
      <c r="I80" s="14">
        <v>82.143006373341137</v>
      </c>
      <c r="J80" s="14">
        <v>473.00623656700782</v>
      </c>
      <c r="K80" s="14" t="str">
        <f t="shared" si="5"/>
        <v>setDj(78,474);</v>
      </c>
      <c r="L80" s="14" t="s">
        <v>25</v>
      </c>
      <c r="M80" s="14" t="str">
        <f t="shared" si="6"/>
        <v>setPOj(78,0.002);</v>
      </c>
      <c r="N80" s="9">
        <v>2</v>
      </c>
      <c r="O80" s="14" t="str">
        <f t="shared" si="7"/>
        <v>setFRVj(78,2);</v>
      </c>
      <c r="S80" s="45"/>
      <c r="T80" s="45"/>
    </row>
    <row r="81" spans="6:15" x14ac:dyDescent="0.3">
      <c r="F81" s="50"/>
      <c r="G81" s="19">
        <v>80</v>
      </c>
      <c r="H81" s="14"/>
      <c r="I81" s="14"/>
      <c r="J81" s="14"/>
      <c r="K81" s="14"/>
      <c r="L81" s="14"/>
      <c r="M81" s="14"/>
      <c r="N81" s="9"/>
      <c r="O81" s="14"/>
    </row>
    <row r="82" spans="6:15" x14ac:dyDescent="0.3">
      <c r="F82" s="50"/>
      <c r="G82" s="19">
        <v>81</v>
      </c>
      <c r="H82" s="15"/>
      <c r="I82" s="15"/>
      <c r="J82" s="15"/>
      <c r="K82" s="15"/>
      <c r="L82" s="15"/>
      <c r="M82" s="15"/>
      <c r="N82" s="9"/>
      <c r="O82" s="14"/>
    </row>
    <row r="83" spans="6:15" x14ac:dyDescent="0.3">
      <c r="F83" s="50"/>
      <c r="G83" s="19">
        <v>82</v>
      </c>
      <c r="H83" s="15"/>
      <c r="I83" s="15"/>
      <c r="J83" s="15"/>
      <c r="K83" s="15"/>
      <c r="L83" s="15"/>
      <c r="M83" s="15"/>
      <c r="N83" s="9"/>
      <c r="O83" s="14"/>
    </row>
    <row r="84" spans="6:15" x14ac:dyDescent="0.3">
      <c r="F84" s="50"/>
      <c r="G84" s="19">
        <v>83</v>
      </c>
      <c r="H84" s="15"/>
      <c r="I84" s="15"/>
      <c r="J84" s="15"/>
      <c r="K84" s="15"/>
      <c r="L84" s="15"/>
      <c r="M84" s="15"/>
      <c r="N84" s="9"/>
      <c r="O84" s="14"/>
    </row>
    <row r="85" spans="6:15" x14ac:dyDescent="0.3">
      <c r="F85" s="50"/>
      <c r="G85" s="19">
        <v>84</v>
      </c>
      <c r="H85" s="15"/>
      <c r="I85" s="15"/>
      <c r="J85" s="15"/>
      <c r="K85" s="15"/>
      <c r="L85" s="15"/>
      <c r="M85" s="15"/>
      <c r="N85" s="9"/>
      <c r="O85" s="14"/>
    </row>
    <row r="86" spans="6:15" x14ac:dyDescent="0.3">
      <c r="F86" s="50"/>
      <c r="G86" s="19">
        <v>85</v>
      </c>
      <c r="H86" s="15"/>
      <c r="I86" s="15"/>
      <c r="J86" s="15"/>
      <c r="K86" s="15"/>
      <c r="L86" s="15"/>
      <c r="M86" s="15"/>
      <c r="N86" s="9"/>
      <c r="O86" s="14"/>
    </row>
    <row r="87" spans="6:15" x14ac:dyDescent="0.3">
      <c r="F87" s="50"/>
      <c r="G87" s="19">
        <v>86</v>
      </c>
      <c r="H87" s="15"/>
      <c r="I87" s="15"/>
      <c r="J87" s="15"/>
      <c r="K87" s="15"/>
      <c r="L87" s="15"/>
      <c r="M87" s="15"/>
      <c r="N87" s="9"/>
      <c r="O87" s="14"/>
    </row>
    <row r="88" spans="6:15" x14ac:dyDescent="0.3">
      <c r="F88" s="50"/>
      <c r="G88" s="19">
        <v>87</v>
      </c>
      <c r="H88" s="15"/>
      <c r="I88" s="15"/>
      <c r="J88" s="15"/>
      <c r="K88" s="15"/>
      <c r="L88" s="15"/>
      <c r="M88" s="15"/>
      <c r="N88" s="9"/>
      <c r="O88" s="14"/>
    </row>
    <row r="89" spans="6:15" x14ac:dyDescent="0.3">
      <c r="F89" s="50"/>
      <c r="G89" s="19">
        <v>88</v>
      </c>
      <c r="H89" s="15"/>
      <c r="I89" s="15"/>
      <c r="J89" s="15"/>
      <c r="K89" s="15"/>
      <c r="L89" s="15"/>
      <c r="M89" s="15"/>
      <c r="N89" s="9"/>
      <c r="O89" s="14"/>
    </row>
    <row r="90" spans="6:15" x14ac:dyDescent="0.3">
      <c r="F90" s="50"/>
      <c r="G90" s="19">
        <v>89</v>
      </c>
      <c r="H90" s="15"/>
      <c r="I90" s="15"/>
      <c r="J90" s="15"/>
      <c r="K90" s="15"/>
      <c r="L90" s="15"/>
      <c r="M90" s="15"/>
      <c r="N90" s="9"/>
      <c r="O90" s="14"/>
    </row>
    <row r="91" spans="6:15" x14ac:dyDescent="0.3">
      <c r="F91" s="50"/>
      <c r="G91" s="19">
        <v>90</v>
      </c>
      <c r="H91" s="15"/>
      <c r="I91" s="15"/>
      <c r="J91" s="15"/>
      <c r="K91" s="15"/>
      <c r="L91" s="15"/>
      <c r="M91" s="15"/>
      <c r="N91" s="9"/>
      <c r="O91" s="14"/>
    </row>
    <row r="92" spans="6:15" x14ac:dyDescent="0.3">
      <c r="F92" s="50"/>
      <c r="G92" s="19">
        <v>91</v>
      </c>
      <c r="H92" s="15"/>
      <c r="I92" s="15"/>
      <c r="J92" s="15"/>
      <c r="K92" s="15"/>
      <c r="L92" s="15"/>
      <c r="M92" s="15"/>
      <c r="N92" s="9"/>
      <c r="O92" s="14"/>
    </row>
    <row r="93" spans="6:15" x14ac:dyDescent="0.3">
      <c r="F93" s="50"/>
      <c r="G93" s="19">
        <v>92</v>
      </c>
      <c r="H93" s="15"/>
      <c r="I93" s="15"/>
      <c r="J93" s="15"/>
      <c r="K93" s="15"/>
      <c r="L93" s="15"/>
      <c r="M93" s="15"/>
      <c r="N93" s="9"/>
      <c r="O93" s="14"/>
    </row>
    <row r="94" spans="6:15" x14ac:dyDescent="0.3">
      <c r="F94" s="50"/>
      <c r="G94" s="19">
        <v>93</v>
      </c>
      <c r="H94" s="15"/>
      <c r="I94" s="15"/>
      <c r="J94" s="15"/>
      <c r="K94" s="15"/>
      <c r="L94" s="15"/>
      <c r="M94" s="15"/>
      <c r="N94" s="9"/>
      <c r="O94" s="14"/>
    </row>
    <row r="95" spans="6:15" x14ac:dyDescent="0.3">
      <c r="F95" s="50"/>
      <c r="G95" s="19">
        <v>94</v>
      </c>
      <c r="H95" s="15"/>
      <c r="I95" s="15"/>
      <c r="J95" s="15"/>
      <c r="K95" s="15"/>
      <c r="L95" s="15"/>
      <c r="M95" s="15"/>
      <c r="N95" s="9"/>
      <c r="O95" s="14"/>
    </row>
    <row r="96" spans="6:15" x14ac:dyDescent="0.3">
      <c r="F96" s="50"/>
      <c r="G96" s="19">
        <v>95</v>
      </c>
      <c r="H96" s="15"/>
      <c r="I96" s="15"/>
      <c r="J96" s="15"/>
      <c r="K96" s="15"/>
      <c r="L96" s="15"/>
      <c r="M96" s="15"/>
      <c r="N96" s="9"/>
      <c r="O96" s="14"/>
    </row>
    <row r="97" spans="6:15" x14ac:dyDescent="0.3">
      <c r="F97" s="50"/>
      <c r="G97" s="19">
        <v>96</v>
      </c>
      <c r="H97" s="15"/>
      <c r="I97" s="15"/>
      <c r="J97" s="15"/>
      <c r="K97" s="15"/>
      <c r="L97" s="15"/>
      <c r="M97" s="15"/>
      <c r="N97" s="9"/>
      <c r="O97" s="14"/>
    </row>
    <row r="98" spans="6:15" x14ac:dyDescent="0.3">
      <c r="F98" s="50"/>
      <c r="G98" s="19">
        <v>97</v>
      </c>
      <c r="H98" s="15"/>
      <c r="I98" s="15"/>
      <c r="J98" s="15"/>
      <c r="K98" s="15"/>
      <c r="L98" s="15"/>
      <c r="M98" s="15"/>
      <c r="N98" s="9"/>
      <c r="O98" s="14"/>
    </row>
    <row r="99" spans="6:15" x14ac:dyDescent="0.3">
      <c r="F99" s="50"/>
      <c r="G99" s="19">
        <v>98</v>
      </c>
      <c r="H99" s="15"/>
      <c r="I99" s="15"/>
      <c r="J99" s="15"/>
      <c r="K99" s="15"/>
      <c r="L99" s="15"/>
      <c r="M99" s="15"/>
      <c r="N99" s="9"/>
      <c r="O99" s="14"/>
    </row>
    <row r="100" spans="6:15" x14ac:dyDescent="0.3">
      <c r="F100" s="50"/>
      <c r="G100" s="19">
        <v>99</v>
      </c>
      <c r="H100" s="15"/>
      <c r="I100" s="15"/>
      <c r="J100" s="15"/>
      <c r="K100" s="15"/>
      <c r="L100" s="15"/>
      <c r="M100" s="15"/>
      <c r="N100" s="9"/>
      <c r="O100" s="14"/>
    </row>
    <row r="101" spans="6:15" ht="15" thickBot="1" x14ac:dyDescent="0.35">
      <c r="F101" s="51"/>
      <c r="G101" s="19">
        <v>100</v>
      </c>
      <c r="H101" s="15"/>
      <c r="I101" s="15"/>
      <c r="J101" s="15"/>
      <c r="K101" s="15"/>
      <c r="L101" s="15"/>
      <c r="M101" s="15"/>
      <c r="N101" s="9"/>
      <c r="O101" s="14"/>
    </row>
  </sheetData>
  <mergeCells count="2">
    <mergeCell ref="A2:A11"/>
    <mergeCell ref="F2:F10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9"/>
  <dimension ref="A1:Z2170"/>
  <sheetViews>
    <sheetView topLeftCell="A2125" zoomScaleNormal="100" workbookViewId="0">
      <selection activeCell="B2" sqref="B2:B2169"/>
    </sheetView>
  </sheetViews>
  <sheetFormatPr defaultRowHeight="14.4" x14ac:dyDescent="0.3"/>
  <cols>
    <col min="4" max="11" width="3.33203125" style="1" customWidth="1"/>
    <col min="25" max="25" width="11.6640625" style="6" customWidth="1"/>
    <col min="26" max="26" width="6.88671875" style="8" customWidth="1"/>
  </cols>
  <sheetData>
    <row r="1" spans="1:26" x14ac:dyDescent="0.3">
      <c r="A1" t="s">
        <v>51</v>
      </c>
      <c r="B1" t="s">
        <v>52</v>
      </c>
      <c r="C1" t="s">
        <v>53</v>
      </c>
      <c r="F1" s="1" t="s">
        <v>13</v>
      </c>
      <c r="S1" t="s">
        <v>57</v>
      </c>
      <c r="U1" t="s">
        <v>58</v>
      </c>
      <c r="V1" t="s">
        <v>59</v>
      </c>
      <c r="W1" t="s">
        <v>60</v>
      </c>
      <c r="Y1" s="19" t="s">
        <v>19</v>
      </c>
      <c r="Z1" s="9" t="s">
        <v>20</v>
      </c>
    </row>
    <row r="2" spans="1:26" x14ac:dyDescent="0.3">
      <c r="A2">
        <v>0</v>
      </c>
      <c r="B2" s="47">
        <v>118.28447587559023</v>
      </c>
      <c r="C2" s="46">
        <v>290.18134205849327</v>
      </c>
      <c r="D2" s="6">
        <v>1</v>
      </c>
      <c r="E2" s="6"/>
      <c r="F2" s="6"/>
      <c r="G2" s="6"/>
      <c r="H2" s="6"/>
      <c r="I2" s="6"/>
      <c r="J2" s="6"/>
      <c r="K2"/>
      <c r="L2">
        <f>VLOOKUP(D2,$Y$2:$Z$80,2)</f>
        <v>118.28447587559023</v>
      </c>
      <c r="M2" t="e">
        <f>VLOOKUP(E2,$Y$2:$Z$80,2)</f>
        <v>#N/A</v>
      </c>
      <c r="N2" t="e">
        <f t="shared" ref="N2:Q2" si="0">VLOOKUP(F2,$Y$2:$Z$80,2)</f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S2" s="48">
        <f>B2-L2</f>
        <v>0</v>
      </c>
      <c r="U2">
        <f>C2/Navio!$J$4</f>
        <v>15.668552524586051</v>
      </c>
      <c r="W2">
        <f>LARGE(U2:U2169,1)</f>
        <v>27.596480782373764</v>
      </c>
      <c r="X2" t="s">
        <v>59</v>
      </c>
      <c r="Y2" s="30">
        <v>1</v>
      </c>
      <c r="Z2" s="14">
        <v>118.28447587559023</v>
      </c>
    </row>
    <row r="3" spans="1:26" x14ac:dyDescent="0.3">
      <c r="A3">
        <v>1</v>
      </c>
      <c r="B3" s="47">
        <v>272.88821340404297</v>
      </c>
      <c r="C3" s="46">
        <v>290.18134205849327</v>
      </c>
      <c r="D3" s="6">
        <v>2</v>
      </c>
      <c r="E3" s="6"/>
      <c r="F3" s="6"/>
      <c r="G3" s="6"/>
      <c r="H3" s="6"/>
      <c r="I3" s="6"/>
      <c r="J3" s="6"/>
      <c r="K3"/>
      <c r="L3">
        <f t="shared" ref="L3:L12" si="1">VLOOKUP(D3,$Y$2:$Z$80,2)</f>
        <v>545.77642680808594</v>
      </c>
      <c r="M3" t="e">
        <f t="shared" ref="M3:M66" si="2">VLOOKUP(E3,$Y$2:$Z$80,2)</f>
        <v>#N/A</v>
      </c>
      <c r="N3" t="e">
        <f t="shared" ref="N3:N12" si="3">VLOOKUP(F3,$Y$2:$Z$80,2)</f>
        <v>#N/A</v>
      </c>
      <c r="O3" t="e">
        <f t="shared" ref="O3:O12" si="4">VLOOKUP(G3,$Y$2:$Z$80,2)</f>
        <v>#N/A</v>
      </c>
      <c r="P3" t="e">
        <f t="shared" ref="P3:P12" si="5">VLOOKUP(H3,$Y$2:$Z$80,2)</f>
        <v>#N/A</v>
      </c>
      <c r="Q3" t="e">
        <f t="shared" ref="Q3:Q12" si="6">VLOOKUP(I3,$Y$2:$Z$80,2)</f>
        <v>#N/A</v>
      </c>
      <c r="S3" s="48">
        <f t="shared" ref="S3:S7" si="7">B3-L3</f>
        <v>-272.88821340404297</v>
      </c>
      <c r="U3">
        <f>C3/Navio!$J$4</f>
        <v>15.668552524586051</v>
      </c>
      <c r="Y3" s="30">
        <v>2</v>
      </c>
      <c r="Z3" s="14">
        <v>545.77642680808594</v>
      </c>
    </row>
    <row r="4" spans="1:26" x14ac:dyDescent="0.3">
      <c r="A4">
        <v>2</v>
      </c>
      <c r="B4" s="47">
        <v>234.72817983270724</v>
      </c>
      <c r="C4" s="46">
        <v>289.62805432697212</v>
      </c>
      <c r="D4" s="6">
        <v>3</v>
      </c>
      <c r="E4" s="6"/>
      <c r="F4" s="6"/>
      <c r="G4" s="6"/>
      <c r="H4" s="6"/>
      <c r="I4" s="6"/>
      <c r="J4" s="6"/>
      <c r="K4"/>
      <c r="L4">
        <f t="shared" si="1"/>
        <v>234.72817983270724</v>
      </c>
      <c r="M4" t="e">
        <f t="shared" si="2"/>
        <v>#N/A</v>
      </c>
      <c r="N4" t="e">
        <f t="shared" si="3"/>
        <v>#N/A</v>
      </c>
      <c r="O4" t="e">
        <f t="shared" si="4"/>
        <v>#N/A</v>
      </c>
      <c r="P4" t="e">
        <f t="shared" si="5"/>
        <v>#N/A</v>
      </c>
      <c r="Q4" t="e">
        <f t="shared" si="6"/>
        <v>#N/A</v>
      </c>
      <c r="S4" s="48">
        <f t="shared" si="7"/>
        <v>0</v>
      </c>
      <c r="U4">
        <f>C4/Navio!$J$4</f>
        <v>15.638677351285622</v>
      </c>
      <c r="Y4" s="30">
        <v>3</v>
      </c>
      <c r="Z4" s="14">
        <v>234.72817983270724</v>
      </c>
    </row>
    <row r="5" spans="1:26" x14ac:dyDescent="0.3">
      <c r="A5">
        <v>3</v>
      </c>
      <c r="B5" s="47">
        <v>69.126040277960172</v>
      </c>
      <c r="C5" s="46">
        <v>359.7242769209048</v>
      </c>
      <c r="D5" s="6">
        <v>4</v>
      </c>
      <c r="E5" s="6"/>
      <c r="F5" s="6"/>
      <c r="G5" s="6"/>
      <c r="H5" s="6"/>
      <c r="I5" s="6"/>
      <c r="J5" s="6"/>
      <c r="K5"/>
      <c r="L5">
        <f t="shared" si="1"/>
        <v>207.37812083388053</v>
      </c>
      <c r="M5" t="e">
        <f t="shared" si="2"/>
        <v>#N/A</v>
      </c>
      <c r="N5" t="e">
        <f t="shared" si="3"/>
        <v>#N/A</v>
      </c>
      <c r="O5" t="e">
        <f t="shared" si="4"/>
        <v>#N/A</v>
      </c>
      <c r="P5" t="e">
        <f t="shared" si="5"/>
        <v>#N/A</v>
      </c>
      <c r="Q5" t="e">
        <f t="shared" si="6"/>
        <v>#N/A</v>
      </c>
      <c r="S5" s="48">
        <f t="shared" si="7"/>
        <v>-138.25208055592037</v>
      </c>
      <c r="U5">
        <f>C5/Navio!$J$4</f>
        <v>19.423573849788681</v>
      </c>
      <c r="Y5" s="30">
        <v>4</v>
      </c>
      <c r="Z5" s="14">
        <v>207.37812083388053</v>
      </c>
    </row>
    <row r="6" spans="1:26" x14ac:dyDescent="0.3">
      <c r="A6">
        <v>4</v>
      </c>
      <c r="B6" s="47">
        <v>293.57481955364551</v>
      </c>
      <c r="C6" s="46">
        <v>409.84282120096458</v>
      </c>
      <c r="D6" s="6">
        <v>5</v>
      </c>
      <c r="E6" s="6"/>
      <c r="F6" s="6"/>
      <c r="G6" s="6"/>
      <c r="H6" s="6"/>
      <c r="I6" s="6"/>
      <c r="J6" s="6"/>
      <c r="K6"/>
      <c r="L6">
        <f t="shared" si="1"/>
        <v>293.57481955364551</v>
      </c>
      <c r="M6" t="e">
        <f t="shared" si="2"/>
        <v>#N/A</v>
      </c>
      <c r="N6" t="e">
        <f t="shared" si="3"/>
        <v>#N/A</v>
      </c>
      <c r="O6" t="e">
        <f t="shared" si="4"/>
        <v>#N/A</v>
      </c>
      <c r="P6" t="e">
        <f t="shared" si="5"/>
        <v>#N/A</v>
      </c>
      <c r="Q6" t="e">
        <f t="shared" si="6"/>
        <v>#N/A</v>
      </c>
      <c r="S6" s="48">
        <f t="shared" si="7"/>
        <v>0</v>
      </c>
      <c r="U6">
        <f>C6/Navio!$J$4</f>
        <v>22.129761084078936</v>
      </c>
      <c r="Y6" s="30">
        <v>5</v>
      </c>
      <c r="Z6" s="14">
        <v>293.57481955364551</v>
      </c>
    </row>
    <row r="7" spans="1:26" x14ac:dyDescent="0.3">
      <c r="A7">
        <v>5</v>
      </c>
      <c r="B7" s="47">
        <v>360.92797644763806</v>
      </c>
      <c r="C7" s="46">
        <v>431.10162201540976</v>
      </c>
      <c r="D7" s="6">
        <v>6</v>
      </c>
      <c r="E7" s="6"/>
      <c r="F7" s="6"/>
      <c r="G7" s="6"/>
      <c r="H7" s="6"/>
      <c r="I7" s="6"/>
      <c r="J7" s="6"/>
      <c r="K7"/>
      <c r="L7">
        <f t="shared" si="1"/>
        <v>360.92797644763806</v>
      </c>
      <c r="M7" t="e">
        <f t="shared" si="2"/>
        <v>#N/A</v>
      </c>
      <c r="N7" t="e">
        <f t="shared" si="3"/>
        <v>#N/A</v>
      </c>
      <c r="O7" t="e">
        <f t="shared" si="4"/>
        <v>#N/A</v>
      </c>
      <c r="P7" t="e">
        <f t="shared" si="5"/>
        <v>#N/A</v>
      </c>
      <c r="Q7" t="e">
        <f t="shared" si="6"/>
        <v>#N/A</v>
      </c>
      <c r="S7" s="48">
        <f t="shared" si="7"/>
        <v>0</v>
      </c>
      <c r="U7">
        <f>C7/Navio!$J$4</f>
        <v>23.277645489078701</v>
      </c>
      <c r="Y7" s="30">
        <v>6</v>
      </c>
      <c r="Z7" s="14">
        <v>360.92797644763806</v>
      </c>
    </row>
    <row r="8" spans="1:26" x14ac:dyDescent="0.3">
      <c r="A8">
        <v>6</v>
      </c>
      <c r="B8" s="47">
        <v>391.17268927963323</v>
      </c>
      <c r="C8" s="46">
        <v>290.18134205849327</v>
      </c>
      <c r="D8" s="6">
        <v>1</v>
      </c>
      <c r="E8" s="6">
        <v>2</v>
      </c>
      <c r="F8" s="6"/>
      <c r="G8" s="6"/>
      <c r="H8" s="6"/>
      <c r="I8" s="6"/>
      <c r="J8" s="6"/>
      <c r="K8" s="6"/>
      <c r="L8">
        <f t="shared" si="1"/>
        <v>118.28447587559023</v>
      </c>
      <c r="M8">
        <f t="shared" si="2"/>
        <v>545.77642680808594</v>
      </c>
      <c r="N8" t="e">
        <f t="shared" si="3"/>
        <v>#N/A</v>
      </c>
      <c r="O8" t="e">
        <f t="shared" si="4"/>
        <v>#N/A</v>
      </c>
      <c r="P8" t="e">
        <f t="shared" si="5"/>
        <v>#N/A</v>
      </c>
      <c r="Q8" t="e">
        <f t="shared" si="6"/>
        <v>#N/A</v>
      </c>
      <c r="S8" s="48">
        <f>B8-L8-M8</f>
        <v>-272.88821340404297</v>
      </c>
      <c r="U8">
        <f>C8/Navio!$J$4</f>
        <v>15.668552524586051</v>
      </c>
      <c r="Y8" s="29">
        <v>7</v>
      </c>
      <c r="Z8" s="14">
        <v>310</v>
      </c>
    </row>
    <row r="9" spans="1:26" x14ac:dyDescent="0.3">
      <c r="A9">
        <v>7</v>
      </c>
      <c r="B9" s="47">
        <v>353.01265570829747</v>
      </c>
      <c r="C9" s="46">
        <v>290.51339433744863</v>
      </c>
      <c r="D9" s="6">
        <v>1</v>
      </c>
      <c r="E9" s="6">
        <v>3</v>
      </c>
      <c r="F9" s="6"/>
      <c r="G9" s="6"/>
      <c r="H9" s="6"/>
      <c r="I9" s="6"/>
      <c r="J9" s="6"/>
      <c r="K9" s="6"/>
      <c r="L9">
        <f t="shared" si="1"/>
        <v>118.28447587559023</v>
      </c>
      <c r="M9">
        <f t="shared" si="2"/>
        <v>234.72817983270724</v>
      </c>
      <c r="N9" t="e">
        <f t="shared" si="3"/>
        <v>#N/A</v>
      </c>
      <c r="O9" t="e">
        <f t="shared" si="4"/>
        <v>#N/A</v>
      </c>
      <c r="P9" t="e">
        <f t="shared" si="5"/>
        <v>#N/A</v>
      </c>
      <c r="Q9" t="e">
        <f t="shared" si="6"/>
        <v>#N/A</v>
      </c>
      <c r="S9" s="48">
        <f t="shared" ref="S9:S22" si="8">B9-L9-M9</f>
        <v>0</v>
      </c>
      <c r="U9">
        <f>C9/Navio!$J$4</f>
        <v>15.686481928788309</v>
      </c>
      <c r="Y9" s="29">
        <v>8</v>
      </c>
      <c r="Z9" s="14">
        <v>310</v>
      </c>
    </row>
    <row r="10" spans="1:26" x14ac:dyDescent="0.3">
      <c r="A10">
        <v>8</v>
      </c>
      <c r="B10" s="47">
        <v>187.41051615355042</v>
      </c>
      <c r="C10" s="46">
        <v>429.25524585355333</v>
      </c>
      <c r="D10" s="6">
        <v>1</v>
      </c>
      <c r="E10" s="6">
        <v>4</v>
      </c>
      <c r="F10" s="6"/>
      <c r="G10" s="6"/>
      <c r="H10" s="6"/>
      <c r="I10" s="6"/>
      <c r="J10" s="6"/>
      <c r="K10" s="6"/>
      <c r="L10">
        <f t="shared" si="1"/>
        <v>118.28447587559023</v>
      </c>
      <c r="M10">
        <f t="shared" si="2"/>
        <v>207.37812083388053</v>
      </c>
      <c r="N10" t="e">
        <f t="shared" si="3"/>
        <v>#N/A</v>
      </c>
      <c r="O10" t="e">
        <f t="shared" si="4"/>
        <v>#N/A</v>
      </c>
      <c r="P10" t="e">
        <f t="shared" si="5"/>
        <v>#N/A</v>
      </c>
      <c r="Q10" t="e">
        <f t="shared" si="6"/>
        <v>#N/A</v>
      </c>
      <c r="S10" s="48">
        <f t="shared" si="8"/>
        <v>-138.25208055592034</v>
      </c>
      <c r="U10">
        <f>C10/Navio!$J$4</f>
        <v>23.1779490659146</v>
      </c>
      <c r="Y10" s="29">
        <v>9</v>
      </c>
      <c r="Z10" s="14">
        <v>310</v>
      </c>
    </row>
    <row r="11" spans="1:26" x14ac:dyDescent="0.3">
      <c r="A11">
        <v>9</v>
      </c>
      <c r="B11" s="47">
        <v>411.85929542923577</v>
      </c>
      <c r="C11" s="46">
        <v>489.86709807552961</v>
      </c>
      <c r="D11" s="6">
        <v>1</v>
      </c>
      <c r="E11" s="6">
        <v>5</v>
      </c>
      <c r="F11" s="6"/>
      <c r="G11" s="6"/>
      <c r="H11" s="6"/>
      <c r="I11" s="6"/>
      <c r="J11" s="6"/>
      <c r="K11" s="6"/>
      <c r="L11">
        <f t="shared" si="1"/>
        <v>118.28447587559023</v>
      </c>
      <c r="M11">
        <f t="shared" si="2"/>
        <v>293.57481955364551</v>
      </c>
      <c r="N11" t="e">
        <f t="shared" si="3"/>
        <v>#N/A</v>
      </c>
      <c r="O11" t="e">
        <f t="shared" si="4"/>
        <v>#N/A</v>
      </c>
      <c r="P11" t="e">
        <f t="shared" si="5"/>
        <v>#N/A</v>
      </c>
      <c r="Q11" t="e">
        <f t="shared" si="6"/>
        <v>#N/A</v>
      </c>
      <c r="S11" s="48">
        <f t="shared" si="8"/>
        <v>0</v>
      </c>
      <c r="U11">
        <f>C11/Navio!$J$4</f>
        <v>26.450730091102109</v>
      </c>
      <c r="Y11" s="29">
        <v>10</v>
      </c>
      <c r="Z11" s="14">
        <v>290.36739528320618</v>
      </c>
    </row>
    <row r="12" spans="1:26" x14ac:dyDescent="0.3">
      <c r="A12">
        <v>10</v>
      </c>
      <c r="B12" s="47">
        <v>479.21245232322826</v>
      </c>
      <c r="C12" s="46">
        <v>510.16189500657708</v>
      </c>
      <c r="D12" s="6">
        <v>1</v>
      </c>
      <c r="E12" s="6">
        <v>6</v>
      </c>
      <c r="F12" s="6"/>
      <c r="G12" s="6"/>
      <c r="H12" s="6"/>
      <c r="I12" s="6"/>
      <c r="J12" s="6"/>
      <c r="K12" s="6"/>
      <c r="L12">
        <f t="shared" si="1"/>
        <v>118.28447587559023</v>
      </c>
      <c r="M12">
        <f t="shared" si="2"/>
        <v>360.92797644763806</v>
      </c>
      <c r="N12" t="e">
        <f t="shared" si="3"/>
        <v>#N/A</v>
      </c>
      <c r="O12" t="e">
        <f t="shared" si="4"/>
        <v>#N/A</v>
      </c>
      <c r="P12" t="e">
        <f t="shared" si="5"/>
        <v>#N/A</v>
      </c>
      <c r="Q12" t="e">
        <f t="shared" si="6"/>
        <v>#N/A</v>
      </c>
      <c r="S12" s="48">
        <f t="shared" si="8"/>
        <v>0</v>
      </c>
      <c r="U12">
        <f>C12/Navio!$J$4</f>
        <v>27.546562405592631</v>
      </c>
      <c r="Y12" s="29">
        <v>11</v>
      </c>
      <c r="Z12" s="14">
        <v>278.99258318037374</v>
      </c>
    </row>
    <row r="13" spans="1:26" x14ac:dyDescent="0.3">
      <c r="A13">
        <v>11</v>
      </c>
      <c r="B13" s="47">
        <v>507.61639323675024</v>
      </c>
      <c r="C13" s="46">
        <v>290.51339433744863</v>
      </c>
      <c r="D13" s="6">
        <v>2</v>
      </c>
      <c r="E13" s="6">
        <v>3</v>
      </c>
      <c r="F13" s="6"/>
      <c r="G13" s="6"/>
      <c r="H13" s="6"/>
      <c r="I13" s="6"/>
      <c r="J13" s="6"/>
      <c r="K13" s="6"/>
      <c r="L13">
        <f t="shared" ref="L13:L76" si="9">VLOOKUP(D13,$Y$2:$Z$80,2)</f>
        <v>545.77642680808594</v>
      </c>
      <c r="M13">
        <f t="shared" si="2"/>
        <v>234.72817983270724</v>
      </c>
      <c r="N13" t="e">
        <f t="shared" ref="N13:N76" si="10">VLOOKUP(F13,$Y$2:$Z$80,2)</f>
        <v>#N/A</v>
      </c>
      <c r="O13" t="e">
        <f t="shared" ref="O13:O76" si="11">VLOOKUP(G13,$Y$2:$Z$80,2)</f>
        <v>#N/A</v>
      </c>
      <c r="P13" t="e">
        <f t="shared" ref="P13:P76" si="12">VLOOKUP(H13,$Y$2:$Z$80,2)</f>
        <v>#N/A</v>
      </c>
      <c r="Q13" t="e">
        <f t="shared" ref="Q13:Q76" si="13">VLOOKUP(I13,$Y$2:$Z$80,2)</f>
        <v>#N/A</v>
      </c>
      <c r="S13" s="48">
        <f t="shared" si="8"/>
        <v>-272.88821340404297</v>
      </c>
      <c r="U13">
        <f>C13/Navio!$J$4</f>
        <v>15.686481928788309</v>
      </c>
      <c r="Y13" s="29">
        <v>12</v>
      </c>
      <c r="Z13" s="14">
        <v>82.076561445310972</v>
      </c>
    </row>
    <row r="14" spans="1:26" x14ac:dyDescent="0.3">
      <c r="A14">
        <v>12</v>
      </c>
      <c r="B14" s="47">
        <v>342.01425368200313</v>
      </c>
      <c r="C14" s="46">
        <v>429.25524585355333</v>
      </c>
      <c r="D14" s="6">
        <v>2</v>
      </c>
      <c r="E14" s="6">
        <v>4</v>
      </c>
      <c r="F14" s="6"/>
      <c r="G14" s="6"/>
      <c r="H14" s="6"/>
      <c r="I14" s="6"/>
      <c r="J14" s="6"/>
      <c r="K14" s="6"/>
      <c r="L14">
        <f t="shared" si="9"/>
        <v>545.77642680808594</v>
      </c>
      <c r="M14">
        <f t="shared" si="2"/>
        <v>207.37812083388053</v>
      </c>
      <c r="N14" t="e">
        <f t="shared" si="10"/>
        <v>#N/A</v>
      </c>
      <c r="O14" t="e">
        <f t="shared" si="11"/>
        <v>#N/A</v>
      </c>
      <c r="P14" t="e">
        <f t="shared" si="12"/>
        <v>#N/A</v>
      </c>
      <c r="Q14" t="e">
        <f t="shared" si="13"/>
        <v>#N/A</v>
      </c>
      <c r="S14" s="48">
        <f t="shared" si="8"/>
        <v>-411.14029395996334</v>
      </c>
      <c r="U14">
        <f>C14/Navio!$J$4</f>
        <v>23.1779490659146</v>
      </c>
      <c r="Y14" s="29">
        <v>13</v>
      </c>
      <c r="Z14" s="14">
        <v>185.56448544286178</v>
      </c>
    </row>
    <row r="15" spans="1:26" x14ac:dyDescent="0.3">
      <c r="A15">
        <v>13</v>
      </c>
      <c r="B15" s="47">
        <v>566.46303295768848</v>
      </c>
      <c r="C15" s="46">
        <v>489.86709807552961</v>
      </c>
      <c r="D15" s="6">
        <v>2</v>
      </c>
      <c r="E15" s="6">
        <v>5</v>
      </c>
      <c r="F15" s="6"/>
      <c r="G15" s="6"/>
      <c r="H15" s="6"/>
      <c r="I15" s="6"/>
      <c r="J15" s="6"/>
      <c r="K15" s="6"/>
      <c r="L15">
        <f t="shared" si="9"/>
        <v>545.77642680808594</v>
      </c>
      <c r="M15">
        <f t="shared" si="2"/>
        <v>293.57481955364551</v>
      </c>
      <c r="N15" t="e">
        <f t="shared" si="10"/>
        <v>#N/A</v>
      </c>
      <c r="O15" t="e">
        <f t="shared" si="11"/>
        <v>#N/A</v>
      </c>
      <c r="P15" t="e">
        <f t="shared" si="12"/>
        <v>#N/A</v>
      </c>
      <c r="Q15" t="e">
        <f t="shared" si="13"/>
        <v>#N/A</v>
      </c>
      <c r="S15" s="48">
        <f t="shared" si="8"/>
        <v>-272.88821340404297</v>
      </c>
      <c r="U15">
        <f>C15/Navio!$J$4</f>
        <v>26.450730091102109</v>
      </c>
      <c r="Y15" s="29">
        <v>14</v>
      </c>
      <c r="Z15" s="14">
        <v>96.197414256198073</v>
      </c>
    </row>
    <row r="16" spans="1:26" x14ac:dyDescent="0.3">
      <c r="A16">
        <v>14</v>
      </c>
      <c r="B16" s="47">
        <v>633.81618985168097</v>
      </c>
      <c r="C16" s="46">
        <v>510.16189500657708</v>
      </c>
      <c r="D16" s="6">
        <v>2</v>
      </c>
      <c r="E16" s="6">
        <v>6</v>
      </c>
      <c r="F16" s="6"/>
      <c r="G16" s="6"/>
      <c r="H16" s="6"/>
      <c r="I16" s="6"/>
      <c r="J16" s="6"/>
      <c r="K16" s="6"/>
      <c r="L16">
        <f t="shared" si="9"/>
        <v>545.77642680808594</v>
      </c>
      <c r="M16">
        <f t="shared" si="2"/>
        <v>360.92797644763806</v>
      </c>
      <c r="N16" t="e">
        <f t="shared" si="10"/>
        <v>#N/A</v>
      </c>
      <c r="O16" t="e">
        <f t="shared" si="11"/>
        <v>#N/A</v>
      </c>
      <c r="P16" t="e">
        <f t="shared" si="12"/>
        <v>#N/A</v>
      </c>
      <c r="Q16" t="e">
        <f t="shared" si="13"/>
        <v>#N/A</v>
      </c>
      <c r="S16" s="48">
        <f t="shared" si="8"/>
        <v>-272.88821340404303</v>
      </c>
      <c r="U16">
        <f>C16/Navio!$J$4</f>
        <v>27.546562405592631</v>
      </c>
      <c r="Y16" s="29">
        <v>15</v>
      </c>
      <c r="Z16" s="14">
        <v>210.14742667389368</v>
      </c>
    </row>
    <row r="17" spans="1:26" x14ac:dyDescent="0.3">
      <c r="A17">
        <v>15</v>
      </c>
      <c r="B17" s="47">
        <v>303.85422011066743</v>
      </c>
      <c r="C17" s="46">
        <v>428.44121936323802</v>
      </c>
      <c r="D17" s="6">
        <v>3</v>
      </c>
      <c r="E17" s="6">
        <v>4</v>
      </c>
      <c r="F17" s="6"/>
      <c r="G17" s="6"/>
      <c r="H17" s="6"/>
      <c r="I17" s="6"/>
      <c r="J17" s="6"/>
      <c r="K17" s="6"/>
      <c r="L17">
        <f t="shared" si="9"/>
        <v>234.72817983270724</v>
      </c>
      <c r="M17">
        <f t="shared" si="2"/>
        <v>207.37812083388053</v>
      </c>
      <c r="N17" t="e">
        <f t="shared" si="10"/>
        <v>#N/A</v>
      </c>
      <c r="O17" t="e">
        <f t="shared" si="11"/>
        <v>#N/A</v>
      </c>
      <c r="P17" t="e">
        <f t="shared" si="12"/>
        <v>#N/A</v>
      </c>
      <c r="Q17" t="e">
        <f t="shared" si="13"/>
        <v>#N/A</v>
      </c>
      <c r="S17" s="48">
        <f t="shared" si="8"/>
        <v>-138.25208055592034</v>
      </c>
      <c r="U17">
        <f>C17/Navio!$J$4</f>
        <v>23.133995113777527</v>
      </c>
      <c r="Y17" s="29">
        <v>16</v>
      </c>
      <c r="Z17" s="14">
        <v>172.96798541727486</v>
      </c>
    </row>
    <row r="18" spans="1:26" x14ac:dyDescent="0.3">
      <c r="A18">
        <v>16</v>
      </c>
      <c r="B18" s="47">
        <v>528.30299938635278</v>
      </c>
      <c r="C18" s="46">
        <v>489.05885790172351</v>
      </c>
      <c r="D18" s="6">
        <v>3</v>
      </c>
      <c r="E18" s="6">
        <v>5</v>
      </c>
      <c r="F18" s="6"/>
      <c r="G18" s="6"/>
      <c r="H18" s="6"/>
      <c r="I18" s="6"/>
      <c r="J18" s="6"/>
      <c r="K18" s="6"/>
      <c r="L18">
        <f t="shared" si="9"/>
        <v>234.72817983270724</v>
      </c>
      <c r="M18">
        <f t="shared" si="2"/>
        <v>293.57481955364551</v>
      </c>
      <c r="N18" t="e">
        <f t="shared" si="10"/>
        <v>#N/A</v>
      </c>
      <c r="O18" t="e">
        <f t="shared" si="11"/>
        <v>#N/A</v>
      </c>
      <c r="P18" t="e">
        <f t="shared" si="12"/>
        <v>#N/A</v>
      </c>
      <c r="Q18" t="e">
        <f t="shared" si="13"/>
        <v>#N/A</v>
      </c>
      <c r="S18" s="48">
        <f t="shared" si="8"/>
        <v>0</v>
      </c>
      <c r="U18">
        <f>C18/Navio!$J$4</f>
        <v>26.407088575331571</v>
      </c>
      <c r="Y18" s="29">
        <v>17</v>
      </c>
      <c r="Z18" s="14">
        <v>304.39567777634272</v>
      </c>
    </row>
    <row r="19" spans="1:26" x14ac:dyDescent="0.3">
      <c r="A19">
        <v>17</v>
      </c>
      <c r="B19" s="47">
        <v>595.65615628034527</v>
      </c>
      <c r="C19" s="46">
        <v>509.36479484917936</v>
      </c>
      <c r="D19" s="6">
        <v>3</v>
      </c>
      <c r="E19" s="6">
        <v>6</v>
      </c>
      <c r="F19" s="6"/>
      <c r="G19" s="6"/>
      <c r="H19" s="6"/>
      <c r="I19" s="6"/>
      <c r="J19" s="6"/>
      <c r="K19" s="6"/>
      <c r="L19">
        <f t="shared" si="9"/>
        <v>234.72817983270724</v>
      </c>
      <c r="M19">
        <f t="shared" si="2"/>
        <v>360.92797644763806</v>
      </c>
      <c r="N19" t="e">
        <f t="shared" si="10"/>
        <v>#N/A</v>
      </c>
      <c r="O19" t="e">
        <f t="shared" si="11"/>
        <v>#N/A</v>
      </c>
      <c r="P19" t="e">
        <f t="shared" si="12"/>
        <v>#N/A</v>
      </c>
      <c r="Q19" t="e">
        <f t="shared" si="13"/>
        <v>#N/A</v>
      </c>
      <c r="S19" s="48">
        <f t="shared" si="8"/>
        <v>0</v>
      </c>
      <c r="U19">
        <f>C19/Navio!$J$4</f>
        <v>27.503522403106793</v>
      </c>
      <c r="Y19" s="27">
        <v>18</v>
      </c>
      <c r="Z19" s="14">
        <v>182.31058600880081</v>
      </c>
    </row>
    <row r="20" spans="1:26" x14ac:dyDescent="0.3">
      <c r="A20">
        <v>18</v>
      </c>
      <c r="B20" s="47">
        <v>362.70085983160567</v>
      </c>
      <c r="C20" s="46">
        <v>420.41958324129268</v>
      </c>
      <c r="D20" s="6">
        <v>4</v>
      </c>
      <c r="E20" s="6">
        <v>5</v>
      </c>
      <c r="F20" s="6"/>
      <c r="G20" s="6"/>
      <c r="H20" s="6"/>
      <c r="I20" s="6"/>
      <c r="J20" s="6"/>
      <c r="K20" s="6"/>
      <c r="L20">
        <f t="shared" si="9"/>
        <v>207.37812083388053</v>
      </c>
      <c r="M20">
        <f t="shared" si="2"/>
        <v>293.57481955364551</v>
      </c>
      <c r="N20" t="e">
        <f t="shared" si="10"/>
        <v>#N/A</v>
      </c>
      <c r="O20" t="e">
        <f t="shared" si="11"/>
        <v>#N/A</v>
      </c>
      <c r="P20" t="e">
        <f t="shared" si="12"/>
        <v>#N/A</v>
      </c>
      <c r="Q20" t="e">
        <f t="shared" si="13"/>
        <v>#N/A</v>
      </c>
      <c r="S20" s="48">
        <f t="shared" si="8"/>
        <v>-138.25208055592037</v>
      </c>
      <c r="U20">
        <f>C20/Navio!$J$4</f>
        <v>22.700861039690565</v>
      </c>
      <c r="Y20" s="27">
        <v>19</v>
      </c>
      <c r="Z20" s="14">
        <v>211.55322479960179</v>
      </c>
    </row>
    <row r="21" spans="1:26" x14ac:dyDescent="0.3">
      <c r="A21">
        <v>19</v>
      </c>
      <c r="B21" s="47">
        <v>430.05401672559822</v>
      </c>
      <c r="C21" s="46">
        <v>441.17945948640158</v>
      </c>
      <c r="D21" s="6">
        <v>4</v>
      </c>
      <c r="E21" s="6">
        <v>6</v>
      </c>
      <c r="F21" s="6"/>
      <c r="G21" s="6"/>
      <c r="H21" s="6"/>
      <c r="I21" s="6"/>
      <c r="J21" s="6"/>
      <c r="K21" s="6"/>
      <c r="L21">
        <f t="shared" si="9"/>
        <v>207.37812083388053</v>
      </c>
      <c r="M21">
        <f t="shared" si="2"/>
        <v>360.92797644763806</v>
      </c>
      <c r="N21" t="e">
        <f t="shared" si="10"/>
        <v>#N/A</v>
      </c>
      <c r="O21" t="e">
        <f t="shared" si="11"/>
        <v>#N/A</v>
      </c>
      <c r="P21" t="e">
        <f t="shared" si="12"/>
        <v>#N/A</v>
      </c>
      <c r="Q21" t="e">
        <f t="shared" si="13"/>
        <v>#N/A</v>
      </c>
      <c r="S21" s="48">
        <f t="shared" si="8"/>
        <v>-138.25208055592037</v>
      </c>
      <c r="U21">
        <f>C21/Navio!$J$4</f>
        <v>23.821805649853779</v>
      </c>
      <c r="Y21" s="27">
        <v>20</v>
      </c>
      <c r="Z21" s="14">
        <v>264.62943895626472</v>
      </c>
    </row>
    <row r="22" spans="1:26" x14ac:dyDescent="0.3">
      <c r="A22">
        <v>20</v>
      </c>
      <c r="B22" s="47">
        <v>654.50279600128351</v>
      </c>
      <c r="C22" s="46">
        <v>431.47757614222922</v>
      </c>
      <c r="D22" s="6">
        <v>5</v>
      </c>
      <c r="E22" s="6">
        <v>6</v>
      </c>
      <c r="F22" s="6"/>
      <c r="G22" s="6"/>
      <c r="H22" s="6"/>
      <c r="I22" s="6"/>
      <c r="J22" s="6"/>
      <c r="K22" s="6"/>
      <c r="L22">
        <f t="shared" si="9"/>
        <v>293.57481955364551</v>
      </c>
      <c r="M22">
        <f t="shared" si="2"/>
        <v>360.92797644763806</v>
      </c>
      <c r="N22" t="e">
        <f t="shared" si="10"/>
        <v>#N/A</v>
      </c>
      <c r="O22" t="e">
        <f t="shared" si="11"/>
        <v>#N/A</v>
      </c>
      <c r="P22" t="e">
        <f t="shared" si="12"/>
        <v>#N/A</v>
      </c>
      <c r="Q22" t="e">
        <f t="shared" si="13"/>
        <v>#N/A</v>
      </c>
      <c r="S22" s="48">
        <f t="shared" si="8"/>
        <v>0</v>
      </c>
      <c r="U22">
        <f>C22/Navio!$J$4</f>
        <v>23.29794540547277</v>
      </c>
      <c r="Y22" s="27">
        <v>21</v>
      </c>
      <c r="Z22" s="14">
        <v>240.63200106476299</v>
      </c>
    </row>
    <row r="23" spans="1:26" x14ac:dyDescent="0.3">
      <c r="A23">
        <v>21</v>
      </c>
      <c r="B23" s="47">
        <v>625.90086911234039</v>
      </c>
      <c r="C23" s="46">
        <v>290.51339433744863</v>
      </c>
      <c r="D23" s="6">
        <v>3</v>
      </c>
      <c r="E23" s="6">
        <v>1</v>
      </c>
      <c r="F23" s="6">
        <v>2</v>
      </c>
      <c r="G23" s="6"/>
      <c r="H23" s="6"/>
      <c r="I23" s="6"/>
      <c r="J23" s="6"/>
      <c r="K23" s="6"/>
      <c r="L23">
        <f t="shared" si="9"/>
        <v>234.72817983270724</v>
      </c>
      <c r="M23">
        <f t="shared" si="2"/>
        <v>118.28447587559023</v>
      </c>
      <c r="N23">
        <f t="shared" si="10"/>
        <v>545.77642680808594</v>
      </c>
      <c r="O23" t="e">
        <f t="shared" si="11"/>
        <v>#N/A</v>
      </c>
      <c r="P23" t="e">
        <f t="shared" si="12"/>
        <v>#N/A</v>
      </c>
      <c r="Q23" t="e">
        <f t="shared" si="13"/>
        <v>#N/A</v>
      </c>
      <c r="S23" s="48">
        <f>B23-L23-M23-N23</f>
        <v>-272.88821340404309</v>
      </c>
      <c r="U23">
        <f>C23/Navio!$J$4</f>
        <v>15.686481928788309</v>
      </c>
      <c r="Y23" s="27">
        <v>22</v>
      </c>
      <c r="Z23" s="14">
        <v>291.04520797699013</v>
      </c>
    </row>
    <row r="24" spans="1:26" x14ac:dyDescent="0.3">
      <c r="A24">
        <v>22</v>
      </c>
      <c r="B24" s="47">
        <v>460.29872955759339</v>
      </c>
      <c r="C24" s="46">
        <v>429.25524585355333</v>
      </c>
      <c r="D24" s="6">
        <v>4</v>
      </c>
      <c r="E24" s="6">
        <v>1</v>
      </c>
      <c r="F24" s="6">
        <v>2</v>
      </c>
      <c r="G24" s="6"/>
      <c r="H24" s="6"/>
      <c r="I24" s="6"/>
      <c r="J24" s="6"/>
      <c r="K24" s="6"/>
      <c r="L24">
        <f t="shared" si="9"/>
        <v>207.37812083388053</v>
      </c>
      <c r="M24">
        <f t="shared" si="2"/>
        <v>118.28447587559023</v>
      </c>
      <c r="N24">
        <f t="shared" si="10"/>
        <v>545.77642680808594</v>
      </c>
      <c r="O24" t="e">
        <f t="shared" si="11"/>
        <v>#N/A</v>
      </c>
      <c r="P24" t="e">
        <f t="shared" si="12"/>
        <v>#N/A</v>
      </c>
      <c r="Q24" t="e">
        <f t="shared" si="13"/>
        <v>#N/A</v>
      </c>
      <c r="S24" s="48">
        <f t="shared" ref="S24:S41" si="14">B24-L24-M24-N24</f>
        <v>-411.14029395996329</v>
      </c>
      <c r="U24">
        <f>C24/Navio!$J$4</f>
        <v>23.1779490659146</v>
      </c>
      <c r="Y24" s="27">
        <v>23</v>
      </c>
      <c r="Z24" s="14">
        <v>269.09058234667941</v>
      </c>
    </row>
    <row r="25" spans="1:26" x14ac:dyDescent="0.3">
      <c r="A25">
        <v>23</v>
      </c>
      <c r="B25" s="47">
        <v>684.74750883327874</v>
      </c>
      <c r="C25" s="46">
        <v>489.86709807552961</v>
      </c>
      <c r="D25" s="6">
        <v>5</v>
      </c>
      <c r="E25" s="6">
        <v>1</v>
      </c>
      <c r="F25" s="6">
        <v>2</v>
      </c>
      <c r="G25" s="6"/>
      <c r="H25" s="6"/>
      <c r="I25" s="6"/>
      <c r="J25" s="6"/>
      <c r="K25" s="6"/>
      <c r="L25">
        <f t="shared" si="9"/>
        <v>293.57481955364551</v>
      </c>
      <c r="M25">
        <f t="shared" si="2"/>
        <v>118.28447587559023</v>
      </c>
      <c r="N25">
        <f t="shared" si="10"/>
        <v>545.77642680808594</v>
      </c>
      <c r="O25" t="e">
        <f t="shared" si="11"/>
        <v>#N/A</v>
      </c>
      <c r="P25" t="e">
        <f t="shared" si="12"/>
        <v>#N/A</v>
      </c>
      <c r="Q25" t="e">
        <f t="shared" si="13"/>
        <v>#N/A</v>
      </c>
      <c r="S25" s="48">
        <f t="shared" si="14"/>
        <v>-272.88821340404297</v>
      </c>
      <c r="U25">
        <f>C25/Navio!$J$4</f>
        <v>26.450730091102109</v>
      </c>
      <c r="Y25" s="27">
        <v>24</v>
      </c>
      <c r="Z25" s="14">
        <v>269.76484064861296</v>
      </c>
    </row>
    <row r="26" spans="1:26" x14ac:dyDescent="0.3">
      <c r="A26">
        <v>24</v>
      </c>
      <c r="B26" s="47">
        <v>752.10066572727123</v>
      </c>
      <c r="C26" s="46">
        <v>510.1618950065772</v>
      </c>
      <c r="D26" s="6">
        <v>6</v>
      </c>
      <c r="E26" s="6">
        <v>1</v>
      </c>
      <c r="F26" s="6">
        <v>2</v>
      </c>
      <c r="G26" s="6"/>
      <c r="H26" s="6"/>
      <c r="I26" s="6"/>
      <c r="J26" s="6"/>
      <c r="K26" s="6"/>
      <c r="L26">
        <f t="shared" si="9"/>
        <v>360.92797644763806</v>
      </c>
      <c r="M26">
        <f t="shared" si="2"/>
        <v>118.28447587559023</v>
      </c>
      <c r="N26">
        <f t="shared" si="10"/>
        <v>545.77642680808594</v>
      </c>
      <c r="O26" t="e">
        <f t="shared" si="11"/>
        <v>#N/A</v>
      </c>
      <c r="P26" t="e">
        <f t="shared" si="12"/>
        <v>#N/A</v>
      </c>
      <c r="Q26" t="e">
        <f t="shared" si="13"/>
        <v>#N/A</v>
      </c>
      <c r="S26" s="48">
        <f t="shared" si="14"/>
        <v>-272.88821340404297</v>
      </c>
      <c r="U26">
        <f>C26/Navio!$J$4</f>
        <v>27.546562405592638</v>
      </c>
      <c r="Y26" s="28">
        <v>25</v>
      </c>
      <c r="Z26" s="14">
        <v>157.92278957999292</v>
      </c>
    </row>
    <row r="27" spans="1:26" x14ac:dyDescent="0.3">
      <c r="A27">
        <v>25</v>
      </c>
      <c r="B27" s="47">
        <v>422.13869598625763</v>
      </c>
      <c r="C27" s="46">
        <v>429.32655937371442</v>
      </c>
      <c r="D27" s="6">
        <v>4</v>
      </c>
      <c r="E27" s="6">
        <v>3</v>
      </c>
      <c r="F27" s="6">
        <v>1</v>
      </c>
      <c r="G27" s="6"/>
      <c r="H27" s="6"/>
      <c r="I27" s="6"/>
      <c r="J27" s="6"/>
      <c r="K27" s="6"/>
      <c r="L27">
        <f t="shared" si="9"/>
        <v>207.37812083388053</v>
      </c>
      <c r="M27">
        <f t="shared" si="2"/>
        <v>234.72817983270724</v>
      </c>
      <c r="N27">
        <f t="shared" si="10"/>
        <v>118.28447587559023</v>
      </c>
      <c r="O27" t="e">
        <f t="shared" si="11"/>
        <v>#N/A</v>
      </c>
      <c r="P27" t="e">
        <f t="shared" si="12"/>
        <v>#N/A</v>
      </c>
      <c r="Q27" t="e">
        <f t="shared" si="13"/>
        <v>#N/A</v>
      </c>
      <c r="S27" s="48">
        <f t="shared" si="14"/>
        <v>-138.25208055592037</v>
      </c>
      <c r="U27">
        <f>C27/Navio!$J$4</f>
        <v>23.181799691280208</v>
      </c>
      <c r="Y27" s="28">
        <v>26</v>
      </c>
      <c r="Z27" s="14">
        <v>220.78480595896349</v>
      </c>
    </row>
    <row r="28" spans="1:26" x14ac:dyDescent="0.3">
      <c r="A28">
        <v>26</v>
      </c>
      <c r="B28" s="47">
        <v>646.58747526194293</v>
      </c>
      <c r="C28" s="46">
        <v>489.94419791220002</v>
      </c>
      <c r="D28" s="6">
        <v>5</v>
      </c>
      <c r="E28" s="6">
        <v>3</v>
      </c>
      <c r="F28" s="6">
        <v>1</v>
      </c>
      <c r="G28" s="6"/>
      <c r="H28" s="6"/>
      <c r="I28" s="6"/>
      <c r="J28" s="6"/>
      <c r="K28" s="6"/>
      <c r="L28">
        <f t="shared" si="9"/>
        <v>293.57481955364551</v>
      </c>
      <c r="M28">
        <f t="shared" si="2"/>
        <v>234.72817983270724</v>
      </c>
      <c r="N28">
        <f t="shared" si="10"/>
        <v>118.28447587559023</v>
      </c>
      <c r="O28" t="e">
        <f t="shared" si="11"/>
        <v>#N/A</v>
      </c>
      <c r="P28" t="e">
        <f t="shared" si="12"/>
        <v>#N/A</v>
      </c>
      <c r="Q28" t="e">
        <f t="shared" si="13"/>
        <v>#N/A</v>
      </c>
      <c r="S28" s="48">
        <f t="shared" si="14"/>
        <v>0</v>
      </c>
      <c r="U28">
        <f>C28/Navio!$J$4</f>
        <v>26.454893152834256</v>
      </c>
      <c r="Y28" s="28">
        <v>27</v>
      </c>
      <c r="Z28" s="14">
        <v>259.31323779276431</v>
      </c>
    </row>
    <row r="29" spans="1:26" x14ac:dyDescent="0.3">
      <c r="A29">
        <v>27</v>
      </c>
      <c r="B29" s="47">
        <v>713.94063215593553</v>
      </c>
      <c r="C29" s="46">
        <v>510.25013485965576</v>
      </c>
      <c r="D29" s="6">
        <v>6</v>
      </c>
      <c r="E29" s="6">
        <v>3</v>
      </c>
      <c r="F29" s="6">
        <v>1</v>
      </c>
      <c r="G29" s="6"/>
      <c r="H29" s="6"/>
      <c r="I29" s="6"/>
      <c r="J29" s="6"/>
      <c r="K29" s="6"/>
      <c r="L29">
        <f t="shared" si="9"/>
        <v>360.92797644763806</v>
      </c>
      <c r="M29">
        <f t="shared" si="2"/>
        <v>234.72817983270724</v>
      </c>
      <c r="N29">
        <f t="shared" si="10"/>
        <v>118.28447587559023</v>
      </c>
      <c r="O29" t="e">
        <f t="shared" si="11"/>
        <v>#N/A</v>
      </c>
      <c r="P29" t="e">
        <f t="shared" si="12"/>
        <v>#N/A</v>
      </c>
      <c r="Q29" t="e">
        <f t="shared" si="13"/>
        <v>#N/A</v>
      </c>
      <c r="S29" s="48">
        <f t="shared" si="14"/>
        <v>0</v>
      </c>
      <c r="U29">
        <f>C29/Navio!$J$4</f>
        <v>27.55132698060947</v>
      </c>
      <c r="Y29" s="28">
        <v>28</v>
      </c>
      <c r="Z29" s="14">
        <v>310</v>
      </c>
    </row>
    <row r="30" spans="1:26" x14ac:dyDescent="0.3">
      <c r="A30">
        <v>28</v>
      </c>
      <c r="B30" s="47">
        <v>480.98533570719593</v>
      </c>
      <c r="C30" s="46">
        <v>489.95055217394122</v>
      </c>
      <c r="D30" s="6">
        <v>5</v>
      </c>
      <c r="E30" s="6">
        <v>4</v>
      </c>
      <c r="F30" s="6">
        <v>1</v>
      </c>
      <c r="G30" s="6"/>
      <c r="H30" s="6"/>
      <c r="I30" s="6"/>
      <c r="J30" s="6"/>
      <c r="K30" s="6"/>
      <c r="L30">
        <f t="shared" si="9"/>
        <v>293.57481955364551</v>
      </c>
      <c r="M30">
        <f t="shared" si="2"/>
        <v>207.37812083388053</v>
      </c>
      <c r="N30">
        <f t="shared" si="10"/>
        <v>118.28447587559023</v>
      </c>
      <c r="O30" t="e">
        <f t="shared" si="11"/>
        <v>#N/A</v>
      </c>
      <c r="P30" t="e">
        <f t="shared" si="12"/>
        <v>#N/A</v>
      </c>
      <c r="Q30" t="e">
        <f t="shared" si="13"/>
        <v>#N/A</v>
      </c>
      <c r="S30" s="48">
        <f t="shared" si="14"/>
        <v>-138.25208055592034</v>
      </c>
      <c r="U30">
        <f>C30/Navio!$J$4</f>
        <v>26.455236255816484</v>
      </c>
      <c r="Y30" s="28">
        <v>29</v>
      </c>
      <c r="Z30" s="14">
        <v>473.00623656700782</v>
      </c>
    </row>
    <row r="31" spans="1:26" x14ac:dyDescent="0.3">
      <c r="A31">
        <v>29</v>
      </c>
      <c r="B31" s="47">
        <v>548.33849260118848</v>
      </c>
      <c r="C31" s="46">
        <v>510.71042841905012</v>
      </c>
      <c r="D31" s="6">
        <v>6</v>
      </c>
      <c r="E31" s="6">
        <v>4</v>
      </c>
      <c r="F31" s="6">
        <v>1</v>
      </c>
      <c r="G31" s="6"/>
      <c r="H31" s="6"/>
      <c r="I31" s="6"/>
      <c r="J31" s="6"/>
      <c r="K31" s="6"/>
      <c r="L31">
        <f t="shared" si="9"/>
        <v>360.92797644763806</v>
      </c>
      <c r="M31">
        <f t="shared" si="2"/>
        <v>207.37812083388053</v>
      </c>
      <c r="N31">
        <f t="shared" si="10"/>
        <v>118.28447587559023</v>
      </c>
      <c r="O31" t="e">
        <f t="shared" si="11"/>
        <v>#N/A</v>
      </c>
      <c r="P31" t="e">
        <f t="shared" si="12"/>
        <v>#N/A</v>
      </c>
      <c r="Q31" t="e">
        <f t="shared" si="13"/>
        <v>#N/A</v>
      </c>
      <c r="S31" s="48">
        <f t="shared" si="14"/>
        <v>-138.25208055592034</v>
      </c>
      <c r="U31">
        <f>C31/Navio!$J$4</f>
        <v>27.576180865979694</v>
      </c>
      <c r="Y31" s="28">
        <v>30</v>
      </c>
      <c r="Z31" s="14">
        <v>165.08096849368502</v>
      </c>
    </row>
    <row r="32" spans="1:26" x14ac:dyDescent="0.3">
      <c r="A32">
        <v>30</v>
      </c>
      <c r="B32" s="47">
        <v>772.78727187687377</v>
      </c>
      <c r="C32" s="46">
        <v>510.53784913339666</v>
      </c>
      <c r="D32" s="6">
        <v>5</v>
      </c>
      <c r="E32" s="6">
        <v>6</v>
      </c>
      <c r="F32" s="6">
        <v>1</v>
      </c>
      <c r="G32" s="6"/>
      <c r="H32" s="6"/>
      <c r="I32" s="6"/>
      <c r="J32" s="6"/>
      <c r="K32" s="6"/>
      <c r="L32">
        <f t="shared" si="9"/>
        <v>293.57481955364551</v>
      </c>
      <c r="M32">
        <f t="shared" si="2"/>
        <v>360.92797644763806</v>
      </c>
      <c r="N32">
        <f t="shared" si="10"/>
        <v>118.28447587559023</v>
      </c>
      <c r="O32" t="e">
        <f t="shared" si="11"/>
        <v>#N/A</v>
      </c>
      <c r="P32" t="e">
        <f t="shared" si="12"/>
        <v>#N/A</v>
      </c>
      <c r="Q32" t="e">
        <f t="shared" si="13"/>
        <v>#N/A</v>
      </c>
      <c r="S32" s="48">
        <f t="shared" si="14"/>
        <v>0</v>
      </c>
      <c r="U32">
        <f>C32/Navio!$J$4</f>
        <v>27.566862321986704</v>
      </c>
      <c r="Y32" s="28">
        <v>31</v>
      </c>
      <c r="Z32" s="14">
        <v>100.24730815672166</v>
      </c>
    </row>
    <row r="33" spans="1:26" x14ac:dyDescent="0.3">
      <c r="A33">
        <v>31</v>
      </c>
      <c r="B33" s="47">
        <v>576.74243351471034</v>
      </c>
      <c r="C33" s="46">
        <v>429.32655937371442</v>
      </c>
      <c r="D33" s="6">
        <v>4</v>
      </c>
      <c r="E33" s="6">
        <v>3</v>
      </c>
      <c r="F33" s="6">
        <v>2</v>
      </c>
      <c r="G33" s="6"/>
      <c r="H33" s="6"/>
      <c r="I33" s="6"/>
      <c r="J33" s="6"/>
      <c r="K33" s="6"/>
      <c r="L33">
        <f t="shared" si="9"/>
        <v>207.37812083388053</v>
      </c>
      <c r="M33">
        <f t="shared" si="2"/>
        <v>234.72817983270724</v>
      </c>
      <c r="N33">
        <f t="shared" si="10"/>
        <v>545.77642680808594</v>
      </c>
      <c r="O33" t="e">
        <f t="shared" si="11"/>
        <v>#N/A</v>
      </c>
      <c r="P33" t="e">
        <f t="shared" si="12"/>
        <v>#N/A</v>
      </c>
      <c r="Q33" t="e">
        <f t="shared" si="13"/>
        <v>#N/A</v>
      </c>
      <c r="S33" s="48">
        <f t="shared" si="14"/>
        <v>-411.1402939599634</v>
      </c>
      <c r="U33">
        <f>C33/Navio!$J$4</f>
        <v>23.181799691280208</v>
      </c>
      <c r="Y33" s="28">
        <v>32</v>
      </c>
      <c r="Z33" s="14">
        <v>473.00623656700782</v>
      </c>
    </row>
    <row r="34" spans="1:26" x14ac:dyDescent="0.3">
      <c r="A34">
        <v>32</v>
      </c>
      <c r="B34" s="47">
        <v>801.19121279039575</v>
      </c>
      <c r="C34" s="46">
        <v>489.94419791220002</v>
      </c>
      <c r="D34" s="6">
        <v>5</v>
      </c>
      <c r="E34" s="6">
        <v>3</v>
      </c>
      <c r="F34" s="6">
        <v>2</v>
      </c>
      <c r="G34" s="6"/>
      <c r="H34" s="6"/>
      <c r="I34" s="6"/>
      <c r="J34" s="6"/>
      <c r="K34" s="6"/>
      <c r="L34">
        <f t="shared" si="9"/>
        <v>293.57481955364551</v>
      </c>
      <c r="M34">
        <f t="shared" si="2"/>
        <v>234.72817983270724</v>
      </c>
      <c r="N34">
        <f t="shared" si="10"/>
        <v>545.77642680808594</v>
      </c>
      <c r="O34" t="e">
        <f t="shared" si="11"/>
        <v>#N/A</v>
      </c>
      <c r="P34" t="e">
        <f t="shared" si="12"/>
        <v>#N/A</v>
      </c>
      <c r="Q34" t="e">
        <f t="shared" si="13"/>
        <v>#N/A</v>
      </c>
      <c r="S34" s="48">
        <f t="shared" si="14"/>
        <v>-272.88821340404297</v>
      </c>
      <c r="U34">
        <f>C34/Navio!$J$4</f>
        <v>26.454893152834256</v>
      </c>
      <c r="Y34" s="28">
        <v>33</v>
      </c>
      <c r="Z34" s="14">
        <v>141.13805181087204</v>
      </c>
    </row>
    <row r="35" spans="1:26" x14ac:dyDescent="0.3">
      <c r="A35">
        <v>33</v>
      </c>
      <c r="B35" s="47">
        <v>868.54436968438824</v>
      </c>
      <c r="C35" s="46">
        <v>510.25013485965576</v>
      </c>
      <c r="D35" s="6">
        <v>6</v>
      </c>
      <c r="E35" s="6">
        <v>3</v>
      </c>
      <c r="F35" s="6">
        <v>2</v>
      </c>
      <c r="G35" s="6"/>
      <c r="H35" s="6"/>
      <c r="I35" s="6"/>
      <c r="J35" s="6"/>
      <c r="K35" s="6"/>
      <c r="L35">
        <f t="shared" si="9"/>
        <v>360.92797644763806</v>
      </c>
      <c r="M35">
        <f t="shared" si="2"/>
        <v>234.72817983270724</v>
      </c>
      <c r="N35">
        <f t="shared" si="10"/>
        <v>545.77642680808594</v>
      </c>
      <c r="O35" t="e">
        <f t="shared" si="11"/>
        <v>#N/A</v>
      </c>
      <c r="P35" t="e">
        <f t="shared" si="12"/>
        <v>#N/A</v>
      </c>
      <c r="Q35" t="e">
        <f t="shared" si="13"/>
        <v>#N/A</v>
      </c>
      <c r="S35" s="48">
        <f t="shared" si="14"/>
        <v>-272.88821340404297</v>
      </c>
      <c r="U35">
        <f>C35/Navio!$J$4</f>
        <v>27.55132698060947</v>
      </c>
      <c r="Y35" s="36">
        <v>34</v>
      </c>
      <c r="Z35" s="14">
        <v>270.48080963039234</v>
      </c>
    </row>
    <row r="36" spans="1:26" x14ac:dyDescent="0.3">
      <c r="A36">
        <v>34</v>
      </c>
      <c r="B36" s="47">
        <v>635.5890732356487</v>
      </c>
      <c r="C36" s="46">
        <v>489.95055217394122</v>
      </c>
      <c r="D36" s="6">
        <v>5</v>
      </c>
      <c r="E36" s="6">
        <v>4</v>
      </c>
      <c r="F36" s="6">
        <v>2</v>
      </c>
      <c r="G36" s="6"/>
      <c r="H36" s="6"/>
      <c r="I36" s="6"/>
      <c r="J36" s="6"/>
      <c r="K36" s="6"/>
      <c r="L36">
        <f t="shared" si="9"/>
        <v>293.57481955364551</v>
      </c>
      <c r="M36">
        <f t="shared" si="2"/>
        <v>207.37812083388053</v>
      </c>
      <c r="N36">
        <f t="shared" si="10"/>
        <v>545.77642680808594</v>
      </c>
      <c r="O36" t="e">
        <f t="shared" si="11"/>
        <v>#N/A</v>
      </c>
      <c r="P36" t="e">
        <f t="shared" si="12"/>
        <v>#N/A</v>
      </c>
      <c r="Q36" t="e">
        <f t="shared" si="13"/>
        <v>#N/A</v>
      </c>
      <c r="S36" s="48">
        <f t="shared" si="14"/>
        <v>-411.14029395996329</v>
      </c>
      <c r="U36">
        <f>C36/Navio!$J$4</f>
        <v>26.455236255816484</v>
      </c>
      <c r="Y36" s="36">
        <v>35</v>
      </c>
      <c r="Z36" s="14">
        <v>153.37368866307943</v>
      </c>
    </row>
    <row r="37" spans="1:26" x14ac:dyDescent="0.3">
      <c r="A37">
        <v>35</v>
      </c>
      <c r="B37" s="47">
        <v>702.94223012964119</v>
      </c>
      <c r="C37" s="46">
        <v>510.71042841905012</v>
      </c>
      <c r="D37" s="6">
        <v>6</v>
      </c>
      <c r="E37" s="6">
        <v>4</v>
      </c>
      <c r="F37" s="6">
        <v>2</v>
      </c>
      <c r="G37" s="6"/>
      <c r="H37" s="6"/>
      <c r="I37" s="6"/>
      <c r="J37" s="6"/>
      <c r="K37" s="6"/>
      <c r="L37">
        <f t="shared" si="9"/>
        <v>360.92797644763806</v>
      </c>
      <c r="M37">
        <f t="shared" si="2"/>
        <v>207.37812083388053</v>
      </c>
      <c r="N37">
        <f t="shared" si="10"/>
        <v>545.77642680808594</v>
      </c>
      <c r="O37" t="e">
        <f t="shared" si="11"/>
        <v>#N/A</v>
      </c>
      <c r="P37" t="e">
        <f t="shared" si="12"/>
        <v>#N/A</v>
      </c>
      <c r="Q37" t="e">
        <f t="shared" si="13"/>
        <v>#N/A</v>
      </c>
      <c r="S37" s="48">
        <f t="shared" si="14"/>
        <v>-411.14029395996334</v>
      </c>
      <c r="U37">
        <f>C37/Navio!$J$4</f>
        <v>27.576180865979694</v>
      </c>
      <c r="Y37" s="36">
        <v>36</v>
      </c>
      <c r="Z37" s="14">
        <v>217.21024133842053</v>
      </c>
    </row>
    <row r="38" spans="1:26" x14ac:dyDescent="0.3">
      <c r="A38">
        <v>36</v>
      </c>
      <c r="B38" s="47">
        <v>597.42903966431288</v>
      </c>
      <c r="C38" s="46">
        <v>489.13652568362585</v>
      </c>
      <c r="D38" s="6">
        <v>5</v>
      </c>
      <c r="E38" s="6">
        <v>4</v>
      </c>
      <c r="F38" s="6">
        <v>3</v>
      </c>
      <c r="G38" s="6"/>
      <c r="H38" s="6"/>
      <c r="I38" s="6"/>
      <c r="J38" s="6"/>
      <c r="K38" s="6"/>
      <c r="L38">
        <f t="shared" si="9"/>
        <v>293.57481955364551</v>
      </c>
      <c r="M38">
        <f t="shared" si="2"/>
        <v>207.37812083388053</v>
      </c>
      <c r="N38">
        <f t="shared" si="10"/>
        <v>234.72817983270724</v>
      </c>
      <c r="O38" t="e">
        <f t="shared" si="11"/>
        <v>#N/A</v>
      </c>
      <c r="P38" t="e">
        <f t="shared" si="12"/>
        <v>#N/A</v>
      </c>
      <c r="Q38" t="e">
        <f t="shared" si="13"/>
        <v>#N/A</v>
      </c>
      <c r="S38" s="48">
        <f t="shared" si="14"/>
        <v>-138.2520805559204</v>
      </c>
      <c r="U38">
        <f>C38/Navio!$J$4</f>
        <v>26.41128230367941</v>
      </c>
      <c r="Y38" s="36">
        <v>37</v>
      </c>
      <c r="Z38" s="14">
        <v>257.99725663407816</v>
      </c>
    </row>
    <row r="39" spans="1:26" x14ac:dyDescent="0.3">
      <c r="A39">
        <v>37</v>
      </c>
      <c r="B39" s="47">
        <v>664.78219655830549</v>
      </c>
      <c r="C39" s="46">
        <v>509.89640192873475</v>
      </c>
      <c r="D39" s="6">
        <v>6</v>
      </c>
      <c r="E39" s="6">
        <v>4</v>
      </c>
      <c r="F39" s="6">
        <v>3</v>
      </c>
      <c r="G39" s="6"/>
      <c r="H39" s="6"/>
      <c r="I39" s="6"/>
      <c r="J39" s="6"/>
      <c r="K39" s="6"/>
      <c r="L39">
        <f t="shared" si="9"/>
        <v>360.92797644763806</v>
      </c>
      <c r="M39">
        <f t="shared" si="2"/>
        <v>207.37812083388053</v>
      </c>
      <c r="N39">
        <f t="shared" si="10"/>
        <v>234.72817983270724</v>
      </c>
      <c r="O39" t="e">
        <f t="shared" si="11"/>
        <v>#N/A</v>
      </c>
      <c r="P39" t="e">
        <f t="shared" si="12"/>
        <v>#N/A</v>
      </c>
      <c r="Q39" t="e">
        <f t="shared" si="13"/>
        <v>#N/A</v>
      </c>
      <c r="S39" s="48">
        <f t="shared" si="14"/>
        <v>-138.25208055592034</v>
      </c>
      <c r="U39">
        <f>C39/Navio!$J$4</f>
        <v>27.532226913842621</v>
      </c>
      <c r="Y39" s="36">
        <v>38</v>
      </c>
      <c r="Z39" s="14">
        <v>221.02091728659002</v>
      </c>
    </row>
    <row r="40" spans="1:26" x14ac:dyDescent="0.3">
      <c r="A40">
        <v>38</v>
      </c>
      <c r="B40" s="47">
        <v>889.23097583399078</v>
      </c>
      <c r="C40" s="46">
        <v>509.74074897599877</v>
      </c>
      <c r="D40" s="6">
        <v>5</v>
      </c>
      <c r="E40" s="6">
        <v>6</v>
      </c>
      <c r="F40" s="6">
        <v>3</v>
      </c>
      <c r="G40" s="6"/>
      <c r="H40" s="6"/>
      <c r="I40" s="6"/>
      <c r="J40" s="6"/>
      <c r="K40" s="6"/>
      <c r="L40">
        <f t="shared" si="9"/>
        <v>293.57481955364551</v>
      </c>
      <c r="M40">
        <f t="shared" si="2"/>
        <v>360.92797644763806</v>
      </c>
      <c r="N40">
        <f t="shared" si="10"/>
        <v>234.72817983270724</v>
      </c>
      <c r="O40" t="e">
        <f t="shared" si="11"/>
        <v>#N/A</v>
      </c>
      <c r="P40" t="e">
        <f t="shared" si="12"/>
        <v>#N/A</v>
      </c>
      <c r="Q40" t="e">
        <f t="shared" si="13"/>
        <v>#N/A</v>
      </c>
      <c r="S40" s="48">
        <f t="shared" si="14"/>
        <v>0</v>
      </c>
      <c r="U40">
        <f>C40/Navio!$J$4</f>
        <v>27.523822319500855</v>
      </c>
      <c r="Y40" s="36">
        <v>39</v>
      </c>
      <c r="Z40" s="14">
        <v>511.39466425029991</v>
      </c>
    </row>
    <row r="41" spans="1:26" x14ac:dyDescent="0.3">
      <c r="A41">
        <v>39</v>
      </c>
      <c r="B41" s="47">
        <v>723.62883627924373</v>
      </c>
      <c r="C41" s="46">
        <v>441.55541361322105</v>
      </c>
      <c r="D41" s="6">
        <v>5</v>
      </c>
      <c r="E41" s="6">
        <v>6</v>
      </c>
      <c r="F41" s="6">
        <v>4</v>
      </c>
      <c r="G41" s="6"/>
      <c r="H41" s="6"/>
      <c r="I41" s="6"/>
      <c r="J41" s="6"/>
      <c r="K41" s="6"/>
      <c r="L41">
        <f t="shared" si="9"/>
        <v>293.57481955364551</v>
      </c>
      <c r="M41">
        <f t="shared" si="2"/>
        <v>360.92797644763806</v>
      </c>
      <c r="N41">
        <f t="shared" si="10"/>
        <v>207.37812083388053</v>
      </c>
      <c r="O41" t="e">
        <f t="shared" si="11"/>
        <v>#N/A</v>
      </c>
      <c r="P41" t="e">
        <f t="shared" si="12"/>
        <v>#N/A</v>
      </c>
      <c r="Q41" t="e">
        <f t="shared" si="13"/>
        <v>#N/A</v>
      </c>
      <c r="S41" s="48">
        <f t="shared" si="14"/>
        <v>-138.25208055592037</v>
      </c>
      <c r="U41">
        <f>C41/Navio!$J$4</f>
        <v>23.842105566247845</v>
      </c>
      <c r="Y41" s="36">
        <v>40</v>
      </c>
      <c r="Z41" s="14">
        <v>145.81890293924988</v>
      </c>
    </row>
    <row r="42" spans="1:26" x14ac:dyDescent="0.3">
      <c r="A42">
        <v>40</v>
      </c>
      <c r="B42" s="47">
        <v>695.0269093903006</v>
      </c>
      <c r="C42" s="46">
        <v>429.32655937371442</v>
      </c>
      <c r="D42" s="6">
        <v>4</v>
      </c>
      <c r="E42" s="6">
        <v>3</v>
      </c>
      <c r="F42" s="6">
        <v>1</v>
      </c>
      <c r="G42" s="6">
        <v>2</v>
      </c>
      <c r="H42" s="6"/>
      <c r="I42" s="6"/>
      <c r="J42" s="6"/>
      <c r="K42" s="6"/>
      <c r="L42">
        <f t="shared" si="9"/>
        <v>207.37812083388053</v>
      </c>
      <c r="M42">
        <f t="shared" si="2"/>
        <v>234.72817983270724</v>
      </c>
      <c r="N42">
        <f t="shared" si="10"/>
        <v>118.28447587559023</v>
      </c>
      <c r="O42">
        <f t="shared" si="11"/>
        <v>545.77642680808594</v>
      </c>
      <c r="P42" t="e">
        <f t="shared" si="12"/>
        <v>#N/A</v>
      </c>
      <c r="Q42" t="e">
        <f t="shared" si="13"/>
        <v>#N/A</v>
      </c>
      <c r="S42" s="48">
        <f>B42-L42-M42-N42-O42</f>
        <v>-411.14029395996334</v>
      </c>
      <c r="U42">
        <f>C42/Navio!$J$4</f>
        <v>23.181799691280208</v>
      </c>
      <c r="Y42" s="36">
        <v>41</v>
      </c>
      <c r="Z42" s="14">
        <v>310</v>
      </c>
    </row>
    <row r="43" spans="1:26" x14ac:dyDescent="0.3">
      <c r="A43">
        <v>41</v>
      </c>
      <c r="B43" s="47">
        <v>753.87354911123884</v>
      </c>
      <c r="C43" s="46">
        <v>489.95055217394122</v>
      </c>
      <c r="D43" s="6">
        <v>5</v>
      </c>
      <c r="E43" s="6">
        <v>4</v>
      </c>
      <c r="F43" s="6">
        <v>1</v>
      </c>
      <c r="G43" s="6">
        <v>2</v>
      </c>
      <c r="H43" s="6"/>
      <c r="I43" s="6"/>
      <c r="J43" s="6"/>
      <c r="K43" s="6"/>
      <c r="L43">
        <f t="shared" si="9"/>
        <v>293.57481955364551</v>
      </c>
      <c r="M43">
        <f t="shared" si="2"/>
        <v>207.37812083388053</v>
      </c>
      <c r="N43">
        <f t="shared" si="10"/>
        <v>118.28447587559023</v>
      </c>
      <c r="O43">
        <f t="shared" si="11"/>
        <v>545.77642680808594</v>
      </c>
      <c r="P43" t="e">
        <f t="shared" si="12"/>
        <v>#N/A</v>
      </c>
      <c r="Q43" t="e">
        <f t="shared" si="13"/>
        <v>#N/A</v>
      </c>
      <c r="S43" s="48">
        <f t="shared" ref="S43:S48" si="15">B43-L43-M43-N43-O43</f>
        <v>-411.1402939599634</v>
      </c>
      <c r="U43">
        <f>C43/Navio!$J$4</f>
        <v>26.455236255816484</v>
      </c>
      <c r="Y43" s="38">
        <v>42</v>
      </c>
      <c r="Z43" s="14">
        <v>211.53340681752402</v>
      </c>
    </row>
    <row r="44" spans="1:26" x14ac:dyDescent="0.3">
      <c r="A44">
        <v>42</v>
      </c>
      <c r="B44" s="47">
        <v>821.22670600523145</v>
      </c>
      <c r="C44" s="46">
        <v>510.71042841905012</v>
      </c>
      <c r="D44" s="6">
        <v>6</v>
      </c>
      <c r="E44" s="6">
        <v>4</v>
      </c>
      <c r="F44" s="6">
        <v>1</v>
      </c>
      <c r="G44" s="6">
        <v>2</v>
      </c>
      <c r="H44" s="6"/>
      <c r="I44" s="6"/>
      <c r="J44" s="6"/>
      <c r="K44" s="6"/>
      <c r="L44">
        <f t="shared" si="9"/>
        <v>360.92797644763806</v>
      </c>
      <c r="M44">
        <f t="shared" si="2"/>
        <v>207.37812083388053</v>
      </c>
      <c r="N44">
        <f t="shared" si="10"/>
        <v>118.28447587559023</v>
      </c>
      <c r="O44">
        <f t="shared" si="11"/>
        <v>545.77642680808594</v>
      </c>
      <c r="P44" t="e">
        <f t="shared" si="12"/>
        <v>#N/A</v>
      </c>
      <c r="Q44" t="e">
        <f t="shared" si="13"/>
        <v>#N/A</v>
      </c>
      <c r="S44" s="48">
        <f t="shared" si="15"/>
        <v>-411.14029395996329</v>
      </c>
      <c r="U44">
        <f>C44/Navio!$J$4</f>
        <v>27.576180865979694</v>
      </c>
      <c r="Y44" s="38">
        <v>43</v>
      </c>
      <c r="Z44" s="14">
        <v>364.08810064884096</v>
      </c>
    </row>
    <row r="45" spans="1:26" x14ac:dyDescent="0.3">
      <c r="A45">
        <v>43</v>
      </c>
      <c r="B45" s="47">
        <v>715.71351553990314</v>
      </c>
      <c r="C45" s="46">
        <v>490.0218656941023</v>
      </c>
      <c r="D45" s="6">
        <v>5</v>
      </c>
      <c r="E45" s="6">
        <v>4</v>
      </c>
      <c r="F45" s="6">
        <v>3</v>
      </c>
      <c r="G45" s="6">
        <v>1</v>
      </c>
      <c r="H45" s="6"/>
      <c r="I45" s="6"/>
      <c r="J45" s="6"/>
      <c r="K45" s="6"/>
      <c r="L45">
        <f t="shared" si="9"/>
        <v>293.57481955364551</v>
      </c>
      <c r="M45">
        <f t="shared" si="2"/>
        <v>207.37812083388053</v>
      </c>
      <c r="N45">
        <f t="shared" si="10"/>
        <v>234.72817983270724</v>
      </c>
      <c r="O45">
        <f t="shared" si="11"/>
        <v>118.28447587559023</v>
      </c>
      <c r="P45" t="e">
        <f t="shared" si="12"/>
        <v>#N/A</v>
      </c>
      <c r="Q45" t="e">
        <f t="shared" si="13"/>
        <v>#N/A</v>
      </c>
      <c r="S45" s="48">
        <f t="shared" si="15"/>
        <v>-138.25208055592037</v>
      </c>
      <c r="U45">
        <f>C45/Navio!$J$4</f>
        <v>26.459086881182095</v>
      </c>
      <c r="Y45" s="38">
        <v>44</v>
      </c>
      <c r="Z45" s="14">
        <v>197.82461126156434</v>
      </c>
    </row>
    <row r="46" spans="1:26" x14ac:dyDescent="0.3">
      <c r="A46">
        <v>44</v>
      </c>
      <c r="B46" s="47">
        <v>783.06667243389575</v>
      </c>
      <c r="C46" s="46">
        <v>510.7817419392112</v>
      </c>
      <c r="D46" s="6">
        <v>6</v>
      </c>
      <c r="E46" s="6">
        <v>4</v>
      </c>
      <c r="F46" s="6">
        <v>3</v>
      </c>
      <c r="G46" s="6">
        <v>1</v>
      </c>
      <c r="H46" s="6"/>
      <c r="I46" s="6"/>
      <c r="J46" s="6"/>
      <c r="K46" s="6"/>
      <c r="L46">
        <f t="shared" si="9"/>
        <v>360.92797644763806</v>
      </c>
      <c r="M46">
        <f t="shared" si="2"/>
        <v>207.37812083388053</v>
      </c>
      <c r="N46">
        <f t="shared" si="10"/>
        <v>234.72817983270724</v>
      </c>
      <c r="O46">
        <f t="shared" si="11"/>
        <v>118.28447587559023</v>
      </c>
      <c r="P46" t="e">
        <f t="shared" si="12"/>
        <v>#N/A</v>
      </c>
      <c r="Q46" t="e">
        <f t="shared" si="13"/>
        <v>#N/A</v>
      </c>
      <c r="S46" s="48">
        <f t="shared" si="15"/>
        <v>-138.25208055592032</v>
      </c>
      <c r="U46">
        <f>C46/Navio!$J$4</f>
        <v>27.580031491345306</v>
      </c>
      <c r="Y46" s="38">
        <v>45</v>
      </c>
      <c r="Z46" s="14">
        <v>104.16132807466707</v>
      </c>
    </row>
    <row r="47" spans="1:26" x14ac:dyDescent="0.3">
      <c r="A47">
        <v>45</v>
      </c>
      <c r="B47" s="47">
        <v>841.91331215483399</v>
      </c>
      <c r="C47" s="46">
        <v>511.08638254586958</v>
      </c>
      <c r="D47" s="6">
        <v>5</v>
      </c>
      <c r="E47" s="6">
        <v>6</v>
      </c>
      <c r="F47" s="6">
        <v>4</v>
      </c>
      <c r="G47" s="6">
        <v>1</v>
      </c>
      <c r="H47" s="6"/>
      <c r="I47" s="6"/>
      <c r="J47" s="6"/>
      <c r="K47" s="6"/>
      <c r="L47">
        <f t="shared" si="9"/>
        <v>293.57481955364551</v>
      </c>
      <c r="M47">
        <f t="shared" si="2"/>
        <v>360.92797644763806</v>
      </c>
      <c r="N47">
        <f t="shared" si="10"/>
        <v>207.37812083388053</v>
      </c>
      <c r="O47">
        <f t="shared" si="11"/>
        <v>118.28447587559023</v>
      </c>
      <c r="P47" t="e">
        <f t="shared" si="12"/>
        <v>#N/A</v>
      </c>
      <c r="Q47" t="e">
        <f t="shared" si="13"/>
        <v>#N/A</v>
      </c>
      <c r="S47" s="48">
        <f t="shared" si="15"/>
        <v>-138.25208055592034</v>
      </c>
      <c r="U47">
        <f>C47/Navio!$J$4</f>
        <v>27.596480782373764</v>
      </c>
      <c r="Y47" s="38">
        <v>46</v>
      </c>
      <c r="Z47" s="14">
        <v>527.46084887326492</v>
      </c>
    </row>
    <row r="48" spans="1:26" x14ac:dyDescent="0.3">
      <c r="A48">
        <v>46</v>
      </c>
      <c r="B48" s="47">
        <v>870.31725306835585</v>
      </c>
      <c r="C48" s="46">
        <v>490.0218656941023</v>
      </c>
      <c r="D48" s="6">
        <v>5</v>
      </c>
      <c r="E48" s="6">
        <v>4</v>
      </c>
      <c r="F48" s="6">
        <v>3</v>
      </c>
      <c r="G48" s="6">
        <v>2</v>
      </c>
      <c r="H48" s="6"/>
      <c r="I48" s="6"/>
      <c r="J48" s="6"/>
      <c r="K48" s="6"/>
      <c r="L48">
        <f t="shared" si="9"/>
        <v>293.57481955364551</v>
      </c>
      <c r="M48">
        <f t="shared" si="2"/>
        <v>207.37812083388053</v>
      </c>
      <c r="N48">
        <f t="shared" si="10"/>
        <v>234.72817983270724</v>
      </c>
      <c r="O48">
        <f t="shared" si="11"/>
        <v>545.77642680808594</v>
      </c>
      <c r="P48" t="e">
        <f t="shared" si="12"/>
        <v>#N/A</v>
      </c>
      <c r="Q48" t="e">
        <f t="shared" si="13"/>
        <v>#N/A</v>
      </c>
      <c r="S48" s="48">
        <f t="shared" si="15"/>
        <v>-411.1402939599634</v>
      </c>
      <c r="U48">
        <f>C48/Navio!$J$4</f>
        <v>26.459086881182095</v>
      </c>
      <c r="Y48" s="38">
        <v>47</v>
      </c>
      <c r="Z48" s="14">
        <v>341.491467583023</v>
      </c>
    </row>
    <row r="49" spans="1:26" x14ac:dyDescent="0.3">
      <c r="A49">
        <v>47</v>
      </c>
      <c r="B49" s="47">
        <v>155</v>
      </c>
      <c r="C49" s="46">
        <v>194.00251441954646</v>
      </c>
      <c r="D49" s="1">
        <v>7</v>
      </c>
      <c r="E49" s="1" t="s">
        <v>50</v>
      </c>
      <c r="F49" s="1" t="s">
        <v>50</v>
      </c>
      <c r="G49" s="1" t="s">
        <v>50</v>
      </c>
      <c r="H49" s="1" t="s">
        <v>50</v>
      </c>
      <c r="I49" s="1" t="s">
        <v>50</v>
      </c>
      <c r="J49" s="1" t="s">
        <v>50</v>
      </c>
      <c r="K49" s="1" t="s">
        <v>50</v>
      </c>
      <c r="L49">
        <f t="shared" si="9"/>
        <v>310</v>
      </c>
      <c r="M49" t="e">
        <f t="shared" si="2"/>
        <v>#N/A</v>
      </c>
      <c r="N49" t="e">
        <f t="shared" si="10"/>
        <v>#N/A</v>
      </c>
      <c r="O49" t="e">
        <f t="shared" si="11"/>
        <v>#N/A</v>
      </c>
      <c r="P49" t="e">
        <f t="shared" si="12"/>
        <v>#N/A</v>
      </c>
      <c r="Q49" t="e">
        <f t="shared" si="13"/>
        <v>#N/A</v>
      </c>
      <c r="S49" s="48">
        <f>B49-L49</f>
        <v>-155</v>
      </c>
      <c r="U49">
        <f>C49/Navio!$J$4</f>
        <v>10.475306804776205</v>
      </c>
      <c r="Y49" s="38">
        <v>48</v>
      </c>
      <c r="Z49" s="14">
        <v>211.64363379024599</v>
      </c>
    </row>
    <row r="50" spans="1:26" x14ac:dyDescent="0.3">
      <c r="A50">
        <v>48</v>
      </c>
      <c r="B50" s="47">
        <v>155</v>
      </c>
      <c r="C50" s="46">
        <v>193.12305969182373</v>
      </c>
      <c r="D50" s="1">
        <v>8</v>
      </c>
      <c r="E50" s="1" t="s">
        <v>50</v>
      </c>
      <c r="F50" s="1" t="s">
        <v>50</v>
      </c>
      <c r="G50" s="1" t="s">
        <v>50</v>
      </c>
      <c r="H50" s="1" t="s">
        <v>50</v>
      </c>
      <c r="I50" s="1" t="s">
        <v>50</v>
      </c>
      <c r="J50" s="1" t="s">
        <v>50</v>
      </c>
      <c r="K50" s="1" t="s">
        <v>50</v>
      </c>
      <c r="L50">
        <f t="shared" si="9"/>
        <v>310</v>
      </c>
      <c r="M50" t="e">
        <f t="shared" si="2"/>
        <v>#N/A</v>
      </c>
      <c r="N50" t="e">
        <f t="shared" si="10"/>
        <v>#N/A</v>
      </c>
      <c r="O50" t="e">
        <f t="shared" si="11"/>
        <v>#N/A</v>
      </c>
      <c r="P50" t="e">
        <f t="shared" si="12"/>
        <v>#N/A</v>
      </c>
      <c r="Q50" t="e">
        <f t="shared" si="13"/>
        <v>#N/A</v>
      </c>
      <c r="S50" s="48">
        <f t="shared" ref="S50:S59" si="16">B50-L50</f>
        <v>-155</v>
      </c>
      <c r="U50">
        <f>C50/Navio!$J$4</f>
        <v>10.427820007394375</v>
      </c>
      <c r="Y50" s="38">
        <v>49</v>
      </c>
      <c r="Z50" s="14">
        <v>224.72476401833561</v>
      </c>
    </row>
    <row r="51" spans="1:26" x14ac:dyDescent="0.3">
      <c r="A51">
        <v>49</v>
      </c>
      <c r="B51" s="47">
        <v>155</v>
      </c>
      <c r="C51" s="46">
        <v>192.29465933719274</v>
      </c>
      <c r="D51" s="1">
        <v>9</v>
      </c>
      <c r="E51" s="1" t="s">
        <v>50</v>
      </c>
      <c r="F51" s="1" t="s">
        <v>50</v>
      </c>
      <c r="G51" s="1" t="s">
        <v>50</v>
      </c>
      <c r="H51" s="1" t="s">
        <v>50</v>
      </c>
      <c r="I51" s="1" t="s">
        <v>50</v>
      </c>
      <c r="J51" s="1" t="s">
        <v>50</v>
      </c>
      <c r="K51" s="1" t="s">
        <v>50</v>
      </c>
      <c r="L51">
        <f t="shared" si="9"/>
        <v>310</v>
      </c>
      <c r="M51" t="e">
        <f t="shared" si="2"/>
        <v>#N/A</v>
      </c>
      <c r="N51" t="e">
        <f t="shared" si="10"/>
        <v>#N/A</v>
      </c>
      <c r="O51" t="e">
        <f t="shared" si="11"/>
        <v>#N/A</v>
      </c>
      <c r="P51" t="e">
        <f t="shared" si="12"/>
        <v>#N/A</v>
      </c>
      <c r="Q51" t="e">
        <f t="shared" si="13"/>
        <v>#N/A</v>
      </c>
      <c r="S51" s="48">
        <f t="shared" si="16"/>
        <v>-155</v>
      </c>
      <c r="U51">
        <f>C51/Navio!$J$4</f>
        <v>10.383089928003866</v>
      </c>
      <c r="Y51" s="40">
        <v>50</v>
      </c>
      <c r="Z51" s="14">
        <v>99.353565178501128</v>
      </c>
    </row>
    <row r="52" spans="1:26" x14ac:dyDescent="0.3">
      <c r="A52">
        <v>50</v>
      </c>
      <c r="B52" s="47">
        <v>290.36739528320618</v>
      </c>
      <c r="C52" s="46">
        <v>211.95705453702868</v>
      </c>
      <c r="D52" s="1">
        <v>10</v>
      </c>
      <c r="E52" s="1" t="s">
        <v>50</v>
      </c>
      <c r="F52" s="1" t="s">
        <v>50</v>
      </c>
      <c r="G52" s="1" t="s">
        <v>50</v>
      </c>
      <c r="H52" s="1" t="s">
        <v>50</v>
      </c>
      <c r="I52" s="1" t="s">
        <v>50</v>
      </c>
      <c r="J52" s="1" t="s">
        <v>50</v>
      </c>
      <c r="K52" s="1" t="s">
        <v>50</v>
      </c>
      <c r="L52">
        <f t="shared" si="9"/>
        <v>290.36739528320618</v>
      </c>
      <c r="M52" t="e">
        <f t="shared" si="2"/>
        <v>#N/A</v>
      </c>
      <c r="N52" t="e">
        <f t="shared" si="10"/>
        <v>#N/A</v>
      </c>
      <c r="O52" t="e">
        <f t="shared" si="11"/>
        <v>#N/A</v>
      </c>
      <c r="P52" t="e">
        <f t="shared" si="12"/>
        <v>#N/A</v>
      </c>
      <c r="Q52" t="e">
        <f t="shared" si="13"/>
        <v>#N/A</v>
      </c>
      <c r="S52" s="48">
        <f t="shared" si="16"/>
        <v>0</v>
      </c>
      <c r="U52">
        <f>C52/Navio!$J$4</f>
        <v>11.444775251265265</v>
      </c>
      <c r="Y52" s="40">
        <v>51</v>
      </c>
      <c r="Z52" s="14">
        <v>100.96468435237094</v>
      </c>
    </row>
    <row r="53" spans="1:26" x14ac:dyDescent="0.3">
      <c r="A53">
        <v>51</v>
      </c>
      <c r="B53" s="47">
        <v>278.99258318037374</v>
      </c>
      <c r="C53" s="46">
        <v>226.80357250091839</v>
      </c>
      <c r="D53" s="1">
        <v>11</v>
      </c>
      <c r="E53" s="1" t="s">
        <v>50</v>
      </c>
      <c r="F53" s="1" t="s">
        <v>50</v>
      </c>
      <c r="G53" s="1" t="s">
        <v>50</v>
      </c>
      <c r="H53" s="1" t="s">
        <v>50</v>
      </c>
      <c r="I53" s="1" t="s">
        <v>50</v>
      </c>
      <c r="J53" s="1" t="s">
        <v>50</v>
      </c>
      <c r="K53" s="1" t="s">
        <v>50</v>
      </c>
      <c r="L53">
        <f t="shared" si="9"/>
        <v>278.99258318037374</v>
      </c>
      <c r="M53" t="e">
        <f t="shared" si="2"/>
        <v>#N/A</v>
      </c>
      <c r="N53" t="e">
        <f t="shared" si="10"/>
        <v>#N/A</v>
      </c>
      <c r="O53" t="e">
        <f t="shared" si="11"/>
        <v>#N/A</v>
      </c>
      <c r="P53" t="e">
        <f t="shared" si="12"/>
        <v>#N/A</v>
      </c>
      <c r="Q53" t="e">
        <f t="shared" si="13"/>
        <v>#N/A</v>
      </c>
      <c r="S53" s="48">
        <f t="shared" si="16"/>
        <v>0</v>
      </c>
      <c r="U53">
        <f>C53/Navio!$J$4</f>
        <v>12.246423782057176</v>
      </c>
      <c r="Y53" s="40">
        <v>52</v>
      </c>
      <c r="Z53" s="14">
        <v>169.3516454756429</v>
      </c>
    </row>
    <row r="54" spans="1:26" x14ac:dyDescent="0.3">
      <c r="A54">
        <v>52</v>
      </c>
      <c r="B54" s="47">
        <v>27.358853815103657</v>
      </c>
      <c r="C54" s="46">
        <v>235.6750274081198</v>
      </c>
      <c r="D54" s="1">
        <v>12</v>
      </c>
      <c r="E54" s="1" t="s">
        <v>50</v>
      </c>
      <c r="F54" s="1" t="s">
        <v>50</v>
      </c>
      <c r="G54" s="1" t="s">
        <v>50</v>
      </c>
      <c r="H54" s="1" t="s">
        <v>50</v>
      </c>
      <c r="I54" s="1" t="s">
        <v>50</v>
      </c>
      <c r="J54" s="1" t="s">
        <v>50</v>
      </c>
      <c r="K54" s="1" t="s">
        <v>50</v>
      </c>
      <c r="L54">
        <f t="shared" si="9"/>
        <v>82.076561445310972</v>
      </c>
      <c r="M54" t="e">
        <f t="shared" si="2"/>
        <v>#N/A</v>
      </c>
      <c r="N54" t="e">
        <f t="shared" si="10"/>
        <v>#N/A</v>
      </c>
      <c r="O54" t="e">
        <f t="shared" si="11"/>
        <v>#N/A</v>
      </c>
      <c r="P54" t="e">
        <f t="shared" si="12"/>
        <v>#N/A</v>
      </c>
      <c r="Q54" t="e">
        <f t="shared" si="13"/>
        <v>#N/A</v>
      </c>
      <c r="S54" s="48">
        <f t="shared" si="16"/>
        <v>-54.717707630207315</v>
      </c>
      <c r="U54">
        <f>C54/Navio!$J$4</f>
        <v>12.725444439267322</v>
      </c>
      <c r="Y54" s="40">
        <v>53</v>
      </c>
      <c r="Z54" s="14">
        <v>400.84350127536862</v>
      </c>
    </row>
    <row r="55" spans="1:26" x14ac:dyDescent="0.3">
      <c r="A55">
        <v>53</v>
      </c>
      <c r="B55" s="47">
        <v>185.56448544286178</v>
      </c>
      <c r="C55" s="46">
        <v>246.9153696415201</v>
      </c>
      <c r="D55" s="1">
        <v>13</v>
      </c>
      <c r="E55" s="1" t="s">
        <v>50</v>
      </c>
      <c r="F55" s="1" t="s">
        <v>50</v>
      </c>
      <c r="G55" s="1" t="s">
        <v>50</v>
      </c>
      <c r="H55" s="1" t="s">
        <v>50</v>
      </c>
      <c r="I55" s="1" t="s">
        <v>50</v>
      </c>
      <c r="J55" s="1" t="s">
        <v>50</v>
      </c>
      <c r="K55" s="1" t="s">
        <v>50</v>
      </c>
      <c r="L55">
        <f t="shared" si="9"/>
        <v>185.56448544286178</v>
      </c>
      <c r="M55" t="e">
        <f t="shared" si="2"/>
        <v>#N/A</v>
      </c>
      <c r="N55" t="e">
        <f t="shared" si="10"/>
        <v>#N/A</v>
      </c>
      <c r="O55" t="e">
        <f t="shared" si="11"/>
        <v>#N/A</v>
      </c>
      <c r="P55" t="e">
        <f t="shared" si="12"/>
        <v>#N/A</v>
      </c>
      <c r="Q55" t="e">
        <f t="shared" si="13"/>
        <v>#N/A</v>
      </c>
      <c r="S55" s="48">
        <f t="shared" si="16"/>
        <v>0</v>
      </c>
      <c r="U55">
        <f>C55/Navio!$J$4</f>
        <v>13.332374889822804</v>
      </c>
      <c r="Y55" s="40">
        <v>54</v>
      </c>
      <c r="Z55" s="14">
        <v>497.09146032949423</v>
      </c>
    </row>
    <row r="56" spans="1:26" x14ac:dyDescent="0.3">
      <c r="A56">
        <v>54</v>
      </c>
      <c r="B56" s="47">
        <v>96.197414256198073</v>
      </c>
      <c r="C56" s="46">
        <v>255.37315896949204</v>
      </c>
      <c r="D56" s="1">
        <v>14</v>
      </c>
      <c r="E56" s="1" t="s">
        <v>50</v>
      </c>
      <c r="F56" s="1" t="s">
        <v>50</v>
      </c>
      <c r="G56" s="1" t="s">
        <v>50</v>
      </c>
      <c r="H56" s="1" t="s">
        <v>50</v>
      </c>
      <c r="I56" s="1" t="s">
        <v>50</v>
      </c>
      <c r="J56" s="1" t="s">
        <v>50</v>
      </c>
      <c r="K56" s="1" t="s">
        <v>50</v>
      </c>
      <c r="L56">
        <f t="shared" si="9"/>
        <v>96.197414256198073</v>
      </c>
      <c r="M56" t="e">
        <f t="shared" si="2"/>
        <v>#N/A</v>
      </c>
      <c r="N56" t="e">
        <f t="shared" si="10"/>
        <v>#N/A</v>
      </c>
      <c r="O56" t="e">
        <f t="shared" si="11"/>
        <v>#N/A</v>
      </c>
      <c r="P56" t="e">
        <f t="shared" si="12"/>
        <v>#N/A</v>
      </c>
      <c r="Q56" t="e">
        <f t="shared" si="13"/>
        <v>#N/A</v>
      </c>
      <c r="S56" s="48">
        <f t="shared" si="16"/>
        <v>0</v>
      </c>
      <c r="U56">
        <f>C56/Navio!$J$4</f>
        <v>13.78905937335</v>
      </c>
      <c r="Y56" s="40">
        <v>55</v>
      </c>
      <c r="Z56" s="14">
        <v>195.4263682263873</v>
      </c>
    </row>
    <row r="57" spans="1:26" x14ac:dyDescent="0.3">
      <c r="A57">
        <v>55</v>
      </c>
      <c r="B57" s="47">
        <v>210.14742667389368</v>
      </c>
      <c r="C57" s="46">
        <v>265.11634339519674</v>
      </c>
      <c r="D57" s="1">
        <v>15</v>
      </c>
      <c r="E57" s="1" t="s">
        <v>50</v>
      </c>
      <c r="F57" s="1" t="s">
        <v>50</v>
      </c>
      <c r="G57" s="1" t="s">
        <v>50</v>
      </c>
      <c r="H57" s="1" t="s">
        <v>50</v>
      </c>
      <c r="I57" s="1" t="s">
        <v>50</v>
      </c>
      <c r="J57" s="1" t="s">
        <v>50</v>
      </c>
      <c r="K57" s="1" t="s">
        <v>50</v>
      </c>
      <c r="L57">
        <f t="shared" si="9"/>
        <v>210.14742667389368</v>
      </c>
      <c r="M57" t="e">
        <f t="shared" si="2"/>
        <v>#N/A</v>
      </c>
      <c r="N57" t="e">
        <f t="shared" si="10"/>
        <v>#N/A</v>
      </c>
      <c r="O57" t="e">
        <f t="shared" si="11"/>
        <v>#N/A</v>
      </c>
      <c r="P57" t="e">
        <f t="shared" si="12"/>
        <v>#N/A</v>
      </c>
      <c r="Q57" t="e">
        <f t="shared" si="13"/>
        <v>#N/A</v>
      </c>
      <c r="S57" s="48">
        <f t="shared" si="16"/>
        <v>0</v>
      </c>
      <c r="U57">
        <f>C57/Navio!$J$4</f>
        <v>14.315149699653992</v>
      </c>
      <c r="Y57" s="40">
        <v>56</v>
      </c>
      <c r="Z57" s="14">
        <v>437.06154465065606</v>
      </c>
    </row>
    <row r="58" spans="1:26" x14ac:dyDescent="0.3">
      <c r="A58">
        <v>56</v>
      </c>
      <c r="B58" s="47">
        <v>57.655995139091623</v>
      </c>
      <c r="C58" s="46">
        <v>277.45684791057579</v>
      </c>
      <c r="D58" s="1">
        <v>16</v>
      </c>
      <c r="E58" s="1" t="s">
        <v>50</v>
      </c>
      <c r="F58" s="1" t="s">
        <v>50</v>
      </c>
      <c r="G58" s="1" t="s">
        <v>50</v>
      </c>
      <c r="H58" s="1" t="s">
        <v>50</v>
      </c>
      <c r="I58" s="1" t="s">
        <v>50</v>
      </c>
      <c r="J58" s="1" t="s">
        <v>50</v>
      </c>
      <c r="K58" s="1" t="s">
        <v>50</v>
      </c>
      <c r="L58">
        <f t="shared" si="9"/>
        <v>172.96798541727486</v>
      </c>
      <c r="M58" t="e">
        <f t="shared" si="2"/>
        <v>#N/A</v>
      </c>
      <c r="N58" t="e">
        <f t="shared" si="10"/>
        <v>#N/A</v>
      </c>
      <c r="O58" t="e">
        <f t="shared" si="11"/>
        <v>#N/A</v>
      </c>
      <c r="P58" t="e">
        <f t="shared" si="12"/>
        <v>#N/A</v>
      </c>
      <c r="Q58" t="e">
        <f t="shared" si="13"/>
        <v>#N/A</v>
      </c>
      <c r="S58" s="48">
        <f t="shared" si="16"/>
        <v>-115.31199027818323</v>
      </c>
      <c r="U58">
        <f>C58/Navio!$J$4</f>
        <v>14.981484212436456</v>
      </c>
      <c r="Y58" s="40">
        <v>57</v>
      </c>
      <c r="Z58" s="14">
        <v>243.42490578966306</v>
      </c>
    </row>
    <row r="59" spans="1:26" x14ac:dyDescent="0.3">
      <c r="A59">
        <v>57</v>
      </c>
      <c r="B59" s="47">
        <v>304.39567777634272</v>
      </c>
      <c r="C59" s="46">
        <v>277.34256202924252</v>
      </c>
      <c r="D59" s="1">
        <v>17</v>
      </c>
      <c r="E59" s="1" t="s">
        <v>50</v>
      </c>
      <c r="F59" s="1" t="s">
        <v>50</v>
      </c>
      <c r="G59" s="1" t="s">
        <v>50</v>
      </c>
      <c r="H59" s="1" t="s">
        <v>50</v>
      </c>
      <c r="I59" s="1" t="s">
        <v>50</v>
      </c>
      <c r="J59" s="1" t="s">
        <v>50</v>
      </c>
      <c r="K59" s="1" t="s">
        <v>50</v>
      </c>
      <c r="L59">
        <f t="shared" si="9"/>
        <v>304.39567777634272</v>
      </c>
      <c r="M59" t="e">
        <f t="shared" si="2"/>
        <v>#N/A</v>
      </c>
      <c r="N59" t="e">
        <f t="shared" si="10"/>
        <v>#N/A</v>
      </c>
      <c r="O59" t="e">
        <f t="shared" si="11"/>
        <v>#N/A</v>
      </c>
      <c r="P59" t="e">
        <f t="shared" si="12"/>
        <v>#N/A</v>
      </c>
      <c r="Q59" t="e">
        <f t="shared" si="13"/>
        <v>#N/A</v>
      </c>
      <c r="S59" s="48">
        <f t="shared" si="16"/>
        <v>0</v>
      </c>
      <c r="U59">
        <f>C59/Navio!$J$4</f>
        <v>14.975313263188699</v>
      </c>
      <c r="Y59" s="40">
        <v>58</v>
      </c>
      <c r="Z59" s="14">
        <v>126.26125453869709</v>
      </c>
    </row>
    <row r="60" spans="1:26" x14ac:dyDescent="0.3">
      <c r="A60">
        <v>58</v>
      </c>
      <c r="B60" s="47">
        <v>310</v>
      </c>
      <c r="C60" s="46">
        <v>197.08433720782233</v>
      </c>
      <c r="D60" s="1">
        <v>7</v>
      </c>
      <c r="E60" s="1">
        <v>8</v>
      </c>
      <c r="F60" s="1" t="s">
        <v>50</v>
      </c>
      <c r="G60" s="1" t="s">
        <v>50</v>
      </c>
      <c r="H60" s="1" t="s">
        <v>50</v>
      </c>
      <c r="I60" s="1" t="s">
        <v>50</v>
      </c>
      <c r="J60" s="1" t="s">
        <v>50</v>
      </c>
      <c r="K60" s="1" t="s">
        <v>50</v>
      </c>
      <c r="L60">
        <f t="shared" si="9"/>
        <v>310</v>
      </c>
      <c r="M60">
        <f t="shared" si="2"/>
        <v>310</v>
      </c>
      <c r="N60" t="e">
        <f t="shared" si="10"/>
        <v>#N/A</v>
      </c>
      <c r="O60" t="e">
        <f t="shared" si="11"/>
        <v>#N/A</v>
      </c>
      <c r="P60" t="e">
        <f t="shared" si="12"/>
        <v>#N/A</v>
      </c>
      <c r="Q60" t="e">
        <f t="shared" si="13"/>
        <v>#N/A</v>
      </c>
      <c r="U60">
        <f>C60/Navio!$J$4</f>
        <v>10.641712066696295</v>
      </c>
      <c r="Y60" s="40">
        <v>59</v>
      </c>
      <c r="Z60" s="14">
        <v>262.49840422364741</v>
      </c>
    </row>
    <row r="61" spans="1:26" x14ac:dyDescent="0.3">
      <c r="A61">
        <v>59</v>
      </c>
      <c r="B61" s="47">
        <v>310</v>
      </c>
      <c r="C61" s="46">
        <v>209.81081242519502</v>
      </c>
      <c r="D61" s="1">
        <v>7</v>
      </c>
      <c r="E61" s="1">
        <v>9</v>
      </c>
      <c r="F61" s="1" t="s">
        <v>50</v>
      </c>
      <c r="G61" s="1" t="s">
        <v>50</v>
      </c>
      <c r="H61" s="1" t="s">
        <v>50</v>
      </c>
      <c r="I61" s="1" t="s">
        <v>50</v>
      </c>
      <c r="J61" s="1" t="s">
        <v>50</v>
      </c>
      <c r="K61" s="1" t="s">
        <v>50</v>
      </c>
      <c r="L61">
        <f t="shared" si="9"/>
        <v>310</v>
      </c>
      <c r="M61">
        <f t="shared" si="2"/>
        <v>310</v>
      </c>
      <c r="N61" t="e">
        <f t="shared" si="10"/>
        <v>#N/A</v>
      </c>
      <c r="O61" t="e">
        <f t="shared" si="11"/>
        <v>#N/A</v>
      </c>
      <c r="P61" t="e">
        <f t="shared" si="12"/>
        <v>#N/A</v>
      </c>
      <c r="Q61" t="e">
        <f t="shared" si="13"/>
        <v>#N/A</v>
      </c>
      <c r="U61">
        <f>C61/Navio!$J$4</f>
        <v>11.328887348131349</v>
      </c>
      <c r="Y61" s="42">
        <v>60</v>
      </c>
      <c r="Z61" s="14">
        <v>56.282984138412765</v>
      </c>
    </row>
    <row r="62" spans="1:26" x14ac:dyDescent="0.3">
      <c r="A62">
        <v>60</v>
      </c>
      <c r="B62" s="47">
        <v>445.36739528320618</v>
      </c>
      <c r="C62" s="46">
        <v>224.58557197009262</v>
      </c>
      <c r="D62" s="1">
        <v>7</v>
      </c>
      <c r="E62" s="1">
        <v>10</v>
      </c>
      <c r="F62" s="1" t="s">
        <v>50</v>
      </c>
      <c r="G62" s="1" t="s">
        <v>50</v>
      </c>
      <c r="H62" s="1" t="s">
        <v>50</v>
      </c>
      <c r="I62" s="1" t="s">
        <v>50</v>
      </c>
      <c r="J62" s="1" t="s">
        <v>50</v>
      </c>
      <c r="K62" s="1" t="s">
        <v>50</v>
      </c>
      <c r="L62">
        <f t="shared" si="9"/>
        <v>310</v>
      </c>
      <c r="M62">
        <f t="shared" si="2"/>
        <v>290.36739528320618</v>
      </c>
      <c r="N62" t="e">
        <f t="shared" si="10"/>
        <v>#N/A</v>
      </c>
      <c r="O62" t="e">
        <f t="shared" si="11"/>
        <v>#N/A</v>
      </c>
      <c r="P62" t="e">
        <f t="shared" si="12"/>
        <v>#N/A</v>
      </c>
      <c r="Q62" t="e">
        <f t="shared" si="13"/>
        <v>#N/A</v>
      </c>
      <c r="U62">
        <f>C62/Navio!$J$4</f>
        <v>12.12666123092183</v>
      </c>
      <c r="Y62" s="42">
        <v>61</v>
      </c>
      <c r="Z62" s="14">
        <v>689.14538610130626</v>
      </c>
    </row>
    <row r="63" spans="1:26" x14ac:dyDescent="0.3">
      <c r="A63">
        <v>61</v>
      </c>
      <c r="B63" s="47">
        <v>433.99258318037374</v>
      </c>
      <c r="C63" s="46">
        <v>231.78951887169825</v>
      </c>
      <c r="D63" s="1">
        <v>7</v>
      </c>
      <c r="E63" s="1">
        <v>11</v>
      </c>
      <c r="F63" s="1" t="s">
        <v>50</v>
      </c>
      <c r="G63" s="1" t="s">
        <v>50</v>
      </c>
      <c r="H63" s="1" t="s">
        <v>50</v>
      </c>
      <c r="I63" s="1" t="s">
        <v>50</v>
      </c>
      <c r="J63" s="1" t="s">
        <v>50</v>
      </c>
      <c r="K63" s="1" t="s">
        <v>50</v>
      </c>
      <c r="L63">
        <f t="shared" si="9"/>
        <v>310</v>
      </c>
      <c r="M63">
        <f t="shared" si="2"/>
        <v>278.99258318037374</v>
      </c>
      <c r="N63" t="e">
        <f t="shared" si="10"/>
        <v>#N/A</v>
      </c>
      <c r="O63" t="e">
        <f t="shared" si="11"/>
        <v>#N/A</v>
      </c>
      <c r="P63" t="e">
        <f t="shared" si="12"/>
        <v>#N/A</v>
      </c>
      <c r="Q63" t="e">
        <f t="shared" si="13"/>
        <v>#N/A</v>
      </c>
      <c r="U63">
        <f>C63/Navio!$J$4</f>
        <v>12.515643581101271</v>
      </c>
      <c r="Y63" s="42">
        <v>62</v>
      </c>
      <c r="Z63" s="14">
        <v>406.27303669523673</v>
      </c>
    </row>
    <row r="64" spans="1:26" x14ac:dyDescent="0.3">
      <c r="A64">
        <v>62</v>
      </c>
      <c r="B64" s="47">
        <v>182.35885381510366</v>
      </c>
      <c r="C64" s="46">
        <v>235.71360471888539</v>
      </c>
      <c r="D64" s="1">
        <v>7</v>
      </c>
      <c r="E64" s="1">
        <v>12</v>
      </c>
      <c r="F64" s="1" t="s">
        <v>50</v>
      </c>
      <c r="G64" s="1" t="s">
        <v>50</v>
      </c>
      <c r="H64" s="1" t="s">
        <v>50</v>
      </c>
      <c r="I64" s="1" t="s">
        <v>50</v>
      </c>
      <c r="J64" s="1" t="s">
        <v>50</v>
      </c>
      <c r="K64" s="1" t="s">
        <v>50</v>
      </c>
      <c r="L64">
        <f t="shared" si="9"/>
        <v>310</v>
      </c>
      <c r="M64">
        <f t="shared" si="2"/>
        <v>82.076561445310972</v>
      </c>
      <c r="N64" t="e">
        <f t="shared" si="10"/>
        <v>#N/A</v>
      </c>
      <c r="O64" t="e">
        <f t="shared" si="11"/>
        <v>#N/A</v>
      </c>
      <c r="P64" t="e">
        <f t="shared" si="12"/>
        <v>#N/A</v>
      </c>
      <c r="Q64" t="e">
        <f t="shared" si="13"/>
        <v>#N/A</v>
      </c>
      <c r="U64">
        <f>C64/Navio!$J$4</f>
        <v>12.72752744920759</v>
      </c>
      <c r="Y64" s="42">
        <v>63</v>
      </c>
      <c r="Z64" s="14">
        <v>473.00623656700782</v>
      </c>
    </row>
    <row r="65" spans="1:26" x14ac:dyDescent="0.3">
      <c r="A65">
        <v>63</v>
      </c>
      <c r="B65" s="47">
        <v>340.56448544286178</v>
      </c>
      <c r="C65" s="46">
        <v>248.86436672045033</v>
      </c>
      <c r="D65" s="1">
        <v>7</v>
      </c>
      <c r="E65" s="1">
        <v>13</v>
      </c>
      <c r="F65" s="1" t="s">
        <v>50</v>
      </c>
      <c r="G65" s="1" t="s">
        <v>50</v>
      </c>
      <c r="H65" s="1" t="s">
        <v>50</v>
      </c>
      <c r="I65" s="1" t="s">
        <v>50</v>
      </c>
      <c r="J65" s="1" t="s">
        <v>50</v>
      </c>
      <c r="K65" s="1" t="s">
        <v>50</v>
      </c>
      <c r="L65">
        <f t="shared" si="9"/>
        <v>310</v>
      </c>
      <c r="M65">
        <f t="shared" si="2"/>
        <v>185.56448544286178</v>
      </c>
      <c r="N65" t="e">
        <f t="shared" si="10"/>
        <v>#N/A</v>
      </c>
      <c r="O65" t="e">
        <f t="shared" si="11"/>
        <v>#N/A</v>
      </c>
      <c r="P65" t="e">
        <f t="shared" si="12"/>
        <v>#N/A</v>
      </c>
      <c r="Q65" t="e">
        <f t="shared" si="13"/>
        <v>#N/A</v>
      </c>
      <c r="U65">
        <f>C65/Navio!$J$4</f>
        <v>13.437612404009114</v>
      </c>
      <c r="Y65" s="42">
        <v>64</v>
      </c>
      <c r="Z65" s="14">
        <v>473.00623656700782</v>
      </c>
    </row>
    <row r="66" spans="1:26" x14ac:dyDescent="0.3">
      <c r="A66">
        <v>64</v>
      </c>
      <c r="B66" s="47">
        <v>251.19741425619807</v>
      </c>
      <c r="C66" s="46">
        <v>256.00207488958034</v>
      </c>
      <c r="D66" s="1">
        <v>7</v>
      </c>
      <c r="E66" s="1">
        <v>14</v>
      </c>
      <c r="F66" s="1" t="s">
        <v>50</v>
      </c>
      <c r="G66" s="1" t="s">
        <v>50</v>
      </c>
      <c r="H66" s="1" t="s">
        <v>50</v>
      </c>
      <c r="I66" s="1" t="s">
        <v>50</v>
      </c>
      <c r="J66" s="1" t="s">
        <v>50</v>
      </c>
      <c r="K66" s="1" t="s">
        <v>50</v>
      </c>
      <c r="L66">
        <f t="shared" si="9"/>
        <v>310</v>
      </c>
      <c r="M66">
        <f t="shared" si="2"/>
        <v>96.197414256198073</v>
      </c>
      <c r="N66" t="e">
        <f t="shared" si="10"/>
        <v>#N/A</v>
      </c>
      <c r="O66" t="e">
        <f t="shared" si="11"/>
        <v>#N/A</v>
      </c>
      <c r="P66" t="e">
        <f t="shared" si="12"/>
        <v>#N/A</v>
      </c>
      <c r="Q66" t="e">
        <f t="shared" si="13"/>
        <v>#N/A</v>
      </c>
      <c r="U66">
        <f>C66/Navio!$J$4</f>
        <v>13.823018145673363</v>
      </c>
      <c r="Y66" s="42">
        <v>65</v>
      </c>
      <c r="Z66" s="14">
        <v>473.00623656700782</v>
      </c>
    </row>
    <row r="67" spans="1:26" x14ac:dyDescent="0.3">
      <c r="A67">
        <v>65</v>
      </c>
      <c r="B67" s="47">
        <v>365.14742667389368</v>
      </c>
      <c r="C67" s="46">
        <v>265.14944527505179</v>
      </c>
      <c r="D67" s="1">
        <v>7</v>
      </c>
      <c r="E67" s="1">
        <v>15</v>
      </c>
      <c r="F67" s="1" t="s">
        <v>50</v>
      </c>
      <c r="G67" s="1" t="s">
        <v>50</v>
      </c>
      <c r="H67" s="1" t="s">
        <v>50</v>
      </c>
      <c r="I67" s="1" t="s">
        <v>50</v>
      </c>
      <c r="J67" s="1" t="s">
        <v>50</v>
      </c>
      <c r="K67" s="1" t="s">
        <v>50</v>
      </c>
      <c r="L67">
        <f t="shared" si="9"/>
        <v>310</v>
      </c>
      <c r="M67">
        <f t="shared" ref="M67:M130" si="17">VLOOKUP(E67,$Y$2:$Z$80,2)</f>
        <v>210.14742667389368</v>
      </c>
      <c r="N67" t="e">
        <f t="shared" si="10"/>
        <v>#N/A</v>
      </c>
      <c r="O67" t="e">
        <f t="shared" si="11"/>
        <v>#N/A</v>
      </c>
      <c r="P67" t="e">
        <f t="shared" si="12"/>
        <v>#N/A</v>
      </c>
      <c r="Q67" t="e">
        <f t="shared" si="13"/>
        <v>#N/A</v>
      </c>
      <c r="U67">
        <f>C67/Navio!$J$4</f>
        <v>14.316937059721639</v>
      </c>
      <c r="Y67" s="42">
        <v>66</v>
      </c>
      <c r="Z67" s="14">
        <v>312.95113548570282</v>
      </c>
    </row>
    <row r="68" spans="1:26" x14ac:dyDescent="0.3">
      <c r="A68">
        <v>66</v>
      </c>
      <c r="B68" s="47">
        <v>212.65599513909163</v>
      </c>
      <c r="C68" s="46">
        <v>277.49588353640797</v>
      </c>
      <c r="D68" s="1">
        <v>7</v>
      </c>
      <c r="E68" s="1">
        <v>16</v>
      </c>
      <c r="F68" s="1" t="s">
        <v>50</v>
      </c>
      <c r="G68" s="1" t="s">
        <v>50</v>
      </c>
      <c r="H68" s="1" t="s">
        <v>50</v>
      </c>
      <c r="I68" s="1" t="s">
        <v>50</v>
      </c>
      <c r="J68" s="1" t="s">
        <v>50</v>
      </c>
      <c r="K68" s="1" t="s">
        <v>50</v>
      </c>
      <c r="L68">
        <f t="shared" si="9"/>
        <v>310</v>
      </c>
      <c r="M68">
        <f t="shared" si="17"/>
        <v>172.96798541727486</v>
      </c>
      <c r="N68" t="e">
        <f t="shared" si="10"/>
        <v>#N/A</v>
      </c>
      <c r="O68" t="e">
        <f t="shared" si="11"/>
        <v>#N/A</v>
      </c>
      <c r="P68" t="e">
        <f t="shared" si="12"/>
        <v>#N/A</v>
      </c>
      <c r="Q68" t="e">
        <f t="shared" si="13"/>
        <v>#N/A</v>
      </c>
      <c r="U68">
        <f>C68/Navio!$J$4</f>
        <v>14.983591969431936</v>
      </c>
      <c r="Y68" s="42">
        <v>67</v>
      </c>
      <c r="Z68" s="14">
        <v>233.24923275704379</v>
      </c>
    </row>
    <row r="69" spans="1:26" x14ac:dyDescent="0.3">
      <c r="A69">
        <v>67</v>
      </c>
      <c r="B69" s="47">
        <v>459.39567777634272</v>
      </c>
      <c r="C69" s="46">
        <v>278.1233759125339</v>
      </c>
      <c r="D69" s="1">
        <v>7</v>
      </c>
      <c r="E69" s="1">
        <v>17</v>
      </c>
      <c r="F69" s="1" t="s">
        <v>50</v>
      </c>
      <c r="G69" s="1" t="s">
        <v>50</v>
      </c>
      <c r="H69" s="1" t="s">
        <v>50</v>
      </c>
      <c r="I69" s="1" t="s">
        <v>50</v>
      </c>
      <c r="J69" s="1" t="s">
        <v>50</v>
      </c>
      <c r="K69" s="1" t="s">
        <v>50</v>
      </c>
      <c r="L69">
        <f t="shared" si="9"/>
        <v>310</v>
      </c>
      <c r="M69">
        <f t="shared" si="17"/>
        <v>304.39567777634272</v>
      </c>
      <c r="N69" t="e">
        <f t="shared" si="10"/>
        <v>#N/A</v>
      </c>
      <c r="O69" t="e">
        <f t="shared" si="11"/>
        <v>#N/A</v>
      </c>
      <c r="P69" t="e">
        <f t="shared" si="12"/>
        <v>#N/A</v>
      </c>
      <c r="Q69" t="e">
        <f t="shared" si="13"/>
        <v>#N/A</v>
      </c>
      <c r="U69">
        <f>C69/Navio!$J$4</f>
        <v>15.017473876464143</v>
      </c>
      <c r="Y69" s="42">
        <v>68</v>
      </c>
      <c r="Z69" s="14">
        <v>354.65328152856114</v>
      </c>
    </row>
    <row r="70" spans="1:26" x14ac:dyDescent="0.3">
      <c r="A70">
        <v>68</v>
      </c>
      <c r="B70" s="47">
        <v>310</v>
      </c>
      <c r="C70" s="46">
        <v>205.84961220744981</v>
      </c>
      <c r="D70" s="1">
        <v>8</v>
      </c>
      <c r="E70" s="1">
        <v>9</v>
      </c>
      <c r="F70" s="1" t="s">
        <v>50</v>
      </c>
      <c r="G70" s="1" t="s">
        <v>50</v>
      </c>
      <c r="H70" s="1" t="s">
        <v>50</v>
      </c>
      <c r="I70" s="1" t="s">
        <v>50</v>
      </c>
      <c r="J70" s="1" t="s">
        <v>50</v>
      </c>
      <c r="K70" s="1" t="s">
        <v>50</v>
      </c>
      <c r="L70">
        <f t="shared" si="9"/>
        <v>310</v>
      </c>
      <c r="M70">
        <f t="shared" si="17"/>
        <v>310</v>
      </c>
      <c r="N70" t="e">
        <f t="shared" si="10"/>
        <v>#N/A</v>
      </c>
      <c r="O70" t="e">
        <f t="shared" si="11"/>
        <v>#N/A</v>
      </c>
      <c r="P70" t="e">
        <f t="shared" si="12"/>
        <v>#N/A</v>
      </c>
      <c r="Q70" t="e">
        <f t="shared" si="13"/>
        <v>#N/A</v>
      </c>
      <c r="U70">
        <f>C70/Navio!$J$4</f>
        <v>11.114999462604816</v>
      </c>
      <c r="Y70" s="42">
        <v>69</v>
      </c>
      <c r="Z70" s="14">
        <v>324.97668365254049</v>
      </c>
    </row>
    <row r="71" spans="1:26" x14ac:dyDescent="0.3">
      <c r="A71">
        <v>69</v>
      </c>
      <c r="B71" s="47">
        <v>445.36739528320618</v>
      </c>
      <c r="C71" s="46">
        <v>221.07955466716527</v>
      </c>
      <c r="D71" s="1">
        <v>8</v>
      </c>
      <c r="E71" s="1">
        <v>10</v>
      </c>
      <c r="F71" s="1" t="s">
        <v>50</v>
      </c>
      <c r="G71" s="1" t="s">
        <v>50</v>
      </c>
      <c r="H71" s="1" t="s">
        <v>50</v>
      </c>
      <c r="I71" s="1" t="s">
        <v>50</v>
      </c>
      <c r="J71" s="1" t="s">
        <v>50</v>
      </c>
      <c r="K71" s="1" t="s">
        <v>50</v>
      </c>
      <c r="L71">
        <f t="shared" si="9"/>
        <v>310</v>
      </c>
      <c r="M71">
        <f t="shared" si="17"/>
        <v>290.36739528320618</v>
      </c>
      <c r="N71" t="e">
        <f t="shared" si="10"/>
        <v>#N/A</v>
      </c>
      <c r="O71" t="e">
        <f t="shared" si="11"/>
        <v>#N/A</v>
      </c>
      <c r="P71" t="e">
        <f t="shared" si="12"/>
        <v>#N/A</v>
      </c>
      <c r="Q71" t="e">
        <f t="shared" si="13"/>
        <v>#N/A</v>
      </c>
      <c r="U71">
        <f>C71/Navio!$J$4</f>
        <v>11.937351277796203</v>
      </c>
      <c r="Y71" s="42">
        <v>70</v>
      </c>
      <c r="Z71" s="14">
        <v>473.00623656700782</v>
      </c>
    </row>
    <row r="72" spans="1:26" x14ac:dyDescent="0.3">
      <c r="A72">
        <v>70</v>
      </c>
      <c r="B72" s="47">
        <v>433.99258318037374</v>
      </c>
      <c r="C72" s="46">
        <v>229.50963415868665</v>
      </c>
      <c r="D72" s="1">
        <v>8</v>
      </c>
      <c r="E72" s="1">
        <v>11</v>
      </c>
      <c r="F72" s="1" t="s">
        <v>50</v>
      </c>
      <c r="G72" s="1" t="s">
        <v>50</v>
      </c>
      <c r="H72" s="1" t="s">
        <v>50</v>
      </c>
      <c r="I72" s="1" t="s">
        <v>50</v>
      </c>
      <c r="J72" s="1" t="s">
        <v>50</v>
      </c>
      <c r="K72" s="1" t="s">
        <v>50</v>
      </c>
      <c r="L72">
        <f t="shared" si="9"/>
        <v>310</v>
      </c>
      <c r="M72">
        <f t="shared" si="17"/>
        <v>278.99258318037374</v>
      </c>
      <c r="N72" t="e">
        <f t="shared" si="10"/>
        <v>#N/A</v>
      </c>
      <c r="O72" t="e">
        <f t="shared" si="11"/>
        <v>#N/A</v>
      </c>
      <c r="P72" t="e">
        <f t="shared" si="12"/>
        <v>#N/A</v>
      </c>
      <c r="Q72" t="e">
        <f t="shared" si="13"/>
        <v>#N/A</v>
      </c>
      <c r="U72">
        <f>C72/Navio!$J$4</f>
        <v>12.392539548559364</v>
      </c>
      <c r="Y72" s="42">
        <v>71</v>
      </c>
      <c r="Z72" s="14">
        <v>473.00623656700782</v>
      </c>
    </row>
    <row r="73" spans="1:26" x14ac:dyDescent="0.3">
      <c r="A73">
        <v>71</v>
      </c>
      <c r="B73" s="47">
        <v>182.35885381510366</v>
      </c>
      <c r="C73" s="46">
        <v>235.8315519368567</v>
      </c>
      <c r="D73" s="1">
        <v>8</v>
      </c>
      <c r="E73" s="1">
        <v>12</v>
      </c>
      <c r="F73" s="1" t="s">
        <v>50</v>
      </c>
      <c r="G73" s="1" t="s">
        <v>50</v>
      </c>
      <c r="H73" s="1" t="s">
        <v>50</v>
      </c>
      <c r="I73" s="1" t="s">
        <v>50</v>
      </c>
      <c r="J73" s="1" t="s">
        <v>50</v>
      </c>
      <c r="K73" s="1" t="s">
        <v>50</v>
      </c>
      <c r="L73">
        <f t="shared" si="9"/>
        <v>310</v>
      </c>
      <c r="M73">
        <f t="shared" si="17"/>
        <v>82.076561445310972</v>
      </c>
      <c r="N73" t="e">
        <f t="shared" si="10"/>
        <v>#N/A</v>
      </c>
      <c r="O73" t="e">
        <f t="shared" si="11"/>
        <v>#N/A</v>
      </c>
      <c r="P73" t="e">
        <f t="shared" si="12"/>
        <v>#N/A</v>
      </c>
      <c r="Q73" t="e">
        <f t="shared" si="13"/>
        <v>#N/A</v>
      </c>
      <c r="U73">
        <f>C73/Navio!$J$4</f>
        <v>12.733896094988888</v>
      </c>
      <c r="Y73" s="44">
        <v>72</v>
      </c>
      <c r="Z73" s="14">
        <v>172.96798541727486</v>
      </c>
    </row>
    <row r="74" spans="1:26" x14ac:dyDescent="0.3">
      <c r="A74">
        <v>72</v>
      </c>
      <c r="B74" s="47">
        <v>340.56448544286178</v>
      </c>
      <c r="C74" s="46">
        <v>247.66124029854114</v>
      </c>
      <c r="D74" s="1">
        <v>8</v>
      </c>
      <c r="E74" s="1">
        <v>13</v>
      </c>
      <c r="F74" s="1" t="s">
        <v>50</v>
      </c>
      <c r="G74" s="1" t="s">
        <v>50</v>
      </c>
      <c r="H74" s="1" t="s">
        <v>50</v>
      </c>
      <c r="I74" s="1" t="s">
        <v>50</v>
      </c>
      <c r="J74" s="1" t="s">
        <v>50</v>
      </c>
      <c r="K74" s="1" t="s">
        <v>50</v>
      </c>
      <c r="L74">
        <f t="shared" si="9"/>
        <v>310</v>
      </c>
      <c r="M74">
        <f t="shared" si="17"/>
        <v>185.56448544286178</v>
      </c>
      <c r="N74" t="e">
        <f t="shared" si="10"/>
        <v>#N/A</v>
      </c>
      <c r="O74" t="e">
        <f t="shared" si="11"/>
        <v>#N/A</v>
      </c>
      <c r="P74" t="e">
        <f t="shared" si="12"/>
        <v>#N/A</v>
      </c>
      <c r="Q74" t="e">
        <f t="shared" si="13"/>
        <v>#N/A</v>
      </c>
      <c r="U74">
        <f>C74/Navio!$J$4</f>
        <v>13.372648718192258</v>
      </c>
      <c r="Y74" s="44">
        <v>73</v>
      </c>
      <c r="Z74" s="14">
        <v>303.05135811492471</v>
      </c>
    </row>
    <row r="75" spans="1:26" x14ac:dyDescent="0.3">
      <c r="A75">
        <v>73</v>
      </c>
      <c r="B75" s="47">
        <v>251.19741425619807</v>
      </c>
      <c r="C75" s="46">
        <v>257.01320714482398</v>
      </c>
      <c r="D75" s="1">
        <v>8</v>
      </c>
      <c r="E75" s="1">
        <v>14</v>
      </c>
      <c r="F75" s="1" t="s">
        <v>50</v>
      </c>
      <c r="G75" s="1" t="s">
        <v>50</v>
      </c>
      <c r="H75" s="1" t="s">
        <v>50</v>
      </c>
      <c r="I75" s="1" t="s">
        <v>50</v>
      </c>
      <c r="J75" s="1" t="s">
        <v>50</v>
      </c>
      <c r="K75" s="1" t="s">
        <v>50</v>
      </c>
      <c r="L75">
        <f t="shared" si="9"/>
        <v>310</v>
      </c>
      <c r="M75">
        <f t="shared" si="17"/>
        <v>96.197414256198073</v>
      </c>
      <c r="N75" t="e">
        <f t="shared" si="10"/>
        <v>#N/A</v>
      </c>
      <c r="O75" t="e">
        <f t="shared" si="11"/>
        <v>#N/A</v>
      </c>
      <c r="P75" t="e">
        <f t="shared" si="12"/>
        <v>#N/A</v>
      </c>
      <c r="Q75" t="e">
        <f t="shared" si="13"/>
        <v>#N/A</v>
      </c>
      <c r="U75">
        <f>C75/Navio!$J$4</f>
        <v>13.877614966882476</v>
      </c>
      <c r="Y75" s="44">
        <v>74</v>
      </c>
      <c r="Z75" s="14">
        <v>128.33892814918858</v>
      </c>
    </row>
    <row r="76" spans="1:26" x14ac:dyDescent="0.3">
      <c r="A76">
        <v>74</v>
      </c>
      <c r="B76" s="47">
        <v>365.14742667389368</v>
      </c>
      <c r="C76" s="46">
        <v>265.20679727886215</v>
      </c>
      <c r="D76" s="1">
        <v>8</v>
      </c>
      <c r="E76" s="1">
        <v>15</v>
      </c>
      <c r="F76" s="1" t="s">
        <v>50</v>
      </c>
      <c r="G76" s="1" t="s">
        <v>50</v>
      </c>
      <c r="H76" s="1" t="s">
        <v>50</v>
      </c>
      <c r="I76" s="1" t="s">
        <v>50</v>
      </c>
      <c r="J76" s="1" t="s">
        <v>50</v>
      </c>
      <c r="K76" s="1" t="s">
        <v>50</v>
      </c>
      <c r="L76">
        <f t="shared" si="9"/>
        <v>310</v>
      </c>
      <c r="M76">
        <f t="shared" si="17"/>
        <v>210.14742667389368</v>
      </c>
      <c r="N76" t="e">
        <f t="shared" si="10"/>
        <v>#N/A</v>
      </c>
      <c r="O76" t="e">
        <f t="shared" si="11"/>
        <v>#N/A</v>
      </c>
      <c r="P76" t="e">
        <f t="shared" si="12"/>
        <v>#N/A</v>
      </c>
      <c r="Q76" t="e">
        <f t="shared" si="13"/>
        <v>#N/A</v>
      </c>
      <c r="U76">
        <f>C76/Navio!$J$4</f>
        <v>14.32003382286195</v>
      </c>
      <c r="Y76" s="44">
        <v>75</v>
      </c>
      <c r="Z76" s="14">
        <v>221.36043010799847</v>
      </c>
    </row>
    <row r="77" spans="1:26" x14ac:dyDescent="0.3">
      <c r="A77">
        <v>75</v>
      </c>
      <c r="B77" s="47">
        <v>212.65599513909163</v>
      </c>
      <c r="C77" s="46">
        <v>277.5238137478126</v>
      </c>
      <c r="D77" s="1">
        <v>8</v>
      </c>
      <c r="E77" s="1">
        <v>16</v>
      </c>
      <c r="F77" s="1" t="s">
        <v>50</v>
      </c>
      <c r="G77" s="1" t="s">
        <v>50</v>
      </c>
      <c r="H77" s="1" t="s">
        <v>50</v>
      </c>
      <c r="I77" s="1" t="s">
        <v>50</v>
      </c>
      <c r="J77" s="1" t="s">
        <v>50</v>
      </c>
      <c r="K77" s="1" t="s">
        <v>50</v>
      </c>
      <c r="L77">
        <f t="shared" ref="L77:L140" si="18">VLOOKUP(D77,$Y$2:$Z$80,2)</f>
        <v>310</v>
      </c>
      <c r="M77">
        <f t="shared" si="17"/>
        <v>172.96798541727486</v>
      </c>
      <c r="N77" t="e">
        <f t="shared" ref="N77:N140" si="19">VLOOKUP(F77,$Y$2:$Z$80,2)</f>
        <v>#N/A</v>
      </c>
      <c r="O77" t="e">
        <f t="shared" ref="O77:O140" si="20">VLOOKUP(G77,$Y$2:$Z$80,2)</f>
        <v>#N/A</v>
      </c>
      <c r="P77" t="e">
        <f t="shared" ref="P77:P140" si="21">VLOOKUP(H77,$Y$2:$Z$80,2)</f>
        <v>#N/A</v>
      </c>
      <c r="Q77" t="e">
        <f t="shared" ref="Q77:Q140" si="22">VLOOKUP(I77,$Y$2:$Z$80,2)</f>
        <v>#N/A</v>
      </c>
      <c r="U77">
        <f>C77/Navio!$J$4</f>
        <v>14.98510008150183</v>
      </c>
      <c r="Y77" s="44">
        <v>76</v>
      </c>
      <c r="Z77" s="14">
        <v>473.00623656700782</v>
      </c>
    </row>
    <row r="78" spans="1:26" x14ac:dyDescent="0.3">
      <c r="A78">
        <v>76</v>
      </c>
      <c r="B78" s="47">
        <v>459.39567777634272</v>
      </c>
      <c r="C78" s="46">
        <v>277.52367515848391</v>
      </c>
      <c r="D78" s="1">
        <v>8</v>
      </c>
      <c r="E78" s="1">
        <v>17</v>
      </c>
      <c r="F78" s="1" t="s">
        <v>50</v>
      </c>
      <c r="G78" s="1" t="s">
        <v>50</v>
      </c>
      <c r="H78" s="1" t="s">
        <v>50</v>
      </c>
      <c r="I78" s="1" t="s">
        <v>50</v>
      </c>
      <c r="J78" s="1" t="s">
        <v>50</v>
      </c>
      <c r="K78" s="1" t="s">
        <v>50</v>
      </c>
      <c r="L78">
        <f t="shared" si="18"/>
        <v>310</v>
      </c>
      <c r="M78">
        <f t="shared" si="17"/>
        <v>304.39567777634272</v>
      </c>
      <c r="N78" t="e">
        <f t="shared" si="19"/>
        <v>#N/A</v>
      </c>
      <c r="O78" t="e">
        <f t="shared" si="20"/>
        <v>#N/A</v>
      </c>
      <c r="P78" t="e">
        <f t="shared" si="21"/>
        <v>#N/A</v>
      </c>
      <c r="Q78" t="e">
        <f t="shared" si="22"/>
        <v>#N/A</v>
      </c>
      <c r="U78">
        <f>C78/Navio!$J$4</f>
        <v>14.985092598270274</v>
      </c>
      <c r="Y78" s="44">
        <v>77</v>
      </c>
      <c r="Z78" s="14">
        <v>215.29992769227658</v>
      </c>
    </row>
    <row r="79" spans="1:26" x14ac:dyDescent="0.3">
      <c r="A79">
        <v>77</v>
      </c>
      <c r="B79" s="47">
        <v>445.36739528320618</v>
      </c>
      <c r="C79" s="46">
        <v>212.19619473985628</v>
      </c>
      <c r="D79" s="1">
        <v>9</v>
      </c>
      <c r="E79" s="1">
        <v>10</v>
      </c>
      <c r="F79" s="1" t="s">
        <v>50</v>
      </c>
      <c r="G79" s="1" t="s">
        <v>50</v>
      </c>
      <c r="H79" s="1" t="s">
        <v>50</v>
      </c>
      <c r="I79" s="1" t="s">
        <v>50</v>
      </c>
      <c r="J79" s="1" t="s">
        <v>50</v>
      </c>
      <c r="K79" s="1" t="s">
        <v>50</v>
      </c>
      <c r="L79">
        <f t="shared" si="18"/>
        <v>310</v>
      </c>
      <c r="M79">
        <f t="shared" si="17"/>
        <v>290.36739528320618</v>
      </c>
      <c r="N79" t="e">
        <f t="shared" si="19"/>
        <v>#N/A</v>
      </c>
      <c r="O79" t="e">
        <f t="shared" si="20"/>
        <v>#N/A</v>
      </c>
      <c r="P79" t="e">
        <f t="shared" si="21"/>
        <v>#N/A</v>
      </c>
      <c r="Q79" t="e">
        <f t="shared" si="22"/>
        <v>#N/A</v>
      </c>
      <c r="U79">
        <f>C79/Navio!$J$4</f>
        <v>11.457687800370469</v>
      </c>
      <c r="Y79" s="44">
        <v>78</v>
      </c>
      <c r="Z79" s="14">
        <v>473.00623656700782</v>
      </c>
    </row>
    <row r="80" spans="1:26" x14ac:dyDescent="0.3">
      <c r="A80">
        <v>78</v>
      </c>
      <c r="B80" s="47">
        <v>433.99258318037374</v>
      </c>
      <c r="C80" s="46">
        <v>227.34075765343749</v>
      </c>
      <c r="D80" s="1">
        <v>9</v>
      </c>
      <c r="E80" s="1">
        <v>11</v>
      </c>
      <c r="F80" s="1" t="s">
        <v>50</v>
      </c>
      <c r="G80" s="1" t="s">
        <v>50</v>
      </c>
      <c r="H80" s="1" t="s">
        <v>50</v>
      </c>
      <c r="I80" s="1" t="s">
        <v>50</v>
      </c>
      <c r="J80" s="1" t="s">
        <v>50</v>
      </c>
      <c r="K80" s="1" t="s">
        <v>50</v>
      </c>
      <c r="L80">
        <f t="shared" si="18"/>
        <v>310</v>
      </c>
      <c r="M80">
        <f t="shared" si="17"/>
        <v>278.99258318037374</v>
      </c>
      <c r="N80" t="e">
        <f t="shared" si="19"/>
        <v>#N/A</v>
      </c>
      <c r="O80" t="e">
        <f t="shared" si="20"/>
        <v>#N/A</v>
      </c>
      <c r="P80" t="e">
        <f t="shared" si="21"/>
        <v>#N/A</v>
      </c>
      <c r="Q80" t="e">
        <f t="shared" si="22"/>
        <v>#N/A</v>
      </c>
      <c r="U80">
        <f>C80/Navio!$J$4</f>
        <v>12.275429484897908</v>
      </c>
      <c r="Y80" s="44">
        <v>79</v>
      </c>
      <c r="Z80" s="14">
        <v>473.00623656700782</v>
      </c>
    </row>
    <row r="81" spans="1:26" x14ac:dyDescent="0.3">
      <c r="A81">
        <v>79</v>
      </c>
      <c r="B81" s="47">
        <v>182.35885381510366</v>
      </c>
      <c r="C81" s="46">
        <v>241.59395738507658</v>
      </c>
      <c r="D81" s="1">
        <v>9</v>
      </c>
      <c r="E81" s="1">
        <v>12</v>
      </c>
      <c r="F81" s="1" t="s">
        <v>50</v>
      </c>
      <c r="G81" s="1" t="s">
        <v>50</v>
      </c>
      <c r="H81" s="1" t="s">
        <v>50</v>
      </c>
      <c r="I81" s="1" t="s">
        <v>50</v>
      </c>
      <c r="J81" s="1" t="s">
        <v>50</v>
      </c>
      <c r="K81" s="1" t="s">
        <v>50</v>
      </c>
      <c r="L81">
        <f t="shared" si="18"/>
        <v>310</v>
      </c>
      <c r="M81">
        <f t="shared" si="17"/>
        <v>82.076561445310972</v>
      </c>
      <c r="N81" t="e">
        <f t="shared" si="19"/>
        <v>#N/A</v>
      </c>
      <c r="O81" t="e">
        <f t="shared" si="20"/>
        <v>#N/A</v>
      </c>
      <c r="P81" t="e">
        <f t="shared" si="21"/>
        <v>#N/A</v>
      </c>
      <c r="Q81" t="e">
        <f t="shared" si="22"/>
        <v>#N/A</v>
      </c>
      <c r="U81">
        <f>C81/Navio!$J$4</f>
        <v>13.045041366400563</v>
      </c>
      <c r="Y81" s="19">
        <v>80</v>
      </c>
      <c r="Z81" s="14"/>
    </row>
    <row r="82" spans="1:26" x14ac:dyDescent="0.3">
      <c r="A82">
        <v>80</v>
      </c>
      <c r="B82" s="47">
        <v>340.56448544286178</v>
      </c>
      <c r="C82" s="46">
        <v>248.20618758168604</v>
      </c>
      <c r="D82" s="1">
        <v>9</v>
      </c>
      <c r="E82" s="1">
        <v>13</v>
      </c>
      <c r="F82" s="1" t="s">
        <v>50</v>
      </c>
      <c r="G82" s="1" t="s">
        <v>50</v>
      </c>
      <c r="H82" s="1" t="s">
        <v>50</v>
      </c>
      <c r="I82" s="1" t="s">
        <v>50</v>
      </c>
      <c r="J82" s="1" t="s">
        <v>50</v>
      </c>
      <c r="K82" s="1" t="s">
        <v>50</v>
      </c>
      <c r="L82">
        <f t="shared" si="18"/>
        <v>310</v>
      </c>
      <c r="M82">
        <f t="shared" si="17"/>
        <v>185.56448544286178</v>
      </c>
      <c r="N82" t="e">
        <f t="shared" si="19"/>
        <v>#N/A</v>
      </c>
      <c r="O82" t="e">
        <f t="shared" si="20"/>
        <v>#N/A</v>
      </c>
      <c r="P82" t="e">
        <f t="shared" si="21"/>
        <v>#N/A</v>
      </c>
      <c r="Q82" t="e">
        <f t="shared" si="22"/>
        <v>#N/A</v>
      </c>
      <c r="U82">
        <f>C82/Navio!$J$4</f>
        <v>13.402073542919153</v>
      </c>
      <c r="Y82" s="19">
        <v>81</v>
      </c>
      <c r="Z82" s="15"/>
    </row>
    <row r="83" spans="1:26" x14ac:dyDescent="0.3">
      <c r="A83">
        <v>81</v>
      </c>
      <c r="B83" s="47">
        <v>251.19741425619807</v>
      </c>
      <c r="C83" s="46">
        <v>264.25296965369296</v>
      </c>
      <c r="D83" s="1">
        <v>9</v>
      </c>
      <c r="E83" s="1">
        <v>14</v>
      </c>
      <c r="F83" s="1" t="s">
        <v>50</v>
      </c>
      <c r="G83" s="1" t="s">
        <v>50</v>
      </c>
      <c r="H83" s="1" t="s">
        <v>50</v>
      </c>
      <c r="I83" s="1" t="s">
        <v>50</v>
      </c>
      <c r="J83" s="1" t="s">
        <v>50</v>
      </c>
      <c r="K83" s="1" t="s">
        <v>50</v>
      </c>
      <c r="L83">
        <f t="shared" si="18"/>
        <v>310</v>
      </c>
      <c r="M83">
        <f t="shared" si="17"/>
        <v>96.197414256198073</v>
      </c>
      <c r="N83" t="e">
        <f t="shared" si="19"/>
        <v>#N/A</v>
      </c>
      <c r="O83" t="e">
        <f t="shared" si="20"/>
        <v>#N/A</v>
      </c>
      <c r="P83" t="e">
        <f t="shared" si="21"/>
        <v>#N/A</v>
      </c>
      <c r="Q83" t="e">
        <f t="shared" si="22"/>
        <v>#N/A</v>
      </c>
      <c r="U83">
        <f>C83/Navio!$J$4</f>
        <v>14.268531206813837</v>
      </c>
      <c r="Y83" s="19">
        <v>82</v>
      </c>
      <c r="Z83" s="15"/>
    </row>
    <row r="84" spans="1:26" x14ac:dyDescent="0.3">
      <c r="A84">
        <v>82</v>
      </c>
      <c r="B84" s="47">
        <v>365.14742667389368</v>
      </c>
      <c r="C84" s="46">
        <v>269.29160085529838</v>
      </c>
      <c r="D84" s="1">
        <v>9</v>
      </c>
      <c r="E84" s="1">
        <v>15</v>
      </c>
      <c r="F84" s="1" t="s">
        <v>50</v>
      </c>
      <c r="G84" s="1" t="s">
        <v>50</v>
      </c>
      <c r="H84" s="1" t="s">
        <v>50</v>
      </c>
      <c r="I84" s="1" t="s">
        <v>50</v>
      </c>
      <c r="J84" s="1" t="s">
        <v>50</v>
      </c>
      <c r="K84" s="1" t="s">
        <v>50</v>
      </c>
      <c r="L84">
        <f t="shared" si="18"/>
        <v>310</v>
      </c>
      <c r="M84">
        <f t="shared" si="17"/>
        <v>210.14742667389368</v>
      </c>
      <c r="N84" t="e">
        <f t="shared" si="19"/>
        <v>#N/A</v>
      </c>
      <c r="O84" t="e">
        <f t="shared" si="20"/>
        <v>#N/A</v>
      </c>
      <c r="P84" t="e">
        <f t="shared" si="21"/>
        <v>#N/A</v>
      </c>
      <c r="Q84" t="e">
        <f t="shared" si="22"/>
        <v>#N/A</v>
      </c>
      <c r="U84">
        <f>C84/Navio!$J$4</f>
        <v>14.540595761599922</v>
      </c>
      <c r="Y84" s="19">
        <v>83</v>
      </c>
      <c r="Z84" s="15"/>
    </row>
    <row r="85" spans="1:26" x14ac:dyDescent="0.3">
      <c r="A85">
        <v>83</v>
      </c>
      <c r="B85" s="47">
        <v>212.65599513909163</v>
      </c>
      <c r="C85" s="46">
        <v>281.14755853975691</v>
      </c>
      <c r="D85" s="1">
        <v>9</v>
      </c>
      <c r="E85" s="1">
        <v>16</v>
      </c>
      <c r="F85" s="1" t="s">
        <v>50</v>
      </c>
      <c r="G85" s="1" t="s">
        <v>50</v>
      </c>
      <c r="H85" s="1" t="s">
        <v>50</v>
      </c>
      <c r="I85" s="1" t="s">
        <v>50</v>
      </c>
      <c r="J85" s="1" t="s">
        <v>50</v>
      </c>
      <c r="K85" s="1" t="s">
        <v>50</v>
      </c>
      <c r="L85">
        <f t="shared" si="18"/>
        <v>310</v>
      </c>
      <c r="M85">
        <f t="shared" si="17"/>
        <v>172.96798541727486</v>
      </c>
      <c r="N85" t="e">
        <f t="shared" si="19"/>
        <v>#N/A</v>
      </c>
      <c r="O85" t="e">
        <f t="shared" si="20"/>
        <v>#N/A</v>
      </c>
      <c r="P85" t="e">
        <f t="shared" si="21"/>
        <v>#N/A</v>
      </c>
      <c r="Q85" t="e">
        <f t="shared" si="22"/>
        <v>#N/A</v>
      </c>
      <c r="U85">
        <f>C85/Navio!$J$4</f>
        <v>15.180766815984123</v>
      </c>
      <c r="Y85" s="19">
        <v>84</v>
      </c>
      <c r="Z85" s="15"/>
    </row>
    <row r="86" spans="1:26" x14ac:dyDescent="0.3">
      <c r="A86">
        <v>84</v>
      </c>
      <c r="B86" s="47">
        <v>459.39567777634272</v>
      </c>
      <c r="C86" s="46">
        <v>278.9614924614707</v>
      </c>
      <c r="D86" s="1">
        <v>9</v>
      </c>
      <c r="E86" s="1">
        <v>17</v>
      </c>
      <c r="F86" s="1" t="s">
        <v>50</v>
      </c>
      <c r="G86" s="1" t="s">
        <v>50</v>
      </c>
      <c r="H86" s="1" t="s">
        <v>50</v>
      </c>
      <c r="I86" s="1" t="s">
        <v>50</v>
      </c>
      <c r="J86" s="1" t="s">
        <v>50</v>
      </c>
      <c r="K86" s="1" t="s">
        <v>50</v>
      </c>
      <c r="L86">
        <f t="shared" si="18"/>
        <v>310</v>
      </c>
      <c r="M86">
        <f t="shared" si="17"/>
        <v>304.39567777634272</v>
      </c>
      <c r="N86" t="e">
        <f t="shared" si="19"/>
        <v>#N/A</v>
      </c>
      <c r="O86" t="e">
        <f t="shared" si="20"/>
        <v>#N/A</v>
      </c>
      <c r="P86" t="e">
        <f t="shared" si="21"/>
        <v>#N/A</v>
      </c>
      <c r="Q86" t="e">
        <f t="shared" si="22"/>
        <v>#N/A</v>
      </c>
      <c r="U86">
        <f>C86/Navio!$J$4</f>
        <v>15.062728588829811</v>
      </c>
      <c r="Y86" s="19">
        <v>85</v>
      </c>
      <c r="Z86" s="15"/>
    </row>
    <row r="87" spans="1:26" x14ac:dyDescent="0.3">
      <c r="A87">
        <v>85</v>
      </c>
      <c r="B87" s="47">
        <v>569.35997846357986</v>
      </c>
      <c r="C87" s="46">
        <v>229.53138026767499</v>
      </c>
      <c r="D87" s="1">
        <v>10</v>
      </c>
      <c r="E87" s="1">
        <v>11</v>
      </c>
      <c r="F87" s="1" t="s">
        <v>50</v>
      </c>
      <c r="G87" s="1" t="s">
        <v>50</v>
      </c>
      <c r="H87" s="1" t="s">
        <v>50</v>
      </c>
      <c r="I87" s="1" t="s">
        <v>50</v>
      </c>
      <c r="J87" s="1" t="s">
        <v>50</v>
      </c>
      <c r="K87" s="1" t="s">
        <v>50</v>
      </c>
      <c r="L87">
        <f t="shared" si="18"/>
        <v>290.36739528320618</v>
      </c>
      <c r="M87">
        <f t="shared" si="17"/>
        <v>278.99258318037374</v>
      </c>
      <c r="N87" t="e">
        <f t="shared" si="19"/>
        <v>#N/A</v>
      </c>
      <c r="O87" t="e">
        <f t="shared" si="20"/>
        <v>#N/A</v>
      </c>
      <c r="P87" t="e">
        <f t="shared" si="21"/>
        <v>#N/A</v>
      </c>
      <c r="Q87" t="e">
        <f t="shared" si="22"/>
        <v>#N/A</v>
      </c>
      <c r="U87">
        <f>C87/Navio!$J$4</f>
        <v>12.393713745523483</v>
      </c>
      <c r="Y87" s="19">
        <v>86</v>
      </c>
      <c r="Z87" s="15"/>
    </row>
    <row r="88" spans="1:26" x14ac:dyDescent="0.3">
      <c r="A88">
        <v>86</v>
      </c>
      <c r="B88" s="47">
        <v>317.72624909830984</v>
      </c>
      <c r="C88" s="46">
        <v>247.36115275687217</v>
      </c>
      <c r="D88" s="1">
        <v>10</v>
      </c>
      <c r="E88" s="1">
        <v>12</v>
      </c>
      <c r="F88" s="1" t="s">
        <v>50</v>
      </c>
      <c r="G88" s="1" t="s">
        <v>50</v>
      </c>
      <c r="H88" s="1" t="s">
        <v>50</v>
      </c>
      <c r="I88" s="1" t="s">
        <v>50</v>
      </c>
      <c r="J88" s="1" t="s">
        <v>50</v>
      </c>
      <c r="K88" s="1" t="s">
        <v>50</v>
      </c>
      <c r="L88">
        <f t="shared" si="18"/>
        <v>290.36739528320618</v>
      </c>
      <c r="M88">
        <f t="shared" si="17"/>
        <v>82.076561445310972</v>
      </c>
      <c r="N88" t="e">
        <f t="shared" si="19"/>
        <v>#N/A</v>
      </c>
      <c r="O88" t="e">
        <f t="shared" si="20"/>
        <v>#N/A</v>
      </c>
      <c r="P88" t="e">
        <f t="shared" si="21"/>
        <v>#N/A</v>
      </c>
      <c r="Q88" t="e">
        <f t="shared" si="22"/>
        <v>#N/A</v>
      </c>
      <c r="U88">
        <f>C88/Navio!$J$4</f>
        <v>13.356445273217956</v>
      </c>
      <c r="Y88" s="19">
        <v>87</v>
      </c>
      <c r="Z88" s="15"/>
    </row>
    <row r="89" spans="1:26" x14ac:dyDescent="0.3">
      <c r="A89">
        <v>87</v>
      </c>
      <c r="B89" s="47">
        <v>475.93188072606796</v>
      </c>
      <c r="C89" s="46">
        <v>250.29828501485107</v>
      </c>
      <c r="D89" s="1">
        <v>10</v>
      </c>
      <c r="E89" s="1">
        <v>13</v>
      </c>
      <c r="F89" s="1" t="s">
        <v>50</v>
      </c>
      <c r="G89" s="1" t="s">
        <v>50</v>
      </c>
      <c r="H89" s="1" t="s">
        <v>50</v>
      </c>
      <c r="I89" s="1" t="s">
        <v>50</v>
      </c>
      <c r="J89" s="1" t="s">
        <v>50</v>
      </c>
      <c r="K89" s="1" t="s">
        <v>50</v>
      </c>
      <c r="L89">
        <f t="shared" si="18"/>
        <v>290.36739528320618</v>
      </c>
      <c r="M89">
        <f t="shared" si="17"/>
        <v>185.56448544286178</v>
      </c>
      <c r="N89" t="e">
        <f t="shared" si="19"/>
        <v>#N/A</v>
      </c>
      <c r="O89" t="e">
        <f t="shared" si="20"/>
        <v>#N/A</v>
      </c>
      <c r="P89" t="e">
        <f t="shared" si="21"/>
        <v>#N/A</v>
      </c>
      <c r="Q89" t="e">
        <f t="shared" si="22"/>
        <v>#N/A</v>
      </c>
      <c r="U89">
        <f>C89/Navio!$J$4</f>
        <v>13.515037864765491</v>
      </c>
      <c r="Y89" s="19">
        <v>88</v>
      </c>
      <c r="Z89" s="15"/>
    </row>
    <row r="90" spans="1:26" x14ac:dyDescent="0.3">
      <c r="A90">
        <v>88</v>
      </c>
      <c r="B90" s="47">
        <v>386.56480953940422</v>
      </c>
      <c r="C90" s="46">
        <v>269.91795748881367</v>
      </c>
      <c r="D90" s="1">
        <v>10</v>
      </c>
      <c r="E90" s="1">
        <v>14</v>
      </c>
      <c r="F90" s="1" t="s">
        <v>50</v>
      </c>
      <c r="G90" s="1" t="s">
        <v>50</v>
      </c>
      <c r="H90" s="1" t="s">
        <v>50</v>
      </c>
      <c r="I90" s="1" t="s">
        <v>50</v>
      </c>
      <c r="J90" s="1" t="s">
        <v>50</v>
      </c>
      <c r="K90" s="1" t="s">
        <v>50</v>
      </c>
      <c r="L90">
        <f t="shared" si="18"/>
        <v>290.36739528320618</v>
      </c>
      <c r="M90">
        <f t="shared" si="17"/>
        <v>96.197414256198073</v>
      </c>
      <c r="N90" t="e">
        <f t="shared" si="19"/>
        <v>#N/A</v>
      </c>
      <c r="O90" t="e">
        <f t="shared" si="20"/>
        <v>#N/A</v>
      </c>
      <c r="P90" t="e">
        <f t="shared" si="21"/>
        <v>#N/A</v>
      </c>
      <c r="Q90" t="e">
        <f t="shared" si="22"/>
        <v>#N/A</v>
      </c>
      <c r="U90">
        <f>C90/Navio!$J$4</f>
        <v>14.574416343384188</v>
      </c>
      <c r="Y90" s="19">
        <v>89</v>
      </c>
      <c r="Z90" s="15"/>
    </row>
    <row r="91" spans="1:26" x14ac:dyDescent="0.3">
      <c r="A91">
        <v>89</v>
      </c>
      <c r="B91" s="47">
        <v>500.51482195709985</v>
      </c>
      <c r="C91" s="46">
        <v>272.64592421161205</v>
      </c>
      <c r="D91" s="1">
        <v>10</v>
      </c>
      <c r="E91" s="1">
        <v>15</v>
      </c>
      <c r="F91" s="1" t="s">
        <v>50</v>
      </c>
      <c r="G91" s="1" t="s">
        <v>50</v>
      </c>
      <c r="H91" s="1" t="s">
        <v>50</v>
      </c>
      <c r="I91" s="1" t="s">
        <v>50</v>
      </c>
      <c r="J91" s="1" t="s">
        <v>50</v>
      </c>
      <c r="K91" s="1" t="s">
        <v>50</v>
      </c>
      <c r="L91">
        <f t="shared" si="18"/>
        <v>290.36739528320618</v>
      </c>
      <c r="M91">
        <f t="shared" si="17"/>
        <v>210.14742667389368</v>
      </c>
      <c r="N91" t="e">
        <f t="shared" si="19"/>
        <v>#N/A</v>
      </c>
      <c r="O91" t="e">
        <f t="shared" si="20"/>
        <v>#N/A</v>
      </c>
      <c r="P91" t="e">
        <f t="shared" si="21"/>
        <v>#N/A</v>
      </c>
      <c r="Q91" t="e">
        <f t="shared" si="22"/>
        <v>#N/A</v>
      </c>
      <c r="U91">
        <f>C91/Navio!$J$4</f>
        <v>14.721714889797532</v>
      </c>
      <c r="Y91" s="19">
        <v>90</v>
      </c>
      <c r="Z91" s="15"/>
    </row>
    <row r="92" spans="1:26" x14ac:dyDescent="0.3">
      <c r="A92">
        <v>90</v>
      </c>
      <c r="B92" s="47">
        <v>348.02339042229778</v>
      </c>
      <c r="C92" s="46">
        <v>283.95144192934873</v>
      </c>
      <c r="D92" s="1">
        <v>10</v>
      </c>
      <c r="E92" s="1">
        <v>16</v>
      </c>
      <c r="F92" s="1" t="s">
        <v>50</v>
      </c>
      <c r="G92" s="1" t="s">
        <v>50</v>
      </c>
      <c r="H92" s="1" t="s">
        <v>50</v>
      </c>
      <c r="I92" s="1" t="s">
        <v>50</v>
      </c>
      <c r="J92" s="1" t="s">
        <v>50</v>
      </c>
      <c r="K92" s="1" t="s">
        <v>50</v>
      </c>
      <c r="L92">
        <f t="shared" si="18"/>
        <v>290.36739528320618</v>
      </c>
      <c r="M92">
        <f t="shared" si="17"/>
        <v>172.96798541727486</v>
      </c>
      <c r="N92" t="e">
        <f t="shared" si="19"/>
        <v>#N/A</v>
      </c>
      <c r="O92" t="e">
        <f t="shared" si="20"/>
        <v>#N/A</v>
      </c>
      <c r="P92" t="e">
        <f t="shared" si="21"/>
        <v>#N/A</v>
      </c>
      <c r="Q92" t="e">
        <f t="shared" si="22"/>
        <v>#N/A</v>
      </c>
      <c r="U92">
        <f>C92/Navio!$J$4</f>
        <v>15.33216453801195</v>
      </c>
      <c r="Y92" s="19">
        <v>91</v>
      </c>
      <c r="Z92" s="15"/>
    </row>
    <row r="93" spans="1:26" x14ac:dyDescent="0.3">
      <c r="A93">
        <v>91</v>
      </c>
      <c r="B93" s="47">
        <v>594.7630730595489</v>
      </c>
      <c r="C93" s="46">
        <v>280.64109136236391</v>
      </c>
      <c r="D93" s="1">
        <v>10</v>
      </c>
      <c r="E93" s="1">
        <v>17</v>
      </c>
      <c r="F93" s="1" t="s">
        <v>50</v>
      </c>
      <c r="G93" s="1" t="s">
        <v>50</v>
      </c>
      <c r="H93" s="1" t="s">
        <v>50</v>
      </c>
      <c r="I93" s="1" t="s">
        <v>50</v>
      </c>
      <c r="J93" s="1" t="s">
        <v>50</v>
      </c>
      <c r="K93" s="1" t="s">
        <v>50</v>
      </c>
      <c r="L93">
        <f t="shared" si="18"/>
        <v>290.36739528320618</v>
      </c>
      <c r="M93">
        <f t="shared" si="17"/>
        <v>304.39567777634272</v>
      </c>
      <c r="N93" t="e">
        <f t="shared" si="19"/>
        <v>#N/A</v>
      </c>
      <c r="O93" t="e">
        <f t="shared" si="20"/>
        <v>#N/A</v>
      </c>
      <c r="P93" t="e">
        <f t="shared" si="21"/>
        <v>#N/A</v>
      </c>
      <c r="Q93" t="e">
        <f t="shared" si="22"/>
        <v>#N/A</v>
      </c>
      <c r="U93">
        <f>C93/Navio!$J$4</f>
        <v>15.153419752542113</v>
      </c>
      <c r="Y93" s="19">
        <v>92</v>
      </c>
      <c r="Z93" s="15"/>
    </row>
    <row r="94" spans="1:26" x14ac:dyDescent="0.3">
      <c r="A94">
        <v>92</v>
      </c>
      <c r="B94" s="47">
        <v>306.3514369954774</v>
      </c>
      <c r="C94" s="46">
        <v>245.69630406180556</v>
      </c>
      <c r="D94" s="1">
        <v>11</v>
      </c>
      <c r="E94" s="1">
        <v>12</v>
      </c>
      <c r="F94" s="1" t="s">
        <v>50</v>
      </c>
      <c r="G94" s="1" t="s">
        <v>50</v>
      </c>
      <c r="H94" s="1" t="s">
        <v>50</v>
      </c>
      <c r="I94" s="1" t="s">
        <v>50</v>
      </c>
      <c r="J94" s="1" t="s">
        <v>50</v>
      </c>
      <c r="K94" s="1" t="s">
        <v>50</v>
      </c>
      <c r="L94">
        <f t="shared" si="18"/>
        <v>278.99258318037374</v>
      </c>
      <c r="M94">
        <f t="shared" si="17"/>
        <v>82.076561445310972</v>
      </c>
      <c r="N94" t="e">
        <f t="shared" si="19"/>
        <v>#N/A</v>
      </c>
      <c r="O94" t="e">
        <f t="shared" si="20"/>
        <v>#N/A</v>
      </c>
      <c r="P94" t="e">
        <f t="shared" si="21"/>
        <v>#N/A</v>
      </c>
      <c r="Q94" t="e">
        <f t="shared" si="22"/>
        <v>#N/A</v>
      </c>
      <c r="U94">
        <f>C94/Navio!$J$4</f>
        <v>13.266550557592574</v>
      </c>
      <c r="Y94" s="19">
        <v>93</v>
      </c>
      <c r="Z94" s="15"/>
    </row>
    <row r="95" spans="1:26" x14ac:dyDescent="0.3">
      <c r="A95">
        <v>93</v>
      </c>
      <c r="B95" s="47">
        <v>464.55706862323552</v>
      </c>
      <c r="C95" s="46">
        <v>247.80060374036395</v>
      </c>
      <c r="D95" s="1">
        <v>11</v>
      </c>
      <c r="E95" s="1">
        <v>13</v>
      </c>
      <c r="F95" s="1" t="s">
        <v>50</v>
      </c>
      <c r="G95" s="1" t="s">
        <v>50</v>
      </c>
      <c r="H95" s="1" t="s">
        <v>50</v>
      </c>
      <c r="I95" s="1" t="s">
        <v>50</v>
      </c>
      <c r="J95" s="1" t="s">
        <v>50</v>
      </c>
      <c r="K95" s="1" t="s">
        <v>50</v>
      </c>
      <c r="L95">
        <f t="shared" si="18"/>
        <v>278.99258318037374</v>
      </c>
      <c r="M95">
        <f t="shared" si="17"/>
        <v>185.56448544286178</v>
      </c>
      <c r="N95" t="e">
        <f t="shared" si="19"/>
        <v>#N/A</v>
      </c>
      <c r="O95" t="e">
        <f t="shared" si="20"/>
        <v>#N/A</v>
      </c>
      <c r="P95" t="e">
        <f t="shared" si="21"/>
        <v>#N/A</v>
      </c>
      <c r="Q95" t="e">
        <f t="shared" si="22"/>
        <v>#N/A</v>
      </c>
      <c r="U95">
        <f>C95/Navio!$J$4</f>
        <v>13.380173748549888</v>
      </c>
      <c r="Y95" s="19">
        <v>94</v>
      </c>
      <c r="Z95" s="15"/>
    </row>
    <row r="96" spans="1:26" x14ac:dyDescent="0.3">
      <c r="A96">
        <v>94</v>
      </c>
      <c r="B96" s="47">
        <v>375.18999743657184</v>
      </c>
      <c r="C96" s="46">
        <v>267.72231203313584</v>
      </c>
      <c r="D96" s="1">
        <v>11</v>
      </c>
      <c r="E96" s="1">
        <v>14</v>
      </c>
      <c r="F96" s="1" t="s">
        <v>50</v>
      </c>
      <c r="G96" s="1" t="s">
        <v>50</v>
      </c>
      <c r="H96" s="1" t="s">
        <v>50</v>
      </c>
      <c r="I96" s="1" t="s">
        <v>50</v>
      </c>
      <c r="J96" s="1" t="s">
        <v>50</v>
      </c>
      <c r="K96" s="1" t="s">
        <v>50</v>
      </c>
      <c r="L96">
        <f t="shared" si="18"/>
        <v>278.99258318037374</v>
      </c>
      <c r="M96">
        <f t="shared" si="17"/>
        <v>96.197414256198073</v>
      </c>
      <c r="N96" t="e">
        <f t="shared" si="19"/>
        <v>#N/A</v>
      </c>
      <c r="O96" t="e">
        <f t="shared" si="20"/>
        <v>#N/A</v>
      </c>
      <c r="P96" t="e">
        <f t="shared" si="21"/>
        <v>#N/A</v>
      </c>
      <c r="Q96" t="e">
        <f t="shared" si="22"/>
        <v>#N/A</v>
      </c>
      <c r="U96">
        <f>C96/Navio!$J$4</f>
        <v>14.455860870783464</v>
      </c>
      <c r="Y96" s="19">
        <v>95</v>
      </c>
      <c r="Z96" s="15"/>
    </row>
    <row r="97" spans="1:26" x14ac:dyDescent="0.3">
      <c r="A97">
        <v>95</v>
      </c>
      <c r="B97" s="47">
        <v>489.14000985426742</v>
      </c>
      <c r="C97" s="46">
        <v>269.91884531665494</v>
      </c>
      <c r="D97" s="1">
        <v>11</v>
      </c>
      <c r="E97" s="1">
        <v>15</v>
      </c>
      <c r="F97" s="1" t="s">
        <v>50</v>
      </c>
      <c r="G97" s="1" t="s">
        <v>50</v>
      </c>
      <c r="H97" s="1" t="s">
        <v>50</v>
      </c>
      <c r="I97" s="1" t="s">
        <v>50</v>
      </c>
      <c r="J97" s="1" t="s">
        <v>50</v>
      </c>
      <c r="K97" s="1" t="s">
        <v>50</v>
      </c>
      <c r="L97">
        <f t="shared" si="18"/>
        <v>278.99258318037374</v>
      </c>
      <c r="M97">
        <f t="shared" si="17"/>
        <v>210.14742667389368</v>
      </c>
      <c r="N97" t="e">
        <f t="shared" si="19"/>
        <v>#N/A</v>
      </c>
      <c r="O97" t="e">
        <f t="shared" si="20"/>
        <v>#N/A</v>
      </c>
      <c r="P97" t="e">
        <f t="shared" si="21"/>
        <v>#N/A</v>
      </c>
      <c r="Q97" t="e">
        <f t="shared" si="22"/>
        <v>#N/A</v>
      </c>
      <c r="U97">
        <f>C97/Navio!$J$4</f>
        <v>14.574464282293922</v>
      </c>
      <c r="Y97" s="19">
        <v>96</v>
      </c>
      <c r="Z97" s="15"/>
    </row>
    <row r="98" spans="1:26" x14ac:dyDescent="0.3">
      <c r="A98">
        <v>96</v>
      </c>
      <c r="B98" s="47">
        <v>336.64857831946534</v>
      </c>
      <c r="C98" s="46">
        <v>281.29734716393239</v>
      </c>
      <c r="D98" s="1">
        <v>11</v>
      </c>
      <c r="E98" s="1">
        <v>16</v>
      </c>
      <c r="F98" s="1" t="s">
        <v>50</v>
      </c>
      <c r="G98" s="1" t="s">
        <v>50</v>
      </c>
      <c r="H98" s="1" t="s">
        <v>50</v>
      </c>
      <c r="I98" s="1" t="s">
        <v>50</v>
      </c>
      <c r="J98" s="1" t="s">
        <v>50</v>
      </c>
      <c r="K98" s="1" t="s">
        <v>50</v>
      </c>
      <c r="L98">
        <f t="shared" si="18"/>
        <v>278.99258318037374</v>
      </c>
      <c r="M98">
        <f t="shared" si="17"/>
        <v>172.96798541727486</v>
      </c>
      <c r="N98" t="e">
        <f t="shared" si="19"/>
        <v>#N/A</v>
      </c>
      <c r="O98" t="e">
        <f t="shared" si="20"/>
        <v>#N/A</v>
      </c>
      <c r="P98" t="e">
        <f t="shared" si="21"/>
        <v>#N/A</v>
      </c>
      <c r="Q98" t="e">
        <f t="shared" si="22"/>
        <v>#N/A</v>
      </c>
      <c r="U98">
        <f>C98/Navio!$J$4</f>
        <v>15.188854761641931</v>
      </c>
      <c r="Y98" s="19">
        <v>97</v>
      </c>
      <c r="Z98" s="15"/>
    </row>
    <row r="99" spans="1:26" x14ac:dyDescent="0.3">
      <c r="A99">
        <v>97</v>
      </c>
      <c r="B99" s="47">
        <v>583.38826095671652</v>
      </c>
      <c r="C99" s="46">
        <v>278.47730199028717</v>
      </c>
      <c r="D99" s="1">
        <v>11</v>
      </c>
      <c r="E99" s="1">
        <v>17</v>
      </c>
      <c r="F99" s="1" t="s">
        <v>50</v>
      </c>
      <c r="G99" s="1" t="s">
        <v>50</v>
      </c>
      <c r="H99" s="1" t="s">
        <v>50</v>
      </c>
      <c r="I99" s="1" t="s">
        <v>50</v>
      </c>
      <c r="J99" s="1" t="s">
        <v>50</v>
      </c>
      <c r="K99" s="1" t="s">
        <v>50</v>
      </c>
      <c r="L99">
        <f t="shared" si="18"/>
        <v>278.99258318037374</v>
      </c>
      <c r="M99">
        <f t="shared" si="17"/>
        <v>304.39567777634272</v>
      </c>
      <c r="N99" t="e">
        <f t="shared" si="19"/>
        <v>#N/A</v>
      </c>
      <c r="O99" t="e">
        <f t="shared" si="20"/>
        <v>#N/A</v>
      </c>
      <c r="P99" t="e">
        <f t="shared" si="21"/>
        <v>#N/A</v>
      </c>
      <c r="Q99" t="e">
        <f t="shared" si="22"/>
        <v>#N/A</v>
      </c>
      <c r="U99">
        <f>C99/Navio!$J$4</f>
        <v>15.036584372334618</v>
      </c>
      <c r="Y99" s="19">
        <v>98</v>
      </c>
      <c r="Z99" s="15"/>
    </row>
    <row r="100" spans="1:26" x14ac:dyDescent="0.3">
      <c r="A100">
        <v>98</v>
      </c>
      <c r="B100" s="47">
        <v>212.92333925796544</v>
      </c>
      <c r="C100" s="46">
        <v>252.73790926676304</v>
      </c>
      <c r="D100" s="1">
        <v>12</v>
      </c>
      <c r="E100" s="1">
        <v>13</v>
      </c>
      <c r="F100" s="1" t="s">
        <v>50</v>
      </c>
      <c r="G100" s="1" t="s">
        <v>50</v>
      </c>
      <c r="H100" s="1" t="s">
        <v>50</v>
      </c>
      <c r="I100" s="1" t="s">
        <v>50</v>
      </c>
      <c r="J100" s="1" t="s">
        <v>50</v>
      </c>
      <c r="K100" s="1" t="s">
        <v>50</v>
      </c>
      <c r="L100">
        <f t="shared" si="18"/>
        <v>82.076561445310972</v>
      </c>
      <c r="M100">
        <f t="shared" si="17"/>
        <v>185.56448544286178</v>
      </c>
      <c r="N100" t="e">
        <f t="shared" si="19"/>
        <v>#N/A</v>
      </c>
      <c r="O100" t="e">
        <f t="shared" si="20"/>
        <v>#N/A</v>
      </c>
      <c r="P100" t="e">
        <f t="shared" si="21"/>
        <v>#N/A</v>
      </c>
      <c r="Q100" t="e">
        <f t="shared" si="22"/>
        <v>#N/A</v>
      </c>
      <c r="U100">
        <f>C100/Navio!$J$4</f>
        <v>13.646767149840034</v>
      </c>
      <c r="Y100" s="19">
        <v>99</v>
      </c>
      <c r="Z100" s="15"/>
    </row>
    <row r="101" spans="1:26" x14ac:dyDescent="0.3">
      <c r="A101">
        <v>99</v>
      </c>
      <c r="B101" s="47">
        <v>123.55626807130173</v>
      </c>
      <c r="C101" s="46">
        <v>258.4280485223988</v>
      </c>
      <c r="D101" s="1">
        <v>12</v>
      </c>
      <c r="E101" s="1">
        <v>14</v>
      </c>
      <c r="F101" s="1" t="s">
        <v>50</v>
      </c>
      <c r="G101" s="1" t="s">
        <v>50</v>
      </c>
      <c r="H101" s="1" t="s">
        <v>50</v>
      </c>
      <c r="I101" s="1" t="s">
        <v>50</v>
      </c>
      <c r="J101" s="1" t="s">
        <v>50</v>
      </c>
      <c r="K101" s="1" t="s">
        <v>50</v>
      </c>
      <c r="L101">
        <f t="shared" si="18"/>
        <v>82.076561445310972</v>
      </c>
      <c r="M101">
        <f t="shared" si="17"/>
        <v>96.197414256198073</v>
      </c>
      <c r="N101" t="e">
        <f t="shared" si="19"/>
        <v>#N/A</v>
      </c>
      <c r="O101" t="e">
        <f t="shared" si="20"/>
        <v>#N/A</v>
      </c>
      <c r="P101" t="e">
        <f t="shared" si="21"/>
        <v>#N/A</v>
      </c>
      <c r="Q101" t="e">
        <f t="shared" si="22"/>
        <v>#N/A</v>
      </c>
      <c r="U101">
        <f>C101/Navio!$J$4</f>
        <v>13.95401035564603</v>
      </c>
      <c r="Y101" s="19">
        <v>100</v>
      </c>
      <c r="Z101" s="15"/>
    </row>
    <row r="102" spans="1:26" x14ac:dyDescent="0.3">
      <c r="A102">
        <v>100</v>
      </c>
      <c r="B102" s="47">
        <v>237.50628048899733</v>
      </c>
      <c r="C102" s="46">
        <v>265.1178208391018</v>
      </c>
      <c r="D102" s="1">
        <v>12</v>
      </c>
      <c r="E102" s="1">
        <v>15</v>
      </c>
      <c r="F102" s="1" t="s">
        <v>50</v>
      </c>
      <c r="G102" s="1" t="s">
        <v>50</v>
      </c>
      <c r="H102" s="1" t="s">
        <v>50</v>
      </c>
      <c r="I102" s="1" t="s">
        <v>50</v>
      </c>
      <c r="J102" s="1" t="s">
        <v>50</v>
      </c>
      <c r="K102" s="1" t="s">
        <v>50</v>
      </c>
      <c r="L102">
        <f t="shared" si="18"/>
        <v>82.076561445310972</v>
      </c>
      <c r="M102">
        <f t="shared" si="17"/>
        <v>210.14742667389368</v>
      </c>
      <c r="N102" t="e">
        <f t="shared" si="19"/>
        <v>#N/A</v>
      </c>
      <c r="O102" t="e">
        <f t="shared" si="20"/>
        <v>#N/A</v>
      </c>
      <c r="P102" t="e">
        <f t="shared" si="21"/>
        <v>#N/A</v>
      </c>
      <c r="Q102" t="e">
        <f t="shared" si="22"/>
        <v>#N/A</v>
      </c>
      <c r="U102">
        <f>C102/Navio!$J$4</f>
        <v>14.315229475311739</v>
      </c>
    </row>
    <row r="103" spans="1:26" x14ac:dyDescent="0.3">
      <c r="A103">
        <v>101</v>
      </c>
      <c r="B103" s="47">
        <v>85.014848954195273</v>
      </c>
      <c r="C103" s="46">
        <v>277.46219765118678</v>
      </c>
      <c r="D103" s="1">
        <v>12</v>
      </c>
      <c r="E103" s="1">
        <v>16</v>
      </c>
      <c r="F103" s="1" t="s">
        <v>50</v>
      </c>
      <c r="G103" s="1" t="s">
        <v>50</v>
      </c>
      <c r="H103" s="1" t="s">
        <v>50</v>
      </c>
      <c r="I103" s="1" t="s">
        <v>50</v>
      </c>
      <c r="J103" s="1" t="s">
        <v>50</v>
      </c>
      <c r="K103" s="1" t="s">
        <v>50</v>
      </c>
      <c r="L103">
        <f t="shared" si="18"/>
        <v>82.076561445310972</v>
      </c>
      <c r="M103">
        <f t="shared" si="17"/>
        <v>172.96798541727486</v>
      </c>
      <c r="N103" t="e">
        <f t="shared" si="19"/>
        <v>#N/A</v>
      </c>
      <c r="O103" t="e">
        <f t="shared" si="20"/>
        <v>#N/A</v>
      </c>
      <c r="P103" t="e">
        <f t="shared" si="21"/>
        <v>#N/A</v>
      </c>
      <c r="Q103" t="e">
        <f t="shared" si="22"/>
        <v>#N/A</v>
      </c>
      <c r="U103">
        <f>C103/Navio!$J$4</f>
        <v>14.981773075569977</v>
      </c>
    </row>
    <row r="104" spans="1:26" x14ac:dyDescent="0.3">
      <c r="A104">
        <v>102</v>
      </c>
      <c r="B104" s="47">
        <v>331.75453159144638</v>
      </c>
      <c r="C104" s="46">
        <v>278.62334346428406</v>
      </c>
      <c r="D104" s="1">
        <v>12</v>
      </c>
      <c r="E104" s="1">
        <v>17</v>
      </c>
      <c r="F104" s="1" t="s">
        <v>50</v>
      </c>
      <c r="G104" s="1" t="s">
        <v>50</v>
      </c>
      <c r="H104" s="1" t="s">
        <v>50</v>
      </c>
      <c r="I104" s="1" t="s">
        <v>50</v>
      </c>
      <c r="J104" s="1" t="s">
        <v>50</v>
      </c>
      <c r="K104" s="1" t="s">
        <v>50</v>
      </c>
      <c r="L104">
        <f t="shared" si="18"/>
        <v>82.076561445310972</v>
      </c>
      <c r="M104">
        <f t="shared" si="17"/>
        <v>304.39567777634272</v>
      </c>
      <c r="N104" t="e">
        <f t="shared" si="19"/>
        <v>#N/A</v>
      </c>
      <c r="O104" t="e">
        <f t="shared" si="20"/>
        <v>#N/A</v>
      </c>
      <c r="P104" t="e">
        <f t="shared" si="21"/>
        <v>#N/A</v>
      </c>
      <c r="Q104" t="e">
        <f t="shared" si="22"/>
        <v>#N/A</v>
      </c>
      <c r="U104">
        <f>C104/Navio!$J$4</f>
        <v>15.044469987894377</v>
      </c>
    </row>
    <row r="105" spans="1:26" x14ac:dyDescent="0.3">
      <c r="A105">
        <v>103</v>
      </c>
      <c r="B105" s="47">
        <v>281.76189969905988</v>
      </c>
      <c r="C105" s="46">
        <v>270.50765873509084</v>
      </c>
      <c r="D105" s="1">
        <v>13</v>
      </c>
      <c r="E105" s="1">
        <v>14</v>
      </c>
      <c r="F105" s="1" t="s">
        <v>50</v>
      </c>
      <c r="G105" s="1" t="s">
        <v>50</v>
      </c>
      <c r="H105" s="1" t="s">
        <v>50</v>
      </c>
      <c r="I105" s="1" t="s">
        <v>50</v>
      </c>
      <c r="J105" s="1" t="s">
        <v>50</v>
      </c>
      <c r="K105" s="1" t="s">
        <v>50</v>
      </c>
      <c r="L105">
        <f t="shared" si="18"/>
        <v>185.56448544286178</v>
      </c>
      <c r="M105">
        <f t="shared" si="17"/>
        <v>96.197414256198073</v>
      </c>
      <c r="N105" t="e">
        <f t="shared" si="19"/>
        <v>#N/A</v>
      </c>
      <c r="O105" t="e">
        <f t="shared" si="20"/>
        <v>#N/A</v>
      </c>
      <c r="P105" t="e">
        <f t="shared" si="21"/>
        <v>#N/A</v>
      </c>
      <c r="Q105" t="e">
        <f t="shared" si="22"/>
        <v>#N/A</v>
      </c>
      <c r="U105">
        <f>C105/Navio!$J$4</f>
        <v>14.606257690886279</v>
      </c>
    </row>
    <row r="106" spans="1:26" x14ac:dyDescent="0.3">
      <c r="A106">
        <v>104</v>
      </c>
      <c r="B106" s="47">
        <v>395.71191211675546</v>
      </c>
      <c r="C106" s="46">
        <v>269.80406725935484</v>
      </c>
      <c r="D106" s="1">
        <v>13</v>
      </c>
      <c r="E106" s="1">
        <v>15</v>
      </c>
      <c r="F106" s="1" t="s">
        <v>50</v>
      </c>
      <c r="G106" s="1" t="s">
        <v>50</v>
      </c>
      <c r="H106" s="1" t="s">
        <v>50</v>
      </c>
      <c r="I106" s="1" t="s">
        <v>50</v>
      </c>
      <c r="J106" s="1" t="s">
        <v>50</v>
      </c>
      <c r="K106" s="1" t="s">
        <v>50</v>
      </c>
      <c r="L106">
        <f t="shared" si="18"/>
        <v>185.56448544286178</v>
      </c>
      <c r="M106">
        <f t="shared" si="17"/>
        <v>210.14742667389368</v>
      </c>
      <c r="N106" t="e">
        <f t="shared" si="19"/>
        <v>#N/A</v>
      </c>
      <c r="O106" t="e">
        <f t="shared" si="20"/>
        <v>#N/A</v>
      </c>
      <c r="P106" t="e">
        <f t="shared" si="21"/>
        <v>#N/A</v>
      </c>
      <c r="Q106" t="e">
        <f t="shared" si="22"/>
        <v>#N/A</v>
      </c>
      <c r="U106">
        <f>C106/Navio!$J$4</f>
        <v>14.568266757647027</v>
      </c>
    </row>
    <row r="107" spans="1:26" x14ac:dyDescent="0.3">
      <c r="A107">
        <v>105</v>
      </c>
      <c r="B107" s="47">
        <v>243.22048058195341</v>
      </c>
      <c r="C107" s="46">
        <v>280.62336699693356</v>
      </c>
      <c r="D107" s="1">
        <v>13</v>
      </c>
      <c r="E107" s="1">
        <v>16</v>
      </c>
      <c r="F107" s="1" t="s">
        <v>50</v>
      </c>
      <c r="G107" s="1" t="s">
        <v>50</v>
      </c>
      <c r="H107" s="1" t="s">
        <v>50</v>
      </c>
      <c r="I107" s="1" t="s">
        <v>50</v>
      </c>
      <c r="J107" s="1" t="s">
        <v>50</v>
      </c>
      <c r="K107" s="1" t="s">
        <v>50</v>
      </c>
      <c r="L107">
        <f t="shared" si="18"/>
        <v>185.56448544286178</v>
      </c>
      <c r="M107">
        <f t="shared" si="17"/>
        <v>172.96798541727486</v>
      </c>
      <c r="N107" t="e">
        <f t="shared" si="19"/>
        <v>#N/A</v>
      </c>
      <c r="O107" t="e">
        <f t="shared" si="20"/>
        <v>#N/A</v>
      </c>
      <c r="P107" t="e">
        <f t="shared" si="21"/>
        <v>#N/A</v>
      </c>
      <c r="Q107" t="e">
        <f t="shared" si="22"/>
        <v>#N/A</v>
      </c>
      <c r="U107">
        <f>C107/Navio!$J$4</f>
        <v>15.152462712545191</v>
      </c>
    </row>
    <row r="108" spans="1:26" x14ac:dyDescent="0.3">
      <c r="A108">
        <v>106</v>
      </c>
      <c r="B108" s="47">
        <v>489.9601632192045</v>
      </c>
      <c r="C108" s="46">
        <v>277.68023653520788</v>
      </c>
      <c r="D108" s="1">
        <v>13</v>
      </c>
      <c r="E108" s="1">
        <v>17</v>
      </c>
      <c r="F108" s="1" t="s">
        <v>50</v>
      </c>
      <c r="G108" s="1" t="s">
        <v>50</v>
      </c>
      <c r="H108" s="1" t="s">
        <v>50</v>
      </c>
      <c r="I108" s="1" t="s">
        <v>50</v>
      </c>
      <c r="J108" s="1" t="s">
        <v>50</v>
      </c>
      <c r="K108" s="1" t="s">
        <v>50</v>
      </c>
      <c r="L108">
        <f t="shared" si="18"/>
        <v>185.56448544286178</v>
      </c>
      <c r="M108">
        <f t="shared" si="17"/>
        <v>304.39567777634272</v>
      </c>
      <c r="N108" t="e">
        <f t="shared" si="19"/>
        <v>#N/A</v>
      </c>
      <c r="O108" t="e">
        <f t="shared" si="20"/>
        <v>#N/A</v>
      </c>
      <c r="P108" t="e">
        <f t="shared" si="21"/>
        <v>#N/A</v>
      </c>
      <c r="Q108" t="e">
        <f t="shared" si="22"/>
        <v>#N/A</v>
      </c>
      <c r="U108">
        <f>C108/Navio!$J$4</f>
        <v>14.993546243625689</v>
      </c>
    </row>
    <row r="109" spans="1:26" x14ac:dyDescent="0.3">
      <c r="A109">
        <v>107</v>
      </c>
      <c r="B109" s="47">
        <v>306.34484093009178</v>
      </c>
      <c r="C109" s="46">
        <v>270.5310499079493</v>
      </c>
      <c r="D109" s="1">
        <v>14</v>
      </c>
      <c r="E109" s="1">
        <v>15</v>
      </c>
      <c r="F109" s="1" t="s">
        <v>50</v>
      </c>
      <c r="G109" s="1" t="s">
        <v>50</v>
      </c>
      <c r="H109" s="1" t="s">
        <v>50</v>
      </c>
      <c r="I109" s="1" t="s">
        <v>50</v>
      </c>
      <c r="J109" s="1" t="s">
        <v>50</v>
      </c>
      <c r="K109" s="1" t="s">
        <v>50</v>
      </c>
      <c r="L109">
        <f t="shared" si="18"/>
        <v>96.197414256198073</v>
      </c>
      <c r="M109">
        <f t="shared" si="17"/>
        <v>210.14742667389368</v>
      </c>
      <c r="N109" t="e">
        <f t="shared" si="19"/>
        <v>#N/A</v>
      </c>
      <c r="O109" t="e">
        <f t="shared" si="20"/>
        <v>#N/A</v>
      </c>
      <c r="P109" t="e">
        <f t="shared" si="21"/>
        <v>#N/A</v>
      </c>
      <c r="Q109" t="e">
        <f t="shared" si="22"/>
        <v>#N/A</v>
      </c>
      <c r="U109">
        <f>C109/Navio!$J$4</f>
        <v>14.607520714270017</v>
      </c>
    </row>
    <row r="110" spans="1:26" x14ac:dyDescent="0.3">
      <c r="A110">
        <v>108</v>
      </c>
      <c r="B110" s="47">
        <v>153.8534093952897</v>
      </c>
      <c r="C110" s="46">
        <v>281.00589203855702</v>
      </c>
      <c r="D110" s="1">
        <v>14</v>
      </c>
      <c r="E110" s="1">
        <v>16</v>
      </c>
      <c r="F110" s="1" t="s">
        <v>50</v>
      </c>
      <c r="G110" s="1" t="s">
        <v>50</v>
      </c>
      <c r="H110" s="1" t="s">
        <v>50</v>
      </c>
      <c r="I110" s="1" t="s">
        <v>50</v>
      </c>
      <c r="J110" s="1" t="s">
        <v>50</v>
      </c>
      <c r="K110" s="1" t="s">
        <v>50</v>
      </c>
      <c r="L110">
        <f t="shared" si="18"/>
        <v>96.197414256198073</v>
      </c>
      <c r="M110">
        <f t="shared" si="17"/>
        <v>172.96798541727486</v>
      </c>
      <c r="N110" t="e">
        <f t="shared" si="19"/>
        <v>#N/A</v>
      </c>
      <c r="O110" t="e">
        <f t="shared" si="20"/>
        <v>#N/A</v>
      </c>
      <c r="P110" t="e">
        <f t="shared" si="21"/>
        <v>#N/A</v>
      </c>
      <c r="Q110" t="e">
        <f t="shared" si="22"/>
        <v>#N/A</v>
      </c>
      <c r="U110">
        <f>C110/Navio!$J$4</f>
        <v>15.173117430261117</v>
      </c>
    </row>
    <row r="111" spans="1:26" x14ac:dyDescent="0.3">
      <c r="A111">
        <v>109</v>
      </c>
      <c r="B111" s="47">
        <v>400.59309203254077</v>
      </c>
      <c r="C111" s="46">
        <v>286.39378815143721</v>
      </c>
      <c r="D111" s="1">
        <v>14</v>
      </c>
      <c r="E111" s="1">
        <v>17</v>
      </c>
      <c r="F111" s="1" t="s">
        <v>50</v>
      </c>
      <c r="G111" s="1" t="s">
        <v>50</v>
      </c>
      <c r="H111" s="1" t="s">
        <v>50</v>
      </c>
      <c r="I111" s="1" t="s">
        <v>50</v>
      </c>
      <c r="J111" s="1" t="s">
        <v>50</v>
      </c>
      <c r="K111" s="1" t="s">
        <v>50</v>
      </c>
      <c r="L111">
        <f t="shared" si="18"/>
        <v>96.197414256198073</v>
      </c>
      <c r="M111">
        <f t="shared" si="17"/>
        <v>304.39567777634272</v>
      </c>
      <c r="N111" t="e">
        <f t="shared" si="19"/>
        <v>#N/A</v>
      </c>
      <c r="O111" t="e">
        <f t="shared" si="20"/>
        <v>#N/A</v>
      </c>
      <c r="P111" t="e">
        <f t="shared" si="21"/>
        <v>#N/A</v>
      </c>
      <c r="Q111" t="e">
        <f t="shared" si="22"/>
        <v>#N/A</v>
      </c>
      <c r="U111">
        <f>C111/Navio!$J$4</f>
        <v>15.46404079784503</v>
      </c>
    </row>
    <row r="112" spans="1:26" x14ac:dyDescent="0.3">
      <c r="A112">
        <v>110</v>
      </c>
      <c r="B112" s="47">
        <v>267.80342181298528</v>
      </c>
      <c r="C112" s="46">
        <v>277.46298083653437</v>
      </c>
      <c r="D112" s="1">
        <v>15</v>
      </c>
      <c r="E112" s="1">
        <v>16</v>
      </c>
      <c r="F112" s="1" t="s">
        <v>50</v>
      </c>
      <c r="G112" s="1" t="s">
        <v>50</v>
      </c>
      <c r="H112" s="1" t="s">
        <v>50</v>
      </c>
      <c r="I112" s="1" t="s">
        <v>50</v>
      </c>
      <c r="J112" s="1" t="s">
        <v>50</v>
      </c>
      <c r="K112" s="1" t="s">
        <v>50</v>
      </c>
      <c r="L112">
        <f t="shared" si="18"/>
        <v>210.14742667389368</v>
      </c>
      <c r="M112">
        <f t="shared" si="17"/>
        <v>172.96798541727486</v>
      </c>
      <c r="N112" t="e">
        <f t="shared" si="19"/>
        <v>#N/A</v>
      </c>
      <c r="O112" t="e">
        <f t="shared" si="20"/>
        <v>#N/A</v>
      </c>
      <c r="P112" t="e">
        <f t="shared" si="21"/>
        <v>#N/A</v>
      </c>
      <c r="Q112" t="e">
        <f t="shared" si="22"/>
        <v>#N/A</v>
      </c>
      <c r="U112">
        <f>C112/Navio!$J$4</f>
        <v>14.981815364232192</v>
      </c>
    </row>
    <row r="113" spans="1:21" x14ac:dyDescent="0.3">
      <c r="A113">
        <v>111</v>
      </c>
      <c r="B113" s="47">
        <v>514.54310445023634</v>
      </c>
      <c r="C113" s="46">
        <v>281.01424945473258</v>
      </c>
      <c r="D113" s="1">
        <v>15</v>
      </c>
      <c r="E113" s="1">
        <v>17</v>
      </c>
      <c r="F113" s="1" t="s">
        <v>50</v>
      </c>
      <c r="G113" s="1" t="s">
        <v>50</v>
      </c>
      <c r="H113" s="1" t="s">
        <v>50</v>
      </c>
      <c r="I113" s="1" t="s">
        <v>50</v>
      </c>
      <c r="J113" s="1" t="s">
        <v>50</v>
      </c>
      <c r="K113" s="1" t="s">
        <v>50</v>
      </c>
      <c r="L113">
        <f t="shared" si="18"/>
        <v>210.14742667389368</v>
      </c>
      <c r="M113">
        <f t="shared" si="17"/>
        <v>304.39567777634272</v>
      </c>
      <c r="N113" t="e">
        <f t="shared" si="19"/>
        <v>#N/A</v>
      </c>
      <c r="O113" t="e">
        <f t="shared" si="20"/>
        <v>#N/A</v>
      </c>
      <c r="P113" t="e">
        <f t="shared" si="21"/>
        <v>#N/A</v>
      </c>
      <c r="Q113" t="e">
        <f t="shared" si="22"/>
        <v>#N/A</v>
      </c>
      <c r="U113">
        <f>C113/Navio!$J$4</f>
        <v>15.17356869502331</v>
      </c>
    </row>
    <row r="114" spans="1:21" x14ac:dyDescent="0.3">
      <c r="A114">
        <v>112</v>
      </c>
      <c r="B114" s="47">
        <v>362.05167291543432</v>
      </c>
      <c r="C114" s="46">
        <v>284.9345406110358</v>
      </c>
      <c r="D114" s="1">
        <v>16</v>
      </c>
      <c r="E114" s="1">
        <v>17</v>
      </c>
      <c r="F114" s="1" t="s">
        <v>50</v>
      </c>
      <c r="G114" s="1" t="s">
        <v>50</v>
      </c>
      <c r="H114" s="1" t="s">
        <v>50</v>
      </c>
      <c r="I114" s="1" t="s">
        <v>50</v>
      </c>
      <c r="J114" s="1" t="s">
        <v>50</v>
      </c>
      <c r="K114" s="1" t="s">
        <v>50</v>
      </c>
      <c r="L114">
        <f t="shared" si="18"/>
        <v>172.96798541727486</v>
      </c>
      <c r="M114">
        <f t="shared" si="17"/>
        <v>304.39567777634272</v>
      </c>
      <c r="N114" t="e">
        <f t="shared" si="19"/>
        <v>#N/A</v>
      </c>
      <c r="O114" t="e">
        <f t="shared" si="20"/>
        <v>#N/A</v>
      </c>
      <c r="P114" t="e">
        <f t="shared" si="21"/>
        <v>#N/A</v>
      </c>
      <c r="Q114" t="e">
        <f t="shared" si="22"/>
        <v>#N/A</v>
      </c>
      <c r="U114">
        <f>C114/Navio!$J$4</f>
        <v>15.385247666036634</v>
      </c>
    </row>
    <row r="115" spans="1:21" x14ac:dyDescent="0.3">
      <c r="A115">
        <v>113</v>
      </c>
      <c r="B115" s="47">
        <v>465</v>
      </c>
      <c r="C115" s="46">
        <v>209.81088972344841</v>
      </c>
      <c r="D115" s="1">
        <v>9</v>
      </c>
      <c r="E115" s="1">
        <v>8</v>
      </c>
      <c r="F115" s="1">
        <v>7</v>
      </c>
      <c r="G115" s="1" t="s">
        <v>50</v>
      </c>
      <c r="H115" s="1" t="s">
        <v>50</v>
      </c>
      <c r="I115" s="1" t="s">
        <v>50</v>
      </c>
      <c r="J115" s="1" t="s">
        <v>50</v>
      </c>
      <c r="K115" s="1" t="s">
        <v>50</v>
      </c>
      <c r="L115">
        <f t="shared" si="18"/>
        <v>310</v>
      </c>
      <c r="M115">
        <f t="shared" si="17"/>
        <v>310</v>
      </c>
      <c r="N115">
        <f t="shared" si="19"/>
        <v>310</v>
      </c>
      <c r="O115" t="e">
        <f t="shared" si="20"/>
        <v>#N/A</v>
      </c>
      <c r="P115" t="e">
        <f t="shared" si="21"/>
        <v>#N/A</v>
      </c>
      <c r="Q115" t="e">
        <f t="shared" si="22"/>
        <v>#N/A</v>
      </c>
      <c r="U115">
        <f>C115/Navio!$J$4</f>
        <v>11.328891521906735</v>
      </c>
    </row>
    <row r="116" spans="1:21" x14ac:dyDescent="0.3">
      <c r="A116">
        <v>114</v>
      </c>
      <c r="B116" s="47">
        <v>600.36739528320618</v>
      </c>
      <c r="C116" s="46">
        <v>225.04083218316387</v>
      </c>
      <c r="D116" s="1">
        <v>10</v>
      </c>
      <c r="E116" s="1">
        <v>8</v>
      </c>
      <c r="F116" s="1">
        <v>7</v>
      </c>
      <c r="G116" s="1" t="s">
        <v>50</v>
      </c>
      <c r="H116" s="1" t="s">
        <v>50</v>
      </c>
      <c r="I116" s="1" t="s">
        <v>50</v>
      </c>
      <c r="J116" s="1" t="s">
        <v>50</v>
      </c>
      <c r="K116" s="1" t="s">
        <v>50</v>
      </c>
      <c r="L116">
        <f t="shared" si="18"/>
        <v>290.36739528320618</v>
      </c>
      <c r="M116">
        <f t="shared" si="17"/>
        <v>310</v>
      </c>
      <c r="N116">
        <f t="shared" si="19"/>
        <v>310</v>
      </c>
      <c r="O116" t="e">
        <f t="shared" si="20"/>
        <v>#N/A</v>
      </c>
      <c r="P116" t="e">
        <f t="shared" si="21"/>
        <v>#N/A</v>
      </c>
      <c r="Q116" t="e">
        <f t="shared" si="22"/>
        <v>#N/A</v>
      </c>
      <c r="U116">
        <f>C116/Navio!$J$4</f>
        <v>12.151243337098125</v>
      </c>
    </row>
    <row r="117" spans="1:21" x14ac:dyDescent="0.3">
      <c r="A117">
        <v>115</v>
      </c>
      <c r="B117" s="47">
        <v>588.99258318037369</v>
      </c>
      <c r="C117" s="46">
        <v>233.47091167468528</v>
      </c>
      <c r="D117" s="1">
        <v>11</v>
      </c>
      <c r="E117" s="1">
        <v>8</v>
      </c>
      <c r="F117" s="1">
        <v>7</v>
      </c>
      <c r="G117" s="1" t="s">
        <v>50</v>
      </c>
      <c r="H117" s="1" t="s">
        <v>50</v>
      </c>
      <c r="I117" s="1" t="s">
        <v>50</v>
      </c>
      <c r="J117" s="1" t="s">
        <v>50</v>
      </c>
      <c r="K117" s="1" t="s">
        <v>50</v>
      </c>
      <c r="L117">
        <f t="shared" si="18"/>
        <v>278.99258318037374</v>
      </c>
      <c r="M117">
        <f t="shared" si="17"/>
        <v>310</v>
      </c>
      <c r="N117">
        <f t="shared" si="19"/>
        <v>310</v>
      </c>
      <c r="O117" t="e">
        <f t="shared" si="20"/>
        <v>#N/A</v>
      </c>
      <c r="P117" t="e">
        <f t="shared" si="21"/>
        <v>#N/A</v>
      </c>
      <c r="Q117" t="e">
        <f t="shared" si="22"/>
        <v>#N/A</v>
      </c>
      <c r="U117">
        <f>C117/Navio!$J$4</f>
        <v>12.606431607861285</v>
      </c>
    </row>
    <row r="118" spans="1:21" x14ac:dyDescent="0.3">
      <c r="A118">
        <v>116</v>
      </c>
      <c r="B118" s="47">
        <v>337.35885381510366</v>
      </c>
      <c r="C118" s="46">
        <v>235.87012924762229</v>
      </c>
      <c r="D118" s="1">
        <v>8</v>
      </c>
      <c r="E118" s="1">
        <v>12</v>
      </c>
      <c r="F118" s="1">
        <v>7</v>
      </c>
      <c r="G118" s="1" t="s">
        <v>50</v>
      </c>
      <c r="H118" s="1" t="s">
        <v>50</v>
      </c>
      <c r="I118" s="1" t="s">
        <v>50</v>
      </c>
      <c r="J118" s="1" t="s">
        <v>50</v>
      </c>
      <c r="K118" s="1" t="s">
        <v>50</v>
      </c>
      <c r="L118">
        <f t="shared" si="18"/>
        <v>310</v>
      </c>
      <c r="M118">
        <f t="shared" si="17"/>
        <v>82.076561445310972</v>
      </c>
      <c r="N118">
        <f t="shared" si="19"/>
        <v>310</v>
      </c>
      <c r="O118" t="e">
        <f t="shared" si="20"/>
        <v>#N/A</v>
      </c>
      <c r="P118" t="e">
        <f t="shared" si="21"/>
        <v>#N/A</v>
      </c>
      <c r="Q118" t="e">
        <f t="shared" si="22"/>
        <v>#N/A</v>
      </c>
      <c r="U118">
        <f>C118/Navio!$J$4</f>
        <v>12.735979104929156</v>
      </c>
    </row>
    <row r="119" spans="1:21" x14ac:dyDescent="0.3">
      <c r="A119">
        <v>117</v>
      </c>
      <c r="B119" s="47">
        <v>495.56448544286178</v>
      </c>
      <c r="C119" s="46">
        <v>249.61023737747138</v>
      </c>
      <c r="D119" s="1">
        <v>8</v>
      </c>
      <c r="E119" s="1">
        <v>13</v>
      </c>
      <c r="F119" s="1">
        <v>7</v>
      </c>
      <c r="G119" s="1" t="s">
        <v>50</v>
      </c>
      <c r="H119" s="1" t="s">
        <v>50</v>
      </c>
      <c r="I119" s="1" t="s">
        <v>50</v>
      </c>
      <c r="J119" s="1" t="s">
        <v>50</v>
      </c>
      <c r="K119" s="1" t="s">
        <v>50</v>
      </c>
      <c r="L119">
        <f t="shared" si="18"/>
        <v>310</v>
      </c>
      <c r="M119">
        <f t="shared" si="17"/>
        <v>185.56448544286178</v>
      </c>
      <c r="N119">
        <f t="shared" si="19"/>
        <v>310</v>
      </c>
      <c r="O119" t="e">
        <f t="shared" si="20"/>
        <v>#N/A</v>
      </c>
      <c r="P119" t="e">
        <f t="shared" si="21"/>
        <v>#N/A</v>
      </c>
      <c r="Q119" t="e">
        <f t="shared" si="22"/>
        <v>#N/A</v>
      </c>
      <c r="U119">
        <f>C119/Navio!$J$4</f>
        <v>13.477886232378568</v>
      </c>
    </row>
    <row r="120" spans="1:21" x14ac:dyDescent="0.3">
      <c r="A120">
        <v>118</v>
      </c>
      <c r="B120" s="47">
        <v>406.19741425619804</v>
      </c>
      <c r="C120" s="46">
        <v>257.64212306491231</v>
      </c>
      <c r="D120" s="1">
        <v>8</v>
      </c>
      <c r="E120" s="1">
        <v>14</v>
      </c>
      <c r="F120" s="1">
        <v>7</v>
      </c>
      <c r="G120" s="1" t="s">
        <v>50</v>
      </c>
      <c r="H120" s="1" t="s">
        <v>50</v>
      </c>
      <c r="I120" s="1" t="s">
        <v>50</v>
      </c>
      <c r="J120" s="1" t="s">
        <v>50</v>
      </c>
      <c r="K120" s="1" t="s">
        <v>50</v>
      </c>
      <c r="L120">
        <f t="shared" si="18"/>
        <v>310</v>
      </c>
      <c r="M120">
        <f t="shared" si="17"/>
        <v>96.197414256198073</v>
      </c>
      <c r="N120">
        <f t="shared" si="19"/>
        <v>310</v>
      </c>
      <c r="O120" t="e">
        <f t="shared" si="20"/>
        <v>#N/A</v>
      </c>
      <c r="P120" t="e">
        <f t="shared" si="21"/>
        <v>#N/A</v>
      </c>
      <c r="Q120" t="e">
        <f t="shared" si="22"/>
        <v>#N/A</v>
      </c>
      <c r="U120">
        <f>C120/Navio!$J$4</f>
        <v>13.911573739205839</v>
      </c>
    </row>
    <row r="121" spans="1:21" x14ac:dyDescent="0.3">
      <c r="A121">
        <v>119</v>
      </c>
      <c r="B121" s="47">
        <v>520.14742667389373</v>
      </c>
      <c r="C121" s="46">
        <v>265.23989915871721</v>
      </c>
      <c r="D121" s="1">
        <v>8</v>
      </c>
      <c r="E121" s="1">
        <v>15</v>
      </c>
      <c r="F121" s="1">
        <v>7</v>
      </c>
      <c r="G121" s="1" t="s">
        <v>50</v>
      </c>
      <c r="H121" s="1" t="s">
        <v>50</v>
      </c>
      <c r="I121" s="1" t="s">
        <v>50</v>
      </c>
      <c r="J121" s="1" t="s">
        <v>50</v>
      </c>
      <c r="K121" s="1" t="s">
        <v>50</v>
      </c>
      <c r="L121">
        <f t="shared" si="18"/>
        <v>310</v>
      </c>
      <c r="M121">
        <f t="shared" si="17"/>
        <v>210.14742667389368</v>
      </c>
      <c r="N121">
        <f t="shared" si="19"/>
        <v>310</v>
      </c>
      <c r="O121" t="e">
        <f t="shared" si="20"/>
        <v>#N/A</v>
      </c>
      <c r="P121" t="e">
        <f t="shared" si="21"/>
        <v>#N/A</v>
      </c>
      <c r="Q121" t="e">
        <f t="shared" si="22"/>
        <v>#N/A</v>
      </c>
      <c r="U121">
        <f>C121/Navio!$J$4</f>
        <v>14.321821182929597</v>
      </c>
    </row>
    <row r="122" spans="1:21" x14ac:dyDescent="0.3">
      <c r="A122">
        <v>120</v>
      </c>
      <c r="B122" s="47">
        <v>367.6559951390916</v>
      </c>
      <c r="C122" s="46">
        <v>277.56284937364478</v>
      </c>
      <c r="D122" s="1">
        <v>8</v>
      </c>
      <c r="E122" s="1">
        <v>16</v>
      </c>
      <c r="F122" s="1">
        <v>7</v>
      </c>
      <c r="G122" s="1" t="s">
        <v>50</v>
      </c>
      <c r="H122" s="1" t="s">
        <v>50</v>
      </c>
      <c r="I122" s="1" t="s">
        <v>50</v>
      </c>
      <c r="J122" s="1" t="s">
        <v>50</v>
      </c>
      <c r="K122" s="1" t="s">
        <v>50</v>
      </c>
      <c r="L122">
        <f t="shared" si="18"/>
        <v>310</v>
      </c>
      <c r="M122">
        <f t="shared" si="17"/>
        <v>172.96798541727486</v>
      </c>
      <c r="N122">
        <f t="shared" si="19"/>
        <v>310</v>
      </c>
      <c r="O122" t="e">
        <f t="shared" si="20"/>
        <v>#N/A</v>
      </c>
      <c r="P122" t="e">
        <f t="shared" si="21"/>
        <v>#N/A</v>
      </c>
      <c r="Q122" t="e">
        <f t="shared" si="22"/>
        <v>#N/A</v>
      </c>
      <c r="U122">
        <f>C122/Navio!$J$4</f>
        <v>14.98720783849731</v>
      </c>
    </row>
    <row r="123" spans="1:21" x14ac:dyDescent="0.3">
      <c r="A123">
        <v>121</v>
      </c>
      <c r="B123" s="47">
        <v>614.39567777634272</v>
      </c>
      <c r="C123" s="46">
        <v>278.30448904177535</v>
      </c>
      <c r="D123" s="1">
        <v>8</v>
      </c>
      <c r="E123" s="1">
        <v>17</v>
      </c>
      <c r="F123" s="1">
        <v>7</v>
      </c>
      <c r="G123" s="1" t="s">
        <v>50</v>
      </c>
      <c r="H123" s="1" t="s">
        <v>50</v>
      </c>
      <c r="I123" s="1" t="s">
        <v>50</v>
      </c>
      <c r="J123" s="1" t="s">
        <v>50</v>
      </c>
      <c r="K123" s="1" t="s">
        <v>50</v>
      </c>
      <c r="L123">
        <f t="shared" si="18"/>
        <v>310</v>
      </c>
      <c r="M123">
        <f t="shared" si="17"/>
        <v>304.39567777634272</v>
      </c>
      <c r="N123">
        <f t="shared" si="19"/>
        <v>310</v>
      </c>
      <c r="O123" t="e">
        <f t="shared" si="20"/>
        <v>#N/A</v>
      </c>
      <c r="P123" t="e">
        <f t="shared" si="21"/>
        <v>#N/A</v>
      </c>
      <c r="Q123" t="e">
        <f t="shared" si="22"/>
        <v>#N/A</v>
      </c>
      <c r="U123">
        <f>C123/Navio!$J$4</f>
        <v>15.02725321154572</v>
      </c>
    </row>
    <row r="124" spans="1:21" x14ac:dyDescent="0.3">
      <c r="A124">
        <v>122</v>
      </c>
      <c r="B124" s="47">
        <v>600.36739528320618</v>
      </c>
      <c r="C124" s="46">
        <v>224.82471217292021</v>
      </c>
      <c r="D124" s="1">
        <v>9</v>
      </c>
      <c r="E124" s="1">
        <v>10</v>
      </c>
      <c r="F124" s="1">
        <v>7</v>
      </c>
      <c r="G124" s="1" t="s">
        <v>50</v>
      </c>
      <c r="H124" s="1" t="s">
        <v>50</v>
      </c>
      <c r="I124" s="1" t="s">
        <v>50</v>
      </c>
      <c r="J124" s="1" t="s">
        <v>50</v>
      </c>
      <c r="K124" s="1" t="s">
        <v>50</v>
      </c>
      <c r="L124">
        <f t="shared" si="18"/>
        <v>310</v>
      </c>
      <c r="M124">
        <f t="shared" si="17"/>
        <v>290.36739528320618</v>
      </c>
      <c r="N124">
        <f t="shared" si="19"/>
        <v>310</v>
      </c>
      <c r="O124" t="e">
        <f t="shared" si="20"/>
        <v>#N/A</v>
      </c>
      <c r="P124" t="e">
        <f t="shared" si="21"/>
        <v>#N/A</v>
      </c>
      <c r="Q124" t="e">
        <f t="shared" si="22"/>
        <v>#N/A</v>
      </c>
      <c r="U124">
        <f>C124/Navio!$J$4</f>
        <v>12.139573780027035</v>
      </c>
    </row>
    <row r="125" spans="1:21" x14ac:dyDescent="0.3">
      <c r="A125">
        <v>123</v>
      </c>
      <c r="B125" s="47">
        <v>588.99258318037369</v>
      </c>
      <c r="C125" s="46">
        <v>232.32670402421735</v>
      </c>
      <c r="D125" s="1">
        <v>9</v>
      </c>
      <c r="E125" s="1">
        <v>11</v>
      </c>
      <c r="F125" s="1">
        <v>7</v>
      </c>
      <c r="G125" s="1" t="s">
        <v>50</v>
      </c>
      <c r="H125" s="1" t="s">
        <v>50</v>
      </c>
      <c r="I125" s="1" t="s">
        <v>50</v>
      </c>
      <c r="J125" s="1" t="s">
        <v>50</v>
      </c>
      <c r="K125" s="1" t="s">
        <v>50</v>
      </c>
      <c r="L125">
        <f t="shared" si="18"/>
        <v>310</v>
      </c>
      <c r="M125">
        <f t="shared" si="17"/>
        <v>278.99258318037374</v>
      </c>
      <c r="N125">
        <f t="shared" si="19"/>
        <v>310</v>
      </c>
      <c r="O125" t="e">
        <f t="shared" si="20"/>
        <v>#N/A</v>
      </c>
      <c r="P125" t="e">
        <f t="shared" si="21"/>
        <v>#N/A</v>
      </c>
      <c r="Q125" t="e">
        <f t="shared" si="22"/>
        <v>#N/A</v>
      </c>
      <c r="U125">
        <f>C125/Navio!$J$4</f>
        <v>12.544649283942002</v>
      </c>
    </row>
    <row r="126" spans="1:21" x14ac:dyDescent="0.3">
      <c r="A126">
        <v>124</v>
      </c>
      <c r="B126" s="47">
        <v>337.35885381510366</v>
      </c>
      <c r="C126" s="46">
        <v>241.63253469584217</v>
      </c>
      <c r="D126" s="1">
        <v>9</v>
      </c>
      <c r="E126" s="1">
        <v>12</v>
      </c>
      <c r="F126" s="1">
        <v>7</v>
      </c>
      <c r="G126" s="1" t="s">
        <v>50</v>
      </c>
      <c r="H126" s="1" t="s">
        <v>50</v>
      </c>
      <c r="I126" s="1" t="s">
        <v>50</v>
      </c>
      <c r="J126" s="1" t="s">
        <v>50</v>
      </c>
      <c r="K126" s="1" t="s">
        <v>50</v>
      </c>
      <c r="L126">
        <f t="shared" si="18"/>
        <v>310</v>
      </c>
      <c r="M126">
        <f t="shared" si="17"/>
        <v>82.076561445310972</v>
      </c>
      <c r="N126">
        <f t="shared" si="19"/>
        <v>310</v>
      </c>
      <c r="O126" t="e">
        <f t="shared" si="20"/>
        <v>#N/A</v>
      </c>
      <c r="P126" t="e">
        <f t="shared" si="21"/>
        <v>#N/A</v>
      </c>
      <c r="Q126" t="e">
        <f t="shared" si="22"/>
        <v>#N/A</v>
      </c>
      <c r="U126">
        <f>C126/Navio!$J$4</f>
        <v>13.047124376340831</v>
      </c>
    </row>
    <row r="127" spans="1:21" x14ac:dyDescent="0.3">
      <c r="A127">
        <v>125</v>
      </c>
      <c r="B127" s="47">
        <v>495.56448544286178</v>
      </c>
      <c r="C127" s="46">
        <v>250.15518466061627</v>
      </c>
      <c r="D127" s="1">
        <v>9</v>
      </c>
      <c r="E127" s="1">
        <v>13</v>
      </c>
      <c r="F127" s="1">
        <v>7</v>
      </c>
      <c r="G127" s="1" t="s">
        <v>50</v>
      </c>
      <c r="H127" s="1" t="s">
        <v>50</v>
      </c>
      <c r="I127" s="1" t="s">
        <v>50</v>
      </c>
      <c r="J127" s="1" t="s">
        <v>50</v>
      </c>
      <c r="K127" s="1" t="s">
        <v>50</v>
      </c>
      <c r="L127">
        <f t="shared" si="18"/>
        <v>310</v>
      </c>
      <c r="M127">
        <f t="shared" si="17"/>
        <v>185.56448544286178</v>
      </c>
      <c r="N127">
        <f t="shared" si="19"/>
        <v>310</v>
      </c>
      <c r="O127" t="e">
        <f t="shared" si="20"/>
        <v>#N/A</v>
      </c>
      <c r="P127" t="e">
        <f t="shared" si="21"/>
        <v>#N/A</v>
      </c>
      <c r="Q127" t="e">
        <f t="shared" si="22"/>
        <v>#N/A</v>
      </c>
      <c r="U127">
        <f>C127/Navio!$J$4</f>
        <v>13.507311057105463</v>
      </c>
    </row>
    <row r="128" spans="1:21" x14ac:dyDescent="0.3">
      <c r="A128">
        <v>126</v>
      </c>
      <c r="B128" s="47">
        <v>406.19741425619804</v>
      </c>
      <c r="C128" s="46">
        <v>264.88188557378123</v>
      </c>
      <c r="D128" s="1">
        <v>9</v>
      </c>
      <c r="E128" s="1">
        <v>14</v>
      </c>
      <c r="F128" s="1">
        <v>7</v>
      </c>
      <c r="G128" s="1" t="s">
        <v>50</v>
      </c>
      <c r="H128" s="1" t="s">
        <v>50</v>
      </c>
      <c r="I128" s="1" t="s">
        <v>50</v>
      </c>
      <c r="J128" s="1" t="s">
        <v>50</v>
      </c>
      <c r="K128" s="1" t="s">
        <v>50</v>
      </c>
      <c r="L128">
        <f t="shared" si="18"/>
        <v>310</v>
      </c>
      <c r="M128">
        <f t="shared" si="17"/>
        <v>96.197414256198073</v>
      </c>
      <c r="N128">
        <f t="shared" si="19"/>
        <v>310</v>
      </c>
      <c r="O128" t="e">
        <f t="shared" si="20"/>
        <v>#N/A</v>
      </c>
      <c r="P128" t="e">
        <f t="shared" si="21"/>
        <v>#N/A</v>
      </c>
      <c r="Q128" t="e">
        <f t="shared" si="22"/>
        <v>#N/A</v>
      </c>
      <c r="U128">
        <f>C128/Navio!$J$4</f>
        <v>14.302489979137198</v>
      </c>
    </row>
    <row r="129" spans="1:21" x14ac:dyDescent="0.3">
      <c r="A129">
        <v>127</v>
      </c>
      <c r="B129" s="47">
        <v>520.14742667389373</v>
      </c>
      <c r="C129" s="46">
        <v>269.32470273515344</v>
      </c>
      <c r="D129" s="1">
        <v>9</v>
      </c>
      <c r="E129" s="1">
        <v>15</v>
      </c>
      <c r="F129" s="1">
        <v>7</v>
      </c>
      <c r="G129" s="1" t="s">
        <v>50</v>
      </c>
      <c r="H129" s="1" t="s">
        <v>50</v>
      </c>
      <c r="I129" s="1" t="s">
        <v>50</v>
      </c>
      <c r="J129" s="1" t="s">
        <v>50</v>
      </c>
      <c r="K129" s="1" t="s">
        <v>50</v>
      </c>
      <c r="L129">
        <f t="shared" si="18"/>
        <v>310</v>
      </c>
      <c r="M129">
        <f t="shared" si="17"/>
        <v>210.14742667389368</v>
      </c>
      <c r="N129">
        <f t="shared" si="19"/>
        <v>310</v>
      </c>
      <c r="O129" t="e">
        <f t="shared" si="20"/>
        <v>#N/A</v>
      </c>
      <c r="P129" t="e">
        <f t="shared" si="21"/>
        <v>#N/A</v>
      </c>
      <c r="Q129" t="e">
        <f t="shared" si="22"/>
        <v>#N/A</v>
      </c>
      <c r="U129">
        <f>C129/Navio!$J$4</f>
        <v>14.542383121667569</v>
      </c>
    </row>
    <row r="130" spans="1:21" x14ac:dyDescent="0.3">
      <c r="A130">
        <v>128</v>
      </c>
      <c r="B130" s="47">
        <v>367.6559951390916</v>
      </c>
      <c r="C130" s="46">
        <v>281.1865941655891</v>
      </c>
      <c r="D130" s="1">
        <v>9</v>
      </c>
      <c r="E130" s="1">
        <v>16</v>
      </c>
      <c r="F130" s="1">
        <v>7</v>
      </c>
      <c r="G130" s="1" t="s">
        <v>50</v>
      </c>
      <c r="H130" s="1" t="s">
        <v>50</v>
      </c>
      <c r="I130" s="1" t="s">
        <v>50</v>
      </c>
      <c r="J130" s="1" t="s">
        <v>50</v>
      </c>
      <c r="K130" s="1" t="s">
        <v>50</v>
      </c>
      <c r="L130">
        <f t="shared" si="18"/>
        <v>310</v>
      </c>
      <c r="M130">
        <f t="shared" si="17"/>
        <v>172.96798541727486</v>
      </c>
      <c r="N130">
        <f t="shared" si="19"/>
        <v>310</v>
      </c>
      <c r="O130" t="e">
        <f t="shared" si="20"/>
        <v>#N/A</v>
      </c>
      <c r="P130" t="e">
        <f t="shared" si="21"/>
        <v>#N/A</v>
      </c>
      <c r="Q130" t="e">
        <f t="shared" si="22"/>
        <v>#N/A</v>
      </c>
      <c r="U130">
        <f>C130/Navio!$J$4</f>
        <v>15.182874572979603</v>
      </c>
    </row>
    <row r="131" spans="1:21" x14ac:dyDescent="0.3">
      <c r="A131">
        <v>129</v>
      </c>
      <c r="B131" s="47">
        <v>614.39567777634272</v>
      </c>
      <c r="C131" s="46">
        <v>279.74230634476203</v>
      </c>
      <c r="D131" s="1">
        <v>9</v>
      </c>
      <c r="E131" s="1">
        <v>17</v>
      </c>
      <c r="F131" s="1">
        <v>7</v>
      </c>
      <c r="G131" s="1" t="s">
        <v>50</v>
      </c>
      <c r="H131" s="1" t="s">
        <v>50</v>
      </c>
      <c r="I131" s="1" t="s">
        <v>50</v>
      </c>
      <c r="J131" s="1" t="s">
        <v>50</v>
      </c>
      <c r="K131" s="1" t="s">
        <v>50</v>
      </c>
      <c r="L131">
        <f t="shared" si="18"/>
        <v>310</v>
      </c>
      <c r="M131">
        <f t="shared" ref="M131:M194" si="23">VLOOKUP(E131,$Y$2:$Z$80,2)</f>
        <v>304.39567777634272</v>
      </c>
      <c r="N131">
        <f t="shared" si="19"/>
        <v>310</v>
      </c>
      <c r="O131" t="e">
        <f t="shared" si="20"/>
        <v>#N/A</v>
      </c>
      <c r="P131" t="e">
        <f t="shared" si="21"/>
        <v>#N/A</v>
      </c>
      <c r="Q131" t="e">
        <f t="shared" si="22"/>
        <v>#N/A</v>
      </c>
      <c r="U131">
        <f>C131/Navio!$J$4</f>
        <v>15.104889202105252</v>
      </c>
    </row>
    <row r="132" spans="1:21" x14ac:dyDescent="0.3">
      <c r="A132">
        <v>130</v>
      </c>
      <c r="B132" s="47">
        <v>724.35997846357986</v>
      </c>
      <c r="C132" s="46">
        <v>234.51732663845485</v>
      </c>
      <c r="D132" s="1">
        <v>10</v>
      </c>
      <c r="E132" s="1">
        <v>11</v>
      </c>
      <c r="F132" s="1">
        <v>7</v>
      </c>
      <c r="G132" s="1" t="s">
        <v>50</v>
      </c>
      <c r="H132" s="1" t="s">
        <v>50</v>
      </c>
      <c r="I132" s="1" t="s">
        <v>50</v>
      </c>
      <c r="J132" s="1" t="s">
        <v>50</v>
      </c>
      <c r="K132" s="1" t="s">
        <v>50</v>
      </c>
      <c r="L132">
        <f t="shared" si="18"/>
        <v>290.36739528320618</v>
      </c>
      <c r="M132">
        <f t="shared" si="23"/>
        <v>278.99258318037374</v>
      </c>
      <c r="N132">
        <f t="shared" si="19"/>
        <v>310</v>
      </c>
      <c r="O132" t="e">
        <f t="shared" si="20"/>
        <v>#N/A</v>
      </c>
      <c r="P132" t="e">
        <f t="shared" si="21"/>
        <v>#N/A</v>
      </c>
      <c r="Q132" t="e">
        <f t="shared" si="22"/>
        <v>#N/A</v>
      </c>
      <c r="U132">
        <f>C132/Navio!$J$4</f>
        <v>12.662933544567577</v>
      </c>
    </row>
    <row r="133" spans="1:21" x14ac:dyDescent="0.3">
      <c r="A133">
        <v>131</v>
      </c>
      <c r="B133" s="47">
        <v>472.72624909830984</v>
      </c>
      <c r="C133" s="46">
        <v>247.39973006763773</v>
      </c>
      <c r="D133" s="1">
        <v>10</v>
      </c>
      <c r="E133" s="1">
        <v>12</v>
      </c>
      <c r="F133" s="1">
        <v>7</v>
      </c>
      <c r="G133" s="1" t="s">
        <v>50</v>
      </c>
      <c r="H133" s="1" t="s">
        <v>50</v>
      </c>
      <c r="I133" s="1" t="s">
        <v>50</v>
      </c>
      <c r="J133" s="1" t="s">
        <v>50</v>
      </c>
      <c r="K133" s="1" t="s">
        <v>50</v>
      </c>
      <c r="L133">
        <f t="shared" si="18"/>
        <v>290.36739528320618</v>
      </c>
      <c r="M133">
        <f t="shared" si="23"/>
        <v>82.076561445310972</v>
      </c>
      <c r="N133">
        <f t="shared" si="19"/>
        <v>310</v>
      </c>
      <c r="O133" t="e">
        <f t="shared" si="20"/>
        <v>#N/A</v>
      </c>
      <c r="P133" t="e">
        <f t="shared" si="21"/>
        <v>#N/A</v>
      </c>
      <c r="Q133" t="e">
        <f t="shared" si="22"/>
        <v>#N/A</v>
      </c>
      <c r="U133">
        <f>C133/Navio!$J$4</f>
        <v>13.35852828315822</v>
      </c>
    </row>
    <row r="134" spans="1:21" x14ac:dyDescent="0.3">
      <c r="A134">
        <v>132</v>
      </c>
      <c r="B134" s="47">
        <v>630.9318807260679</v>
      </c>
      <c r="C134" s="46">
        <v>252.24728209378131</v>
      </c>
      <c r="D134" s="1">
        <v>10</v>
      </c>
      <c r="E134" s="1">
        <v>13</v>
      </c>
      <c r="F134" s="1">
        <v>7</v>
      </c>
      <c r="G134" s="1" t="s">
        <v>50</v>
      </c>
      <c r="H134" s="1" t="s">
        <v>50</v>
      </c>
      <c r="I134" s="1" t="s">
        <v>50</v>
      </c>
      <c r="J134" s="1" t="s">
        <v>50</v>
      </c>
      <c r="K134" s="1" t="s">
        <v>50</v>
      </c>
      <c r="L134">
        <f t="shared" si="18"/>
        <v>290.36739528320618</v>
      </c>
      <c r="M134">
        <f t="shared" si="23"/>
        <v>185.56448544286178</v>
      </c>
      <c r="N134">
        <f t="shared" si="19"/>
        <v>310</v>
      </c>
      <c r="O134" t="e">
        <f t="shared" si="20"/>
        <v>#N/A</v>
      </c>
      <c r="P134" t="e">
        <f t="shared" si="21"/>
        <v>#N/A</v>
      </c>
      <c r="Q134" t="e">
        <f t="shared" si="22"/>
        <v>#N/A</v>
      </c>
      <c r="U134">
        <f>C134/Navio!$J$4</f>
        <v>13.620275378951801</v>
      </c>
    </row>
    <row r="135" spans="1:21" x14ac:dyDescent="0.3">
      <c r="A135">
        <v>133</v>
      </c>
      <c r="B135" s="47">
        <v>541.56480953940422</v>
      </c>
      <c r="C135" s="46">
        <v>270.546873408902</v>
      </c>
      <c r="D135" s="1">
        <v>10</v>
      </c>
      <c r="E135" s="1">
        <v>14</v>
      </c>
      <c r="F135" s="1">
        <v>7</v>
      </c>
      <c r="G135" s="1" t="s">
        <v>50</v>
      </c>
      <c r="H135" s="1" t="s">
        <v>50</v>
      </c>
      <c r="I135" s="1" t="s">
        <v>50</v>
      </c>
      <c r="J135" s="1" t="s">
        <v>50</v>
      </c>
      <c r="K135" s="1" t="s">
        <v>50</v>
      </c>
      <c r="L135">
        <f t="shared" si="18"/>
        <v>290.36739528320618</v>
      </c>
      <c r="M135">
        <f t="shared" si="23"/>
        <v>96.197414256198073</v>
      </c>
      <c r="N135">
        <f t="shared" si="19"/>
        <v>310</v>
      </c>
      <c r="O135" t="e">
        <f t="shared" si="20"/>
        <v>#N/A</v>
      </c>
      <c r="P135" t="e">
        <f t="shared" si="21"/>
        <v>#N/A</v>
      </c>
      <c r="Q135" t="e">
        <f t="shared" si="22"/>
        <v>#N/A</v>
      </c>
      <c r="U135">
        <f>C135/Navio!$J$4</f>
        <v>14.608375115707551</v>
      </c>
    </row>
    <row r="136" spans="1:21" x14ac:dyDescent="0.3">
      <c r="A136">
        <v>134</v>
      </c>
      <c r="B136" s="47">
        <v>655.51482195709991</v>
      </c>
      <c r="C136" s="46">
        <v>272.67902609146711</v>
      </c>
      <c r="D136" s="1">
        <v>10</v>
      </c>
      <c r="E136" s="1">
        <v>15</v>
      </c>
      <c r="F136" s="1">
        <v>7</v>
      </c>
      <c r="G136" s="1" t="s">
        <v>50</v>
      </c>
      <c r="H136" s="1" t="s">
        <v>50</v>
      </c>
      <c r="I136" s="1" t="s">
        <v>50</v>
      </c>
      <c r="J136" s="1" t="s">
        <v>50</v>
      </c>
      <c r="K136" s="1" t="s">
        <v>50</v>
      </c>
      <c r="L136">
        <f t="shared" si="18"/>
        <v>290.36739528320618</v>
      </c>
      <c r="M136">
        <f t="shared" si="23"/>
        <v>210.14742667389368</v>
      </c>
      <c r="N136">
        <f t="shared" si="19"/>
        <v>310</v>
      </c>
      <c r="O136" t="e">
        <f t="shared" si="20"/>
        <v>#N/A</v>
      </c>
      <c r="P136" t="e">
        <f t="shared" si="21"/>
        <v>#N/A</v>
      </c>
      <c r="Q136" t="e">
        <f t="shared" si="22"/>
        <v>#N/A</v>
      </c>
      <c r="U136">
        <f>C136/Navio!$J$4</f>
        <v>14.723502249865177</v>
      </c>
    </row>
    <row r="137" spans="1:21" x14ac:dyDescent="0.3">
      <c r="A137">
        <v>135</v>
      </c>
      <c r="B137" s="47">
        <v>503.02339042229778</v>
      </c>
      <c r="C137" s="46">
        <v>283.99047755518086</v>
      </c>
      <c r="D137" s="1">
        <v>10</v>
      </c>
      <c r="E137" s="1">
        <v>16</v>
      </c>
      <c r="F137" s="1">
        <v>7</v>
      </c>
      <c r="G137" s="1" t="s">
        <v>50</v>
      </c>
      <c r="H137" s="1" t="s">
        <v>50</v>
      </c>
      <c r="I137" s="1" t="s">
        <v>50</v>
      </c>
      <c r="J137" s="1" t="s">
        <v>50</v>
      </c>
      <c r="K137" s="1" t="s">
        <v>50</v>
      </c>
      <c r="L137">
        <f t="shared" si="18"/>
        <v>290.36739528320618</v>
      </c>
      <c r="M137">
        <f t="shared" si="23"/>
        <v>172.96798541727486</v>
      </c>
      <c r="N137">
        <f t="shared" si="19"/>
        <v>310</v>
      </c>
      <c r="O137" t="e">
        <f t="shared" si="20"/>
        <v>#N/A</v>
      </c>
      <c r="P137" t="e">
        <f t="shared" si="21"/>
        <v>#N/A</v>
      </c>
      <c r="Q137" t="e">
        <f t="shared" si="22"/>
        <v>#N/A</v>
      </c>
      <c r="U137">
        <f>C137/Navio!$J$4</f>
        <v>15.334272295007429</v>
      </c>
    </row>
    <row r="138" spans="1:21" x14ac:dyDescent="0.3">
      <c r="A138">
        <v>136</v>
      </c>
      <c r="B138" s="47">
        <v>749.7630730595489</v>
      </c>
      <c r="C138" s="46">
        <v>281.42190524565535</v>
      </c>
      <c r="D138" s="1">
        <v>10</v>
      </c>
      <c r="E138" s="1">
        <v>17</v>
      </c>
      <c r="F138" s="1">
        <v>7</v>
      </c>
      <c r="G138" s="1" t="s">
        <v>50</v>
      </c>
      <c r="H138" s="1" t="s">
        <v>50</v>
      </c>
      <c r="I138" s="1" t="s">
        <v>50</v>
      </c>
      <c r="J138" s="1" t="s">
        <v>50</v>
      </c>
      <c r="K138" s="1" t="s">
        <v>50</v>
      </c>
      <c r="L138">
        <f t="shared" si="18"/>
        <v>290.36739528320618</v>
      </c>
      <c r="M138">
        <f t="shared" si="23"/>
        <v>304.39567777634272</v>
      </c>
      <c r="N138">
        <f t="shared" si="19"/>
        <v>310</v>
      </c>
      <c r="O138" t="e">
        <f t="shared" si="20"/>
        <v>#N/A</v>
      </c>
      <c r="P138" t="e">
        <f t="shared" si="21"/>
        <v>#N/A</v>
      </c>
      <c r="Q138" t="e">
        <f t="shared" si="22"/>
        <v>#N/A</v>
      </c>
      <c r="U138">
        <f>C138/Navio!$J$4</f>
        <v>15.195580365817559</v>
      </c>
    </row>
    <row r="139" spans="1:21" x14ac:dyDescent="0.3">
      <c r="A139">
        <v>137</v>
      </c>
      <c r="B139" s="47">
        <v>461.3514369954774</v>
      </c>
      <c r="C139" s="46">
        <v>245.73488137257115</v>
      </c>
      <c r="D139" s="1">
        <v>11</v>
      </c>
      <c r="E139" s="1">
        <v>12</v>
      </c>
      <c r="F139" s="1">
        <v>7</v>
      </c>
      <c r="G139" s="1" t="s">
        <v>50</v>
      </c>
      <c r="H139" s="1" t="s">
        <v>50</v>
      </c>
      <c r="I139" s="1" t="s">
        <v>50</v>
      </c>
      <c r="J139" s="1" t="s">
        <v>50</v>
      </c>
      <c r="K139" s="1" t="s">
        <v>50</v>
      </c>
      <c r="L139">
        <f t="shared" si="18"/>
        <v>278.99258318037374</v>
      </c>
      <c r="M139">
        <f t="shared" si="23"/>
        <v>82.076561445310972</v>
      </c>
      <c r="N139">
        <f t="shared" si="19"/>
        <v>310</v>
      </c>
      <c r="O139" t="e">
        <f t="shared" si="20"/>
        <v>#N/A</v>
      </c>
      <c r="P139" t="e">
        <f t="shared" si="21"/>
        <v>#N/A</v>
      </c>
      <c r="Q139" t="e">
        <f t="shared" si="22"/>
        <v>#N/A</v>
      </c>
      <c r="U139">
        <f>C139/Navio!$J$4</f>
        <v>13.268633567532842</v>
      </c>
    </row>
    <row r="140" spans="1:21" x14ac:dyDescent="0.3">
      <c r="A140">
        <v>138</v>
      </c>
      <c r="B140" s="47">
        <v>619.55706862323552</v>
      </c>
      <c r="C140" s="46">
        <v>249.74960081929419</v>
      </c>
      <c r="D140" s="1">
        <v>11</v>
      </c>
      <c r="E140" s="1">
        <v>13</v>
      </c>
      <c r="F140" s="1">
        <v>7</v>
      </c>
      <c r="G140" s="1" t="s">
        <v>50</v>
      </c>
      <c r="H140" s="1" t="s">
        <v>50</v>
      </c>
      <c r="I140" s="1" t="s">
        <v>50</v>
      </c>
      <c r="J140" s="1" t="s">
        <v>50</v>
      </c>
      <c r="K140" s="1" t="s">
        <v>50</v>
      </c>
      <c r="L140">
        <f t="shared" si="18"/>
        <v>278.99258318037374</v>
      </c>
      <c r="M140">
        <f t="shared" si="23"/>
        <v>185.56448544286178</v>
      </c>
      <c r="N140">
        <f t="shared" si="19"/>
        <v>310</v>
      </c>
      <c r="O140" t="e">
        <f t="shared" si="20"/>
        <v>#N/A</v>
      </c>
      <c r="P140" t="e">
        <f t="shared" si="21"/>
        <v>#N/A</v>
      </c>
      <c r="Q140" t="e">
        <f t="shared" si="22"/>
        <v>#N/A</v>
      </c>
      <c r="U140">
        <f>C140/Navio!$J$4</f>
        <v>13.485411262736198</v>
      </c>
    </row>
    <row r="141" spans="1:21" x14ac:dyDescent="0.3">
      <c r="A141">
        <v>139</v>
      </c>
      <c r="B141" s="47">
        <v>530.18999743657184</v>
      </c>
      <c r="C141" s="46">
        <v>268.35122795322411</v>
      </c>
      <c r="D141" s="1">
        <v>11</v>
      </c>
      <c r="E141" s="1">
        <v>14</v>
      </c>
      <c r="F141" s="1">
        <v>7</v>
      </c>
      <c r="G141" s="1" t="s">
        <v>50</v>
      </c>
      <c r="H141" s="1" t="s">
        <v>50</v>
      </c>
      <c r="I141" s="1" t="s">
        <v>50</v>
      </c>
      <c r="J141" s="1" t="s">
        <v>50</v>
      </c>
      <c r="K141" s="1" t="s">
        <v>50</v>
      </c>
      <c r="L141">
        <f t="shared" ref="L141:L204" si="24">VLOOKUP(D141,$Y$2:$Z$80,2)</f>
        <v>278.99258318037374</v>
      </c>
      <c r="M141">
        <f t="shared" si="23"/>
        <v>96.197414256198073</v>
      </c>
      <c r="N141">
        <f t="shared" ref="N141:N204" si="25">VLOOKUP(F141,$Y$2:$Z$80,2)</f>
        <v>310</v>
      </c>
      <c r="O141" t="e">
        <f t="shared" ref="O141:O204" si="26">VLOOKUP(G141,$Y$2:$Z$80,2)</f>
        <v>#N/A</v>
      </c>
      <c r="P141" t="e">
        <f t="shared" ref="P141:P204" si="27">VLOOKUP(H141,$Y$2:$Z$80,2)</f>
        <v>#N/A</v>
      </c>
      <c r="Q141" t="e">
        <f t="shared" ref="Q141:Q204" si="28">VLOOKUP(I141,$Y$2:$Z$80,2)</f>
        <v>#N/A</v>
      </c>
      <c r="U141">
        <f>C141/Navio!$J$4</f>
        <v>14.489819643106824</v>
      </c>
    </row>
    <row r="142" spans="1:21" x14ac:dyDescent="0.3">
      <c r="A142">
        <v>140</v>
      </c>
      <c r="B142" s="47">
        <v>644.14000985426742</v>
      </c>
      <c r="C142" s="46">
        <v>269.95194719650999</v>
      </c>
      <c r="D142" s="1">
        <v>11</v>
      </c>
      <c r="E142" s="1">
        <v>15</v>
      </c>
      <c r="F142" s="1">
        <v>7</v>
      </c>
      <c r="G142" s="1" t="s">
        <v>50</v>
      </c>
      <c r="H142" s="1" t="s">
        <v>50</v>
      </c>
      <c r="I142" s="1" t="s">
        <v>50</v>
      </c>
      <c r="J142" s="1" t="s">
        <v>50</v>
      </c>
      <c r="K142" s="1" t="s">
        <v>50</v>
      </c>
      <c r="L142">
        <f t="shared" si="24"/>
        <v>278.99258318037374</v>
      </c>
      <c r="M142">
        <f t="shared" si="23"/>
        <v>210.14742667389368</v>
      </c>
      <c r="N142">
        <f t="shared" si="25"/>
        <v>310</v>
      </c>
      <c r="O142" t="e">
        <f t="shared" si="26"/>
        <v>#N/A</v>
      </c>
      <c r="P142" t="e">
        <f t="shared" si="27"/>
        <v>#N/A</v>
      </c>
      <c r="Q142" t="e">
        <f t="shared" si="28"/>
        <v>#N/A</v>
      </c>
      <c r="U142">
        <f>C142/Navio!$J$4</f>
        <v>14.576251642361569</v>
      </c>
    </row>
    <row r="143" spans="1:21" x14ac:dyDescent="0.3">
      <c r="A143">
        <v>141</v>
      </c>
      <c r="B143" s="47">
        <v>491.64857831946534</v>
      </c>
      <c r="C143" s="46">
        <v>281.33638278976451</v>
      </c>
      <c r="D143" s="1">
        <v>11</v>
      </c>
      <c r="E143" s="1">
        <v>16</v>
      </c>
      <c r="F143" s="1">
        <v>7</v>
      </c>
      <c r="G143" s="1" t="s">
        <v>50</v>
      </c>
      <c r="H143" s="1" t="s">
        <v>50</v>
      </c>
      <c r="I143" s="1" t="s">
        <v>50</v>
      </c>
      <c r="J143" s="1" t="s">
        <v>50</v>
      </c>
      <c r="K143" s="1" t="s">
        <v>50</v>
      </c>
      <c r="L143">
        <f t="shared" si="24"/>
        <v>278.99258318037374</v>
      </c>
      <c r="M143">
        <f t="shared" si="23"/>
        <v>172.96798541727486</v>
      </c>
      <c r="N143">
        <f t="shared" si="25"/>
        <v>310</v>
      </c>
      <c r="O143" t="e">
        <f t="shared" si="26"/>
        <v>#N/A</v>
      </c>
      <c r="P143" t="e">
        <f t="shared" si="27"/>
        <v>#N/A</v>
      </c>
      <c r="Q143" t="e">
        <f t="shared" si="28"/>
        <v>#N/A</v>
      </c>
      <c r="U143">
        <f>C143/Navio!$J$4</f>
        <v>15.190962518637408</v>
      </c>
    </row>
    <row r="144" spans="1:21" x14ac:dyDescent="0.3">
      <c r="A144">
        <v>142</v>
      </c>
      <c r="B144" s="47">
        <v>738.38826095671652</v>
      </c>
      <c r="C144" s="46">
        <v>279.25811587357856</v>
      </c>
      <c r="D144" s="1">
        <v>11</v>
      </c>
      <c r="E144" s="1">
        <v>17</v>
      </c>
      <c r="F144" s="1">
        <v>7</v>
      </c>
      <c r="G144" s="1" t="s">
        <v>50</v>
      </c>
      <c r="H144" s="1" t="s">
        <v>50</v>
      </c>
      <c r="I144" s="1" t="s">
        <v>50</v>
      </c>
      <c r="J144" s="1" t="s">
        <v>50</v>
      </c>
      <c r="K144" s="1" t="s">
        <v>50</v>
      </c>
      <c r="L144">
        <f t="shared" si="24"/>
        <v>278.99258318037374</v>
      </c>
      <c r="M144">
        <f t="shared" si="23"/>
        <v>304.39567777634272</v>
      </c>
      <c r="N144">
        <f t="shared" si="25"/>
        <v>310</v>
      </c>
      <c r="O144" t="e">
        <f t="shared" si="26"/>
        <v>#N/A</v>
      </c>
      <c r="P144" t="e">
        <f t="shared" si="27"/>
        <v>#N/A</v>
      </c>
      <c r="Q144" t="e">
        <f t="shared" si="28"/>
        <v>#N/A</v>
      </c>
      <c r="U144">
        <f>C144/Navio!$J$4</f>
        <v>15.07874498561006</v>
      </c>
    </row>
    <row r="145" spans="1:21" x14ac:dyDescent="0.3">
      <c r="A145">
        <v>143</v>
      </c>
      <c r="B145" s="47">
        <v>367.92333925796544</v>
      </c>
      <c r="C145" s="46">
        <v>252.77648657752863</v>
      </c>
      <c r="D145" s="1">
        <v>13</v>
      </c>
      <c r="E145" s="1">
        <v>12</v>
      </c>
      <c r="F145" s="1">
        <v>7</v>
      </c>
      <c r="G145" s="1" t="s">
        <v>50</v>
      </c>
      <c r="H145" s="1" t="s">
        <v>50</v>
      </c>
      <c r="I145" s="1" t="s">
        <v>50</v>
      </c>
      <c r="J145" s="1" t="s">
        <v>50</v>
      </c>
      <c r="K145" s="1" t="s">
        <v>50</v>
      </c>
      <c r="L145">
        <f t="shared" si="24"/>
        <v>185.56448544286178</v>
      </c>
      <c r="M145">
        <f t="shared" si="23"/>
        <v>82.076561445310972</v>
      </c>
      <c r="N145">
        <f t="shared" si="25"/>
        <v>310</v>
      </c>
      <c r="O145" t="e">
        <f t="shared" si="26"/>
        <v>#N/A</v>
      </c>
      <c r="P145" t="e">
        <f t="shared" si="27"/>
        <v>#N/A</v>
      </c>
      <c r="Q145" t="e">
        <f t="shared" si="28"/>
        <v>#N/A</v>
      </c>
      <c r="U145">
        <f>C145/Navio!$J$4</f>
        <v>13.6488501597803</v>
      </c>
    </row>
    <row r="146" spans="1:21" x14ac:dyDescent="0.3">
      <c r="A146">
        <v>144</v>
      </c>
      <c r="B146" s="47">
        <v>278.5562680713017</v>
      </c>
      <c r="C146" s="46">
        <v>258.46662583316436</v>
      </c>
      <c r="D146" s="1">
        <v>14</v>
      </c>
      <c r="E146" s="1">
        <v>12</v>
      </c>
      <c r="F146" s="1">
        <v>7</v>
      </c>
      <c r="G146" s="1" t="s">
        <v>50</v>
      </c>
      <c r="H146" s="1" t="s">
        <v>50</v>
      </c>
      <c r="I146" s="1" t="s">
        <v>50</v>
      </c>
      <c r="J146" s="1" t="s">
        <v>50</v>
      </c>
      <c r="K146" s="1" t="s">
        <v>50</v>
      </c>
      <c r="L146">
        <f t="shared" si="24"/>
        <v>96.197414256198073</v>
      </c>
      <c r="M146">
        <f t="shared" si="23"/>
        <v>82.076561445310972</v>
      </c>
      <c r="N146">
        <f t="shared" si="25"/>
        <v>310</v>
      </c>
      <c r="O146" t="e">
        <f t="shared" si="26"/>
        <v>#N/A</v>
      </c>
      <c r="P146" t="e">
        <f t="shared" si="27"/>
        <v>#N/A</v>
      </c>
      <c r="Q146" t="e">
        <f t="shared" si="28"/>
        <v>#N/A</v>
      </c>
      <c r="U146">
        <f>C146/Navio!$J$4</f>
        <v>13.956093365586296</v>
      </c>
    </row>
    <row r="147" spans="1:21" x14ac:dyDescent="0.3">
      <c r="A147">
        <v>145</v>
      </c>
      <c r="B147" s="47">
        <v>392.50628048899733</v>
      </c>
      <c r="C147" s="46">
        <v>265.15092271895685</v>
      </c>
      <c r="D147" s="1">
        <v>12</v>
      </c>
      <c r="E147" s="1">
        <v>15</v>
      </c>
      <c r="F147" s="1">
        <v>7</v>
      </c>
      <c r="G147" s="1" t="s">
        <v>50</v>
      </c>
      <c r="H147" s="1" t="s">
        <v>50</v>
      </c>
      <c r="I147" s="1" t="s">
        <v>50</v>
      </c>
      <c r="J147" s="1" t="s">
        <v>50</v>
      </c>
      <c r="K147" s="1" t="s">
        <v>50</v>
      </c>
      <c r="L147">
        <f t="shared" si="24"/>
        <v>82.076561445310972</v>
      </c>
      <c r="M147">
        <f t="shared" si="23"/>
        <v>210.14742667389368</v>
      </c>
      <c r="N147">
        <f t="shared" si="25"/>
        <v>310</v>
      </c>
      <c r="O147" t="e">
        <f t="shared" si="26"/>
        <v>#N/A</v>
      </c>
      <c r="P147" t="e">
        <f t="shared" si="27"/>
        <v>#N/A</v>
      </c>
      <c r="Q147" t="e">
        <f t="shared" si="28"/>
        <v>#N/A</v>
      </c>
      <c r="U147">
        <f>C147/Navio!$J$4</f>
        <v>14.317016835379384</v>
      </c>
    </row>
    <row r="148" spans="1:21" x14ac:dyDescent="0.3">
      <c r="A148">
        <v>146</v>
      </c>
      <c r="B148" s="47">
        <v>240.01484895419529</v>
      </c>
      <c r="C148" s="46">
        <v>277.5007749619524</v>
      </c>
      <c r="D148" s="1">
        <v>16</v>
      </c>
      <c r="E148" s="1">
        <v>12</v>
      </c>
      <c r="F148" s="1">
        <v>7</v>
      </c>
      <c r="G148" s="1" t="s">
        <v>50</v>
      </c>
      <c r="H148" s="1" t="s">
        <v>50</v>
      </c>
      <c r="I148" s="1" t="s">
        <v>50</v>
      </c>
      <c r="J148" s="1" t="s">
        <v>50</v>
      </c>
      <c r="K148" s="1" t="s">
        <v>50</v>
      </c>
      <c r="L148">
        <f t="shared" si="24"/>
        <v>172.96798541727486</v>
      </c>
      <c r="M148">
        <f t="shared" si="23"/>
        <v>82.076561445310972</v>
      </c>
      <c r="N148">
        <f t="shared" si="25"/>
        <v>310</v>
      </c>
      <c r="O148" t="e">
        <f t="shared" si="26"/>
        <v>#N/A</v>
      </c>
      <c r="P148" t="e">
        <f t="shared" si="27"/>
        <v>#N/A</v>
      </c>
      <c r="Q148" t="e">
        <f t="shared" si="28"/>
        <v>#N/A</v>
      </c>
      <c r="U148">
        <f>C148/Navio!$J$4</f>
        <v>14.983856085510245</v>
      </c>
    </row>
    <row r="149" spans="1:21" x14ac:dyDescent="0.3">
      <c r="A149">
        <v>147</v>
      </c>
      <c r="B149" s="47">
        <v>486.75453159144638</v>
      </c>
      <c r="C149" s="46">
        <v>278.66192077504968</v>
      </c>
      <c r="D149" s="1">
        <v>17</v>
      </c>
      <c r="E149" s="1">
        <v>12</v>
      </c>
      <c r="F149" s="1">
        <v>7</v>
      </c>
      <c r="G149" s="1" t="s">
        <v>50</v>
      </c>
      <c r="H149" s="1" t="s">
        <v>50</v>
      </c>
      <c r="I149" s="1" t="s">
        <v>50</v>
      </c>
      <c r="J149" s="1" t="s">
        <v>50</v>
      </c>
      <c r="K149" s="1" t="s">
        <v>50</v>
      </c>
      <c r="L149">
        <f t="shared" si="24"/>
        <v>304.39567777634272</v>
      </c>
      <c r="M149">
        <f t="shared" si="23"/>
        <v>82.076561445310972</v>
      </c>
      <c r="N149">
        <f t="shared" si="25"/>
        <v>310</v>
      </c>
      <c r="O149" t="e">
        <f t="shared" si="26"/>
        <v>#N/A</v>
      </c>
      <c r="P149" t="e">
        <f t="shared" si="27"/>
        <v>#N/A</v>
      </c>
      <c r="Q149" t="e">
        <f t="shared" si="28"/>
        <v>#N/A</v>
      </c>
      <c r="U149">
        <f>C149/Navio!$J$4</f>
        <v>15.046552997834645</v>
      </c>
    </row>
    <row r="150" spans="1:21" x14ac:dyDescent="0.3">
      <c r="A150">
        <v>148</v>
      </c>
      <c r="B150" s="47">
        <v>436.76189969905988</v>
      </c>
      <c r="C150" s="46">
        <v>271.13657465517912</v>
      </c>
      <c r="D150" s="1">
        <v>13</v>
      </c>
      <c r="E150" s="1">
        <v>14</v>
      </c>
      <c r="F150" s="1">
        <v>7</v>
      </c>
      <c r="G150" s="1" t="s">
        <v>50</v>
      </c>
      <c r="H150" s="1" t="s">
        <v>50</v>
      </c>
      <c r="I150" s="1" t="s">
        <v>50</v>
      </c>
      <c r="J150" s="1" t="s">
        <v>50</v>
      </c>
      <c r="K150" s="1" t="s">
        <v>50</v>
      </c>
      <c r="L150">
        <f t="shared" si="24"/>
        <v>185.56448544286178</v>
      </c>
      <c r="M150">
        <f t="shared" si="23"/>
        <v>96.197414256198073</v>
      </c>
      <c r="N150">
        <f t="shared" si="25"/>
        <v>310</v>
      </c>
      <c r="O150" t="e">
        <f t="shared" si="26"/>
        <v>#N/A</v>
      </c>
      <c r="P150" t="e">
        <f t="shared" si="27"/>
        <v>#N/A</v>
      </c>
      <c r="Q150" t="e">
        <f t="shared" si="28"/>
        <v>#N/A</v>
      </c>
      <c r="U150">
        <f>C150/Navio!$J$4</f>
        <v>14.640216463209638</v>
      </c>
    </row>
    <row r="151" spans="1:21" x14ac:dyDescent="0.3">
      <c r="A151">
        <v>149</v>
      </c>
      <c r="B151" s="47">
        <v>550.71191211675546</v>
      </c>
      <c r="C151" s="46">
        <v>269.83716913920989</v>
      </c>
      <c r="D151" s="1">
        <v>13</v>
      </c>
      <c r="E151" s="1">
        <v>15</v>
      </c>
      <c r="F151" s="1">
        <v>7</v>
      </c>
      <c r="G151" s="1" t="s">
        <v>50</v>
      </c>
      <c r="H151" s="1" t="s">
        <v>50</v>
      </c>
      <c r="I151" s="1" t="s">
        <v>50</v>
      </c>
      <c r="J151" s="1" t="s">
        <v>50</v>
      </c>
      <c r="K151" s="1" t="s">
        <v>50</v>
      </c>
      <c r="L151">
        <f t="shared" si="24"/>
        <v>185.56448544286178</v>
      </c>
      <c r="M151">
        <f t="shared" si="23"/>
        <v>210.14742667389368</v>
      </c>
      <c r="N151">
        <f t="shared" si="25"/>
        <v>310</v>
      </c>
      <c r="O151" t="e">
        <f t="shared" si="26"/>
        <v>#N/A</v>
      </c>
      <c r="P151" t="e">
        <f t="shared" si="27"/>
        <v>#N/A</v>
      </c>
      <c r="Q151" t="e">
        <f t="shared" si="28"/>
        <v>#N/A</v>
      </c>
      <c r="U151">
        <f>C151/Navio!$J$4</f>
        <v>14.570054117714674</v>
      </c>
    </row>
    <row r="152" spans="1:21" x14ac:dyDescent="0.3">
      <c r="A152">
        <v>150</v>
      </c>
      <c r="B152" s="47">
        <v>398.22048058195338</v>
      </c>
      <c r="C152" s="46">
        <v>280.66240262276568</v>
      </c>
      <c r="D152" s="1">
        <v>13</v>
      </c>
      <c r="E152" s="1">
        <v>16</v>
      </c>
      <c r="F152" s="1">
        <v>7</v>
      </c>
      <c r="G152" s="1" t="s">
        <v>50</v>
      </c>
      <c r="H152" s="1" t="s">
        <v>50</v>
      </c>
      <c r="I152" s="1" t="s">
        <v>50</v>
      </c>
      <c r="J152" s="1" t="s">
        <v>50</v>
      </c>
      <c r="K152" s="1" t="s">
        <v>50</v>
      </c>
      <c r="L152">
        <f t="shared" si="24"/>
        <v>185.56448544286178</v>
      </c>
      <c r="M152">
        <f t="shared" si="23"/>
        <v>172.96798541727486</v>
      </c>
      <c r="N152">
        <f t="shared" si="25"/>
        <v>310</v>
      </c>
      <c r="O152" t="e">
        <f t="shared" si="26"/>
        <v>#N/A</v>
      </c>
      <c r="P152" t="e">
        <f t="shared" si="27"/>
        <v>#N/A</v>
      </c>
      <c r="Q152" t="e">
        <f t="shared" si="28"/>
        <v>#N/A</v>
      </c>
      <c r="U152">
        <f>C152/Navio!$J$4</f>
        <v>15.154570469540669</v>
      </c>
    </row>
    <row r="153" spans="1:21" x14ac:dyDescent="0.3">
      <c r="A153">
        <v>151</v>
      </c>
      <c r="B153" s="47">
        <v>644.96016321920456</v>
      </c>
      <c r="C153" s="46">
        <v>278.46105041849933</v>
      </c>
      <c r="D153" s="1">
        <v>13</v>
      </c>
      <c r="E153" s="1">
        <v>17</v>
      </c>
      <c r="F153" s="1">
        <v>7</v>
      </c>
      <c r="G153" s="1" t="s">
        <v>50</v>
      </c>
      <c r="H153" s="1" t="s">
        <v>50</v>
      </c>
      <c r="I153" s="1" t="s">
        <v>50</v>
      </c>
      <c r="J153" s="1" t="s">
        <v>50</v>
      </c>
      <c r="K153" s="1" t="s">
        <v>50</v>
      </c>
      <c r="L153">
        <f t="shared" si="24"/>
        <v>185.56448544286178</v>
      </c>
      <c r="M153">
        <f t="shared" si="23"/>
        <v>304.39567777634272</v>
      </c>
      <c r="N153">
        <f t="shared" si="25"/>
        <v>310</v>
      </c>
      <c r="O153" t="e">
        <f t="shared" si="26"/>
        <v>#N/A</v>
      </c>
      <c r="P153" t="e">
        <f t="shared" si="27"/>
        <v>#N/A</v>
      </c>
      <c r="Q153" t="e">
        <f t="shared" si="28"/>
        <v>#N/A</v>
      </c>
      <c r="U153">
        <f>C153/Navio!$J$4</f>
        <v>15.035706856901134</v>
      </c>
    </row>
    <row r="154" spans="1:21" x14ac:dyDescent="0.3">
      <c r="A154">
        <v>152</v>
      </c>
      <c r="B154" s="47">
        <v>461.34484093009178</v>
      </c>
      <c r="C154" s="46">
        <v>270.56415178780435</v>
      </c>
      <c r="D154" s="1">
        <v>14</v>
      </c>
      <c r="E154" s="1">
        <v>15</v>
      </c>
      <c r="F154" s="1">
        <v>7</v>
      </c>
      <c r="G154" s="1" t="s">
        <v>50</v>
      </c>
      <c r="H154" s="1" t="s">
        <v>50</v>
      </c>
      <c r="I154" s="1" t="s">
        <v>50</v>
      </c>
      <c r="J154" s="1" t="s">
        <v>50</v>
      </c>
      <c r="K154" s="1" t="s">
        <v>50</v>
      </c>
      <c r="L154">
        <f t="shared" si="24"/>
        <v>96.197414256198073</v>
      </c>
      <c r="M154">
        <f t="shared" si="23"/>
        <v>210.14742667389368</v>
      </c>
      <c r="N154">
        <f t="shared" si="25"/>
        <v>310</v>
      </c>
      <c r="O154" t="e">
        <f t="shared" si="26"/>
        <v>#N/A</v>
      </c>
      <c r="P154" t="e">
        <f t="shared" si="27"/>
        <v>#N/A</v>
      </c>
      <c r="Q154" t="e">
        <f t="shared" si="28"/>
        <v>#N/A</v>
      </c>
      <c r="U154">
        <f>C154/Navio!$J$4</f>
        <v>14.609308074337664</v>
      </c>
    </row>
    <row r="155" spans="1:21" x14ac:dyDescent="0.3">
      <c r="A155">
        <v>153</v>
      </c>
      <c r="B155" s="47">
        <v>308.8534093952897</v>
      </c>
      <c r="C155" s="46">
        <v>281.04492766438915</v>
      </c>
      <c r="D155" s="1">
        <v>14</v>
      </c>
      <c r="E155" s="1">
        <v>16</v>
      </c>
      <c r="F155" s="1">
        <v>7</v>
      </c>
      <c r="G155" s="1" t="s">
        <v>50</v>
      </c>
      <c r="H155" s="1" t="s">
        <v>50</v>
      </c>
      <c r="I155" s="1" t="s">
        <v>50</v>
      </c>
      <c r="J155" s="1" t="s">
        <v>50</v>
      </c>
      <c r="K155" s="1" t="s">
        <v>50</v>
      </c>
      <c r="L155">
        <f t="shared" si="24"/>
        <v>96.197414256198073</v>
      </c>
      <c r="M155">
        <f t="shared" si="23"/>
        <v>172.96798541727486</v>
      </c>
      <c r="N155">
        <f t="shared" si="25"/>
        <v>310</v>
      </c>
      <c r="O155" t="e">
        <f t="shared" si="26"/>
        <v>#N/A</v>
      </c>
      <c r="P155" t="e">
        <f t="shared" si="27"/>
        <v>#N/A</v>
      </c>
      <c r="Q155" t="e">
        <f t="shared" si="28"/>
        <v>#N/A</v>
      </c>
      <c r="U155">
        <f>C155/Navio!$J$4</f>
        <v>15.175225187256595</v>
      </c>
    </row>
    <row r="156" spans="1:21" x14ac:dyDescent="0.3">
      <c r="A156">
        <v>154</v>
      </c>
      <c r="B156" s="47">
        <v>555.59309203254077</v>
      </c>
      <c r="C156" s="46">
        <v>287.02270407152548</v>
      </c>
      <c r="D156" s="1">
        <v>17</v>
      </c>
      <c r="E156" s="1">
        <v>14</v>
      </c>
      <c r="F156" s="1">
        <v>7</v>
      </c>
      <c r="G156" s="1" t="s">
        <v>50</v>
      </c>
      <c r="H156" s="1" t="s">
        <v>50</v>
      </c>
      <c r="I156" s="1" t="s">
        <v>50</v>
      </c>
      <c r="J156" s="1" t="s">
        <v>50</v>
      </c>
      <c r="K156" s="1" t="s">
        <v>50</v>
      </c>
      <c r="L156">
        <f t="shared" si="24"/>
        <v>304.39567777634272</v>
      </c>
      <c r="M156">
        <f t="shared" si="23"/>
        <v>96.197414256198073</v>
      </c>
      <c r="N156">
        <f t="shared" si="25"/>
        <v>310</v>
      </c>
      <c r="O156" t="e">
        <f t="shared" si="26"/>
        <v>#N/A</v>
      </c>
      <c r="P156" t="e">
        <f t="shared" si="27"/>
        <v>#N/A</v>
      </c>
      <c r="Q156" t="e">
        <f t="shared" si="28"/>
        <v>#N/A</v>
      </c>
      <c r="U156">
        <f>C156/Navio!$J$4</f>
        <v>15.497999570168391</v>
      </c>
    </row>
    <row r="157" spans="1:21" x14ac:dyDescent="0.3">
      <c r="A157">
        <v>155</v>
      </c>
      <c r="B157" s="47">
        <v>422.80342181298528</v>
      </c>
      <c r="C157" s="46">
        <v>277.49608271638942</v>
      </c>
      <c r="D157" s="1">
        <v>16</v>
      </c>
      <c r="E157" s="1">
        <v>15</v>
      </c>
      <c r="F157" s="1">
        <v>7</v>
      </c>
      <c r="G157" s="1" t="s">
        <v>50</v>
      </c>
      <c r="H157" s="1" t="s">
        <v>50</v>
      </c>
      <c r="I157" s="1" t="s">
        <v>50</v>
      </c>
      <c r="J157" s="1" t="s">
        <v>50</v>
      </c>
      <c r="K157" s="1" t="s">
        <v>50</v>
      </c>
      <c r="L157">
        <f t="shared" si="24"/>
        <v>172.96798541727486</v>
      </c>
      <c r="M157">
        <f t="shared" si="23"/>
        <v>210.14742667389368</v>
      </c>
      <c r="N157">
        <f t="shared" si="25"/>
        <v>310</v>
      </c>
      <c r="O157" t="e">
        <f t="shared" si="26"/>
        <v>#N/A</v>
      </c>
      <c r="P157" t="e">
        <f t="shared" si="27"/>
        <v>#N/A</v>
      </c>
      <c r="Q157" t="e">
        <f t="shared" si="28"/>
        <v>#N/A</v>
      </c>
      <c r="U157">
        <f>C157/Navio!$J$4</f>
        <v>14.983602724299837</v>
      </c>
    </row>
    <row r="158" spans="1:21" x14ac:dyDescent="0.3">
      <c r="A158">
        <v>156</v>
      </c>
      <c r="B158" s="47">
        <v>669.54310445023634</v>
      </c>
      <c r="C158" s="46">
        <v>281.04735133458763</v>
      </c>
      <c r="D158" s="1">
        <v>17</v>
      </c>
      <c r="E158" s="1">
        <v>15</v>
      </c>
      <c r="F158" s="1">
        <v>7</v>
      </c>
      <c r="G158" s="1" t="s">
        <v>50</v>
      </c>
      <c r="H158" s="1" t="s">
        <v>50</v>
      </c>
      <c r="I158" s="1" t="s">
        <v>50</v>
      </c>
      <c r="J158" s="1" t="s">
        <v>50</v>
      </c>
      <c r="K158" s="1" t="s">
        <v>50</v>
      </c>
      <c r="L158">
        <f t="shared" si="24"/>
        <v>304.39567777634272</v>
      </c>
      <c r="M158">
        <f t="shared" si="23"/>
        <v>210.14742667389368</v>
      </c>
      <c r="N158">
        <f t="shared" si="25"/>
        <v>310</v>
      </c>
      <c r="O158" t="e">
        <f t="shared" si="26"/>
        <v>#N/A</v>
      </c>
      <c r="P158" t="e">
        <f t="shared" si="27"/>
        <v>#N/A</v>
      </c>
      <c r="Q158" t="e">
        <f t="shared" si="28"/>
        <v>#N/A</v>
      </c>
      <c r="U158">
        <f>C158/Navio!$J$4</f>
        <v>15.175356055090957</v>
      </c>
    </row>
    <row r="159" spans="1:21" x14ac:dyDescent="0.3">
      <c r="A159">
        <v>157</v>
      </c>
      <c r="B159" s="47">
        <v>517.05167291543432</v>
      </c>
      <c r="C159" s="46">
        <v>284.97357623686798</v>
      </c>
      <c r="D159" s="1">
        <v>17</v>
      </c>
      <c r="E159" s="1">
        <v>16</v>
      </c>
      <c r="F159" s="1">
        <v>7</v>
      </c>
      <c r="G159" s="1" t="s">
        <v>50</v>
      </c>
      <c r="H159" s="1" t="s">
        <v>50</v>
      </c>
      <c r="I159" s="1" t="s">
        <v>50</v>
      </c>
      <c r="J159" s="1" t="s">
        <v>50</v>
      </c>
      <c r="K159" s="1" t="s">
        <v>50</v>
      </c>
      <c r="L159">
        <f t="shared" si="24"/>
        <v>304.39567777634272</v>
      </c>
      <c r="M159">
        <f t="shared" si="23"/>
        <v>172.96798541727486</v>
      </c>
      <c r="N159">
        <f t="shared" si="25"/>
        <v>310</v>
      </c>
      <c r="O159" t="e">
        <f t="shared" si="26"/>
        <v>#N/A</v>
      </c>
      <c r="P159" t="e">
        <f t="shared" si="27"/>
        <v>#N/A</v>
      </c>
      <c r="Q159" t="e">
        <f t="shared" si="28"/>
        <v>#N/A</v>
      </c>
      <c r="U159">
        <f>C159/Navio!$J$4</f>
        <v>15.387355423032114</v>
      </c>
    </row>
    <row r="160" spans="1:21" x14ac:dyDescent="0.3">
      <c r="A160">
        <v>158</v>
      </c>
      <c r="B160" s="47">
        <v>600.36739528320618</v>
      </c>
      <c r="C160" s="46">
        <v>221.31869486999284</v>
      </c>
      <c r="D160" s="1">
        <v>9</v>
      </c>
      <c r="E160" s="1">
        <v>10</v>
      </c>
      <c r="F160" s="1">
        <v>8</v>
      </c>
      <c r="G160" s="1" t="s">
        <v>50</v>
      </c>
      <c r="H160" s="1" t="s">
        <v>50</v>
      </c>
      <c r="I160" s="1" t="s">
        <v>50</v>
      </c>
      <c r="J160" s="1" t="s">
        <v>50</v>
      </c>
      <c r="K160" s="1" t="s">
        <v>50</v>
      </c>
      <c r="L160">
        <f t="shared" si="24"/>
        <v>310</v>
      </c>
      <c r="M160">
        <f t="shared" si="23"/>
        <v>290.36739528320618</v>
      </c>
      <c r="N160">
        <f t="shared" si="25"/>
        <v>310</v>
      </c>
      <c r="O160" t="e">
        <f t="shared" si="26"/>
        <v>#N/A</v>
      </c>
      <c r="P160" t="e">
        <f t="shared" si="27"/>
        <v>#N/A</v>
      </c>
      <c r="Q160" t="e">
        <f t="shared" si="28"/>
        <v>#N/A</v>
      </c>
      <c r="U160">
        <f>C160/Navio!$J$4</f>
        <v>11.950263826901407</v>
      </c>
    </row>
    <row r="161" spans="1:21" x14ac:dyDescent="0.3">
      <c r="A161">
        <v>159</v>
      </c>
      <c r="B161" s="47">
        <v>588.99258318037369</v>
      </c>
      <c r="C161" s="46">
        <v>230.04681931120575</v>
      </c>
      <c r="D161" s="1">
        <v>9</v>
      </c>
      <c r="E161" s="1">
        <v>11</v>
      </c>
      <c r="F161" s="1">
        <v>8</v>
      </c>
      <c r="G161" s="1" t="s">
        <v>50</v>
      </c>
      <c r="H161" s="1" t="s">
        <v>50</v>
      </c>
      <c r="I161" s="1" t="s">
        <v>50</v>
      </c>
      <c r="J161" s="1" t="s">
        <v>50</v>
      </c>
      <c r="K161" s="1" t="s">
        <v>50</v>
      </c>
      <c r="L161">
        <f t="shared" si="24"/>
        <v>310</v>
      </c>
      <c r="M161">
        <f t="shared" si="23"/>
        <v>278.99258318037374</v>
      </c>
      <c r="N161">
        <f t="shared" si="25"/>
        <v>310</v>
      </c>
      <c r="O161" t="e">
        <f t="shared" si="26"/>
        <v>#N/A</v>
      </c>
      <c r="P161" t="e">
        <f t="shared" si="27"/>
        <v>#N/A</v>
      </c>
      <c r="Q161" t="e">
        <f t="shared" si="28"/>
        <v>#N/A</v>
      </c>
      <c r="U161">
        <f>C161/Navio!$J$4</f>
        <v>12.421545251400095</v>
      </c>
    </row>
    <row r="162" spans="1:21" x14ac:dyDescent="0.3">
      <c r="A162">
        <v>160</v>
      </c>
      <c r="B162" s="47">
        <v>337.35885381510366</v>
      </c>
      <c r="C162" s="46">
        <v>241.75048191381347</v>
      </c>
      <c r="D162" s="1">
        <v>9</v>
      </c>
      <c r="E162" s="1">
        <v>12</v>
      </c>
      <c r="F162" s="1">
        <v>8</v>
      </c>
      <c r="G162" s="1" t="s">
        <v>50</v>
      </c>
      <c r="H162" s="1" t="s">
        <v>50</v>
      </c>
      <c r="I162" s="1" t="s">
        <v>50</v>
      </c>
      <c r="J162" s="1" t="s">
        <v>50</v>
      </c>
      <c r="K162" s="1" t="s">
        <v>50</v>
      </c>
      <c r="L162">
        <f t="shared" si="24"/>
        <v>310</v>
      </c>
      <c r="M162">
        <f t="shared" si="23"/>
        <v>82.076561445310972</v>
      </c>
      <c r="N162">
        <f t="shared" si="25"/>
        <v>310</v>
      </c>
      <c r="O162" t="e">
        <f t="shared" si="26"/>
        <v>#N/A</v>
      </c>
      <c r="P162" t="e">
        <f t="shared" si="27"/>
        <v>#N/A</v>
      </c>
      <c r="Q162" t="e">
        <f t="shared" si="28"/>
        <v>#N/A</v>
      </c>
      <c r="U162">
        <f>C162/Navio!$J$4</f>
        <v>13.053493022122128</v>
      </c>
    </row>
    <row r="163" spans="1:21" x14ac:dyDescent="0.3">
      <c r="A163">
        <v>161</v>
      </c>
      <c r="B163" s="47">
        <v>495.56448544286178</v>
      </c>
      <c r="C163" s="46">
        <v>248.95205823870708</v>
      </c>
      <c r="D163" s="1">
        <v>9</v>
      </c>
      <c r="E163" s="1">
        <v>13</v>
      </c>
      <c r="F163" s="1">
        <v>8</v>
      </c>
      <c r="G163" s="1" t="s">
        <v>50</v>
      </c>
      <c r="H163" s="1" t="s">
        <v>50</v>
      </c>
      <c r="I163" s="1" t="s">
        <v>50</v>
      </c>
      <c r="J163" s="1" t="s">
        <v>50</v>
      </c>
      <c r="K163" s="1" t="s">
        <v>50</v>
      </c>
      <c r="L163">
        <f t="shared" si="24"/>
        <v>310</v>
      </c>
      <c r="M163">
        <f t="shared" si="23"/>
        <v>185.56448544286178</v>
      </c>
      <c r="N163">
        <f t="shared" si="25"/>
        <v>310</v>
      </c>
      <c r="O163" t="e">
        <f t="shared" si="26"/>
        <v>#N/A</v>
      </c>
      <c r="P163" t="e">
        <f t="shared" si="27"/>
        <v>#N/A</v>
      </c>
      <c r="Q163" t="e">
        <f t="shared" si="28"/>
        <v>#N/A</v>
      </c>
      <c r="U163">
        <f>C163/Navio!$J$4</f>
        <v>13.442347371288607</v>
      </c>
    </row>
    <row r="164" spans="1:21" x14ac:dyDescent="0.3">
      <c r="A164">
        <v>162</v>
      </c>
      <c r="B164" s="47">
        <v>406.19741425619804</v>
      </c>
      <c r="C164" s="46">
        <v>265.89301782902493</v>
      </c>
      <c r="D164" s="1">
        <v>9</v>
      </c>
      <c r="E164" s="1">
        <v>14</v>
      </c>
      <c r="F164" s="1">
        <v>8</v>
      </c>
      <c r="G164" s="1" t="s">
        <v>50</v>
      </c>
      <c r="H164" s="1" t="s">
        <v>50</v>
      </c>
      <c r="I164" s="1" t="s">
        <v>50</v>
      </c>
      <c r="J164" s="1" t="s">
        <v>50</v>
      </c>
      <c r="K164" s="1" t="s">
        <v>50</v>
      </c>
      <c r="L164">
        <f t="shared" si="24"/>
        <v>310</v>
      </c>
      <c r="M164">
        <f t="shared" si="23"/>
        <v>96.197414256198073</v>
      </c>
      <c r="N164">
        <f t="shared" si="25"/>
        <v>310</v>
      </c>
      <c r="O164" t="e">
        <f t="shared" si="26"/>
        <v>#N/A</v>
      </c>
      <c r="P164" t="e">
        <f t="shared" si="27"/>
        <v>#N/A</v>
      </c>
      <c r="Q164" t="e">
        <f t="shared" si="28"/>
        <v>#N/A</v>
      </c>
      <c r="U164">
        <f>C164/Navio!$J$4</f>
        <v>14.357086800346313</v>
      </c>
    </row>
    <row r="165" spans="1:21" x14ac:dyDescent="0.3">
      <c r="A165">
        <v>163</v>
      </c>
      <c r="B165" s="47">
        <v>520.14742667389373</v>
      </c>
      <c r="C165" s="46">
        <v>269.38205473896386</v>
      </c>
      <c r="D165" s="1">
        <v>9</v>
      </c>
      <c r="E165" s="1">
        <v>15</v>
      </c>
      <c r="F165" s="1">
        <v>8</v>
      </c>
      <c r="G165" s="1" t="s">
        <v>50</v>
      </c>
      <c r="H165" s="1" t="s">
        <v>50</v>
      </c>
      <c r="I165" s="1" t="s">
        <v>50</v>
      </c>
      <c r="J165" s="1" t="s">
        <v>50</v>
      </c>
      <c r="K165" s="1" t="s">
        <v>50</v>
      </c>
      <c r="L165">
        <f t="shared" si="24"/>
        <v>310</v>
      </c>
      <c r="M165">
        <f t="shared" si="23"/>
        <v>210.14742667389368</v>
      </c>
      <c r="N165">
        <f t="shared" si="25"/>
        <v>310</v>
      </c>
      <c r="O165" t="e">
        <f t="shared" si="26"/>
        <v>#N/A</v>
      </c>
      <c r="P165" t="e">
        <f t="shared" si="27"/>
        <v>#N/A</v>
      </c>
      <c r="Q165" t="e">
        <f t="shared" si="28"/>
        <v>#N/A</v>
      </c>
      <c r="U165">
        <f>C165/Navio!$J$4</f>
        <v>14.545479884807884</v>
      </c>
    </row>
    <row r="166" spans="1:21" x14ac:dyDescent="0.3">
      <c r="A166">
        <v>164</v>
      </c>
      <c r="B166" s="47">
        <v>367.6559951390916</v>
      </c>
      <c r="C166" s="46">
        <v>281.21452437699378</v>
      </c>
      <c r="D166" s="1">
        <v>9</v>
      </c>
      <c r="E166" s="1">
        <v>16</v>
      </c>
      <c r="F166" s="1">
        <v>8</v>
      </c>
      <c r="G166" s="1" t="s">
        <v>50</v>
      </c>
      <c r="H166" s="1" t="s">
        <v>50</v>
      </c>
      <c r="I166" s="1" t="s">
        <v>50</v>
      </c>
      <c r="J166" s="1" t="s">
        <v>50</v>
      </c>
      <c r="K166" s="1" t="s">
        <v>50</v>
      </c>
      <c r="L166">
        <f t="shared" si="24"/>
        <v>310</v>
      </c>
      <c r="M166">
        <f t="shared" si="23"/>
        <v>172.96798541727486</v>
      </c>
      <c r="N166">
        <f t="shared" si="25"/>
        <v>310</v>
      </c>
      <c r="O166" t="e">
        <f t="shared" si="26"/>
        <v>#N/A</v>
      </c>
      <c r="P166" t="e">
        <f t="shared" si="27"/>
        <v>#N/A</v>
      </c>
      <c r="Q166" t="e">
        <f t="shared" si="28"/>
        <v>#N/A</v>
      </c>
      <c r="U166">
        <f>C166/Navio!$J$4</f>
        <v>15.184382685049499</v>
      </c>
    </row>
    <row r="167" spans="1:21" x14ac:dyDescent="0.3">
      <c r="A167">
        <v>165</v>
      </c>
      <c r="B167" s="47">
        <v>614.39567777634272</v>
      </c>
      <c r="C167" s="46">
        <v>279.14260559071209</v>
      </c>
      <c r="D167" s="1">
        <v>9</v>
      </c>
      <c r="E167" s="1">
        <v>17</v>
      </c>
      <c r="F167" s="1">
        <v>8</v>
      </c>
      <c r="G167" s="1" t="s">
        <v>50</v>
      </c>
      <c r="H167" s="1" t="s">
        <v>50</v>
      </c>
      <c r="I167" s="1" t="s">
        <v>50</v>
      </c>
      <c r="J167" s="1" t="s">
        <v>50</v>
      </c>
      <c r="K167" s="1" t="s">
        <v>50</v>
      </c>
      <c r="L167">
        <f t="shared" si="24"/>
        <v>310</v>
      </c>
      <c r="M167">
        <f t="shared" si="23"/>
        <v>304.39567777634272</v>
      </c>
      <c r="N167">
        <f t="shared" si="25"/>
        <v>310</v>
      </c>
      <c r="O167" t="e">
        <f t="shared" si="26"/>
        <v>#N/A</v>
      </c>
      <c r="P167" t="e">
        <f t="shared" si="27"/>
        <v>#N/A</v>
      </c>
      <c r="Q167" t="e">
        <f t="shared" si="28"/>
        <v>#N/A</v>
      </c>
      <c r="U167">
        <f>C167/Navio!$J$4</f>
        <v>15.072507923911386</v>
      </c>
    </row>
    <row r="168" spans="1:21" x14ac:dyDescent="0.3">
      <c r="A168">
        <v>166</v>
      </c>
      <c r="B168" s="47">
        <v>724.35997846357986</v>
      </c>
      <c r="C168" s="46">
        <v>232.23744192544325</v>
      </c>
      <c r="D168" s="1">
        <v>10</v>
      </c>
      <c r="E168" s="1">
        <v>11</v>
      </c>
      <c r="F168" s="1">
        <v>8</v>
      </c>
      <c r="G168" s="1" t="s">
        <v>50</v>
      </c>
      <c r="H168" s="1" t="s">
        <v>50</v>
      </c>
      <c r="I168" s="1" t="s">
        <v>50</v>
      </c>
      <c r="J168" s="1" t="s">
        <v>50</v>
      </c>
      <c r="K168" s="1" t="s">
        <v>50</v>
      </c>
      <c r="L168">
        <f t="shared" si="24"/>
        <v>290.36739528320618</v>
      </c>
      <c r="M168">
        <f t="shared" si="23"/>
        <v>278.99258318037374</v>
      </c>
      <c r="N168">
        <f t="shared" si="25"/>
        <v>310</v>
      </c>
      <c r="O168" t="e">
        <f t="shared" si="26"/>
        <v>#N/A</v>
      </c>
      <c r="P168" t="e">
        <f t="shared" si="27"/>
        <v>#N/A</v>
      </c>
      <c r="Q168" t="e">
        <f t="shared" si="28"/>
        <v>#N/A</v>
      </c>
      <c r="U168">
        <f>C168/Navio!$J$4</f>
        <v>12.539829512025671</v>
      </c>
    </row>
    <row r="169" spans="1:21" x14ac:dyDescent="0.3">
      <c r="A169">
        <v>167</v>
      </c>
      <c r="B169" s="47">
        <v>472.72624909830984</v>
      </c>
      <c r="C169" s="46">
        <v>247.51767728560907</v>
      </c>
      <c r="D169" s="1">
        <v>10</v>
      </c>
      <c r="E169" s="1">
        <v>12</v>
      </c>
      <c r="F169" s="1">
        <v>8</v>
      </c>
      <c r="G169" s="1" t="s">
        <v>50</v>
      </c>
      <c r="H169" s="1" t="s">
        <v>50</v>
      </c>
      <c r="I169" s="1" t="s">
        <v>50</v>
      </c>
      <c r="J169" s="1" t="s">
        <v>50</v>
      </c>
      <c r="K169" s="1" t="s">
        <v>50</v>
      </c>
      <c r="L169">
        <f t="shared" si="24"/>
        <v>290.36739528320618</v>
      </c>
      <c r="M169">
        <f t="shared" si="23"/>
        <v>82.076561445310972</v>
      </c>
      <c r="N169">
        <f t="shared" si="25"/>
        <v>310</v>
      </c>
      <c r="O169" t="e">
        <f t="shared" si="26"/>
        <v>#N/A</v>
      </c>
      <c r="P169" t="e">
        <f t="shared" si="27"/>
        <v>#N/A</v>
      </c>
      <c r="Q169" t="e">
        <f t="shared" si="28"/>
        <v>#N/A</v>
      </c>
      <c r="U169">
        <f>C169/Navio!$J$4</f>
        <v>13.364896928939521</v>
      </c>
    </row>
    <row r="170" spans="1:21" x14ac:dyDescent="0.3">
      <c r="A170">
        <v>168</v>
      </c>
      <c r="B170" s="47">
        <v>630.9318807260679</v>
      </c>
      <c r="C170" s="46">
        <v>251.04415567187215</v>
      </c>
      <c r="D170" s="1">
        <v>10</v>
      </c>
      <c r="E170" s="1">
        <v>13</v>
      </c>
      <c r="F170" s="1">
        <v>8</v>
      </c>
      <c r="G170" s="1" t="s">
        <v>50</v>
      </c>
      <c r="H170" s="1" t="s">
        <v>50</v>
      </c>
      <c r="I170" s="1" t="s">
        <v>50</v>
      </c>
      <c r="J170" s="1" t="s">
        <v>50</v>
      </c>
      <c r="K170" s="1" t="s">
        <v>50</v>
      </c>
      <c r="L170">
        <f t="shared" si="24"/>
        <v>290.36739528320618</v>
      </c>
      <c r="M170">
        <f t="shared" si="23"/>
        <v>185.56448544286178</v>
      </c>
      <c r="N170">
        <f t="shared" si="25"/>
        <v>310</v>
      </c>
      <c r="O170" t="e">
        <f t="shared" si="26"/>
        <v>#N/A</v>
      </c>
      <c r="P170" t="e">
        <f t="shared" si="27"/>
        <v>#N/A</v>
      </c>
      <c r="Q170" t="e">
        <f t="shared" si="28"/>
        <v>#N/A</v>
      </c>
      <c r="U170">
        <f>C170/Navio!$J$4</f>
        <v>13.555311693134948</v>
      </c>
    </row>
    <row r="171" spans="1:21" x14ac:dyDescent="0.3">
      <c r="A171">
        <v>169</v>
      </c>
      <c r="B171" s="47">
        <v>541.56480953940422</v>
      </c>
      <c r="C171" s="46">
        <v>271.55800566414564</v>
      </c>
      <c r="D171" s="1">
        <v>10</v>
      </c>
      <c r="E171" s="1">
        <v>14</v>
      </c>
      <c r="F171" s="1">
        <v>8</v>
      </c>
      <c r="G171" s="1" t="s">
        <v>50</v>
      </c>
      <c r="H171" s="1" t="s">
        <v>50</v>
      </c>
      <c r="I171" s="1" t="s">
        <v>50</v>
      </c>
      <c r="J171" s="1" t="s">
        <v>50</v>
      </c>
      <c r="K171" s="1" t="s">
        <v>50</v>
      </c>
      <c r="L171">
        <f t="shared" si="24"/>
        <v>290.36739528320618</v>
      </c>
      <c r="M171">
        <f t="shared" si="23"/>
        <v>96.197414256198073</v>
      </c>
      <c r="N171">
        <f t="shared" si="25"/>
        <v>310</v>
      </c>
      <c r="O171" t="e">
        <f t="shared" si="26"/>
        <v>#N/A</v>
      </c>
      <c r="P171" t="e">
        <f t="shared" si="27"/>
        <v>#N/A</v>
      </c>
      <c r="Q171" t="e">
        <f t="shared" si="28"/>
        <v>#N/A</v>
      </c>
      <c r="U171">
        <f>C171/Navio!$J$4</f>
        <v>14.662971936916664</v>
      </c>
    </row>
    <row r="172" spans="1:21" x14ac:dyDescent="0.3">
      <c r="A172">
        <v>170</v>
      </c>
      <c r="B172" s="47">
        <v>655.51482195709991</v>
      </c>
      <c r="C172" s="46">
        <v>272.73637809527747</v>
      </c>
      <c r="D172" s="1">
        <v>10</v>
      </c>
      <c r="E172" s="1">
        <v>15</v>
      </c>
      <c r="F172" s="1">
        <v>8</v>
      </c>
      <c r="G172" s="1" t="s">
        <v>50</v>
      </c>
      <c r="H172" s="1" t="s">
        <v>50</v>
      </c>
      <c r="I172" s="1" t="s">
        <v>50</v>
      </c>
      <c r="J172" s="1" t="s">
        <v>50</v>
      </c>
      <c r="K172" s="1" t="s">
        <v>50</v>
      </c>
      <c r="L172">
        <f t="shared" si="24"/>
        <v>290.36739528320618</v>
      </c>
      <c r="M172">
        <f t="shared" si="23"/>
        <v>210.14742667389368</v>
      </c>
      <c r="N172">
        <f t="shared" si="25"/>
        <v>310</v>
      </c>
      <c r="O172" t="e">
        <f t="shared" si="26"/>
        <v>#N/A</v>
      </c>
      <c r="P172" t="e">
        <f t="shared" si="27"/>
        <v>#N/A</v>
      </c>
      <c r="Q172" t="e">
        <f t="shared" si="28"/>
        <v>#N/A</v>
      </c>
      <c r="U172">
        <f>C172/Navio!$J$4</f>
        <v>14.72659901300549</v>
      </c>
    </row>
    <row r="173" spans="1:21" x14ac:dyDescent="0.3">
      <c r="A173">
        <v>171</v>
      </c>
      <c r="B173" s="47">
        <v>503.02339042229778</v>
      </c>
      <c r="C173" s="46">
        <v>284.0184077665856</v>
      </c>
      <c r="D173" s="1">
        <v>10</v>
      </c>
      <c r="E173" s="1">
        <v>16</v>
      </c>
      <c r="F173" s="1">
        <v>8</v>
      </c>
      <c r="G173" s="1" t="s">
        <v>50</v>
      </c>
      <c r="H173" s="1" t="s">
        <v>50</v>
      </c>
      <c r="I173" s="1" t="s">
        <v>50</v>
      </c>
      <c r="J173" s="1" t="s">
        <v>50</v>
      </c>
      <c r="K173" s="1" t="s">
        <v>50</v>
      </c>
      <c r="L173">
        <f t="shared" si="24"/>
        <v>290.36739528320618</v>
      </c>
      <c r="M173">
        <f t="shared" si="23"/>
        <v>172.96798541727486</v>
      </c>
      <c r="N173">
        <f t="shared" si="25"/>
        <v>310</v>
      </c>
      <c r="O173" t="e">
        <f t="shared" si="26"/>
        <v>#N/A</v>
      </c>
      <c r="P173" t="e">
        <f t="shared" si="27"/>
        <v>#N/A</v>
      </c>
      <c r="Q173" t="e">
        <f t="shared" si="28"/>
        <v>#N/A</v>
      </c>
      <c r="U173">
        <f>C173/Navio!$J$4</f>
        <v>15.335780407077326</v>
      </c>
    </row>
    <row r="174" spans="1:21" x14ac:dyDescent="0.3">
      <c r="A174">
        <v>172</v>
      </c>
      <c r="B174" s="47">
        <v>749.7630730595489</v>
      </c>
      <c r="C174" s="46">
        <v>280.82220449160536</v>
      </c>
      <c r="D174" s="1">
        <v>10</v>
      </c>
      <c r="E174" s="1">
        <v>17</v>
      </c>
      <c r="F174" s="1">
        <v>8</v>
      </c>
      <c r="G174" s="1" t="s">
        <v>50</v>
      </c>
      <c r="H174" s="1" t="s">
        <v>50</v>
      </c>
      <c r="I174" s="1" t="s">
        <v>50</v>
      </c>
      <c r="J174" s="1" t="s">
        <v>50</v>
      </c>
      <c r="K174" s="1" t="s">
        <v>50</v>
      </c>
      <c r="L174">
        <f t="shared" si="24"/>
        <v>290.36739528320618</v>
      </c>
      <c r="M174">
        <f t="shared" si="23"/>
        <v>304.39567777634272</v>
      </c>
      <c r="N174">
        <f t="shared" si="25"/>
        <v>310</v>
      </c>
      <c r="O174" t="e">
        <f t="shared" si="26"/>
        <v>#N/A</v>
      </c>
      <c r="P174" t="e">
        <f t="shared" si="27"/>
        <v>#N/A</v>
      </c>
      <c r="Q174" t="e">
        <f t="shared" si="28"/>
        <v>#N/A</v>
      </c>
      <c r="U174">
        <f>C174/Navio!$J$4</f>
        <v>15.16319908762369</v>
      </c>
    </row>
    <row r="175" spans="1:21" x14ac:dyDescent="0.3">
      <c r="A175">
        <v>173</v>
      </c>
      <c r="B175" s="47">
        <v>461.3514369954774</v>
      </c>
      <c r="C175" s="46">
        <v>245.85282859054246</v>
      </c>
      <c r="D175" s="1">
        <v>11</v>
      </c>
      <c r="E175" s="1">
        <v>12</v>
      </c>
      <c r="F175" s="1">
        <v>8</v>
      </c>
      <c r="G175" s="1" t="s">
        <v>50</v>
      </c>
      <c r="H175" s="1" t="s">
        <v>50</v>
      </c>
      <c r="I175" s="1" t="s">
        <v>50</v>
      </c>
      <c r="J175" s="1" t="s">
        <v>50</v>
      </c>
      <c r="K175" s="1" t="s">
        <v>50</v>
      </c>
      <c r="L175">
        <f t="shared" si="24"/>
        <v>278.99258318037374</v>
      </c>
      <c r="M175">
        <f t="shared" si="23"/>
        <v>82.076561445310972</v>
      </c>
      <c r="N175">
        <f t="shared" si="25"/>
        <v>310</v>
      </c>
      <c r="O175" t="e">
        <f t="shared" si="26"/>
        <v>#N/A</v>
      </c>
      <c r="P175" t="e">
        <f t="shared" si="27"/>
        <v>#N/A</v>
      </c>
      <c r="Q175" t="e">
        <f t="shared" si="28"/>
        <v>#N/A</v>
      </c>
      <c r="U175">
        <f>C175/Navio!$J$4</f>
        <v>13.275002213314139</v>
      </c>
    </row>
    <row r="176" spans="1:21" x14ac:dyDescent="0.3">
      <c r="A176">
        <v>174</v>
      </c>
      <c r="B176" s="47">
        <v>619.55706862323552</v>
      </c>
      <c r="C176" s="46">
        <v>248.546474397385</v>
      </c>
      <c r="D176" s="1">
        <v>11</v>
      </c>
      <c r="E176" s="1">
        <v>13</v>
      </c>
      <c r="F176" s="1">
        <v>8</v>
      </c>
      <c r="G176" s="1" t="s">
        <v>50</v>
      </c>
      <c r="H176" s="1" t="s">
        <v>50</v>
      </c>
      <c r="I176" s="1" t="s">
        <v>50</v>
      </c>
      <c r="J176" s="1" t="s">
        <v>50</v>
      </c>
      <c r="K176" s="1" t="s">
        <v>50</v>
      </c>
      <c r="L176">
        <f t="shared" si="24"/>
        <v>278.99258318037374</v>
      </c>
      <c r="M176">
        <f t="shared" si="23"/>
        <v>185.56448544286178</v>
      </c>
      <c r="N176">
        <f t="shared" si="25"/>
        <v>310</v>
      </c>
      <c r="O176" t="e">
        <f t="shared" si="26"/>
        <v>#N/A</v>
      </c>
      <c r="P176" t="e">
        <f t="shared" si="27"/>
        <v>#N/A</v>
      </c>
      <c r="Q176" t="e">
        <f t="shared" si="28"/>
        <v>#N/A</v>
      </c>
      <c r="U176">
        <f>C176/Navio!$J$4</f>
        <v>13.420447576919342</v>
      </c>
    </row>
    <row r="177" spans="1:21" x14ac:dyDescent="0.3">
      <c r="A177">
        <v>175</v>
      </c>
      <c r="B177" s="47">
        <v>530.18999743657184</v>
      </c>
      <c r="C177" s="46">
        <v>269.36236020846781</v>
      </c>
      <c r="D177" s="1">
        <v>11</v>
      </c>
      <c r="E177" s="1">
        <v>14</v>
      </c>
      <c r="F177" s="1">
        <v>8</v>
      </c>
      <c r="G177" s="1" t="s">
        <v>50</v>
      </c>
      <c r="H177" s="1" t="s">
        <v>50</v>
      </c>
      <c r="I177" s="1" t="s">
        <v>50</v>
      </c>
      <c r="J177" s="1" t="s">
        <v>50</v>
      </c>
      <c r="K177" s="1" t="s">
        <v>50</v>
      </c>
      <c r="L177">
        <f t="shared" si="24"/>
        <v>278.99258318037374</v>
      </c>
      <c r="M177">
        <f t="shared" si="23"/>
        <v>96.197414256198073</v>
      </c>
      <c r="N177">
        <f t="shared" si="25"/>
        <v>310</v>
      </c>
      <c r="O177" t="e">
        <f t="shared" si="26"/>
        <v>#N/A</v>
      </c>
      <c r="P177" t="e">
        <f t="shared" si="27"/>
        <v>#N/A</v>
      </c>
      <c r="Q177" t="e">
        <f t="shared" si="28"/>
        <v>#N/A</v>
      </c>
      <c r="U177">
        <f>C177/Navio!$J$4</f>
        <v>14.54441646431594</v>
      </c>
    </row>
    <row r="178" spans="1:21" x14ac:dyDescent="0.3">
      <c r="A178">
        <v>176</v>
      </c>
      <c r="B178" s="47">
        <v>644.14000985426742</v>
      </c>
      <c r="C178" s="46">
        <v>270.00929920032036</v>
      </c>
      <c r="D178" s="1">
        <v>11</v>
      </c>
      <c r="E178" s="1">
        <v>15</v>
      </c>
      <c r="F178" s="1">
        <v>8</v>
      </c>
      <c r="G178" s="1" t="s">
        <v>50</v>
      </c>
      <c r="H178" s="1" t="s">
        <v>50</v>
      </c>
      <c r="I178" s="1" t="s">
        <v>50</v>
      </c>
      <c r="J178" s="1" t="s">
        <v>50</v>
      </c>
      <c r="K178" s="1" t="s">
        <v>50</v>
      </c>
      <c r="L178">
        <f t="shared" si="24"/>
        <v>278.99258318037374</v>
      </c>
      <c r="M178">
        <f t="shared" si="23"/>
        <v>210.14742667389368</v>
      </c>
      <c r="N178">
        <f t="shared" si="25"/>
        <v>310</v>
      </c>
      <c r="O178" t="e">
        <f t="shared" si="26"/>
        <v>#N/A</v>
      </c>
      <c r="P178" t="e">
        <f t="shared" si="27"/>
        <v>#N/A</v>
      </c>
      <c r="Q178" t="e">
        <f t="shared" si="28"/>
        <v>#N/A</v>
      </c>
      <c r="U178">
        <f>C178/Navio!$J$4</f>
        <v>14.57934840550188</v>
      </c>
    </row>
    <row r="179" spans="1:21" x14ac:dyDescent="0.3">
      <c r="A179">
        <v>177</v>
      </c>
      <c r="B179" s="47">
        <v>491.64857831946534</v>
      </c>
      <c r="C179" s="46">
        <v>281.36431300116919</v>
      </c>
      <c r="D179" s="1">
        <v>11</v>
      </c>
      <c r="E179" s="1">
        <v>16</v>
      </c>
      <c r="F179" s="1">
        <v>8</v>
      </c>
      <c r="G179" s="1" t="s">
        <v>50</v>
      </c>
      <c r="H179" s="1" t="s">
        <v>50</v>
      </c>
      <c r="I179" s="1" t="s">
        <v>50</v>
      </c>
      <c r="J179" s="1" t="s">
        <v>50</v>
      </c>
      <c r="K179" s="1" t="s">
        <v>50</v>
      </c>
      <c r="L179">
        <f t="shared" si="24"/>
        <v>278.99258318037374</v>
      </c>
      <c r="M179">
        <f t="shared" si="23"/>
        <v>172.96798541727486</v>
      </c>
      <c r="N179">
        <f t="shared" si="25"/>
        <v>310</v>
      </c>
      <c r="O179" t="e">
        <f t="shared" si="26"/>
        <v>#N/A</v>
      </c>
      <c r="P179" t="e">
        <f t="shared" si="27"/>
        <v>#N/A</v>
      </c>
      <c r="Q179" t="e">
        <f t="shared" si="28"/>
        <v>#N/A</v>
      </c>
      <c r="U179">
        <f>C179/Navio!$J$4</f>
        <v>15.192470630707303</v>
      </c>
    </row>
    <row r="180" spans="1:21" x14ac:dyDescent="0.3">
      <c r="A180">
        <v>178</v>
      </c>
      <c r="B180" s="47">
        <v>738.38826095671652</v>
      </c>
      <c r="C180" s="46">
        <v>278.65841511952863</v>
      </c>
      <c r="D180" s="1">
        <v>11</v>
      </c>
      <c r="E180" s="1">
        <v>17</v>
      </c>
      <c r="F180" s="1">
        <v>8</v>
      </c>
      <c r="G180" s="1" t="s">
        <v>50</v>
      </c>
      <c r="H180" s="1" t="s">
        <v>50</v>
      </c>
      <c r="I180" s="1" t="s">
        <v>50</v>
      </c>
      <c r="J180" s="1" t="s">
        <v>50</v>
      </c>
      <c r="K180" s="1" t="s">
        <v>50</v>
      </c>
      <c r="L180">
        <f t="shared" si="24"/>
        <v>278.99258318037374</v>
      </c>
      <c r="M180">
        <f t="shared" si="23"/>
        <v>304.39567777634272</v>
      </c>
      <c r="N180">
        <f t="shared" si="25"/>
        <v>310</v>
      </c>
      <c r="O180" t="e">
        <f t="shared" si="26"/>
        <v>#N/A</v>
      </c>
      <c r="P180" t="e">
        <f t="shared" si="27"/>
        <v>#N/A</v>
      </c>
      <c r="Q180" t="e">
        <f t="shared" si="28"/>
        <v>#N/A</v>
      </c>
      <c r="U180">
        <f>C180/Navio!$J$4</f>
        <v>15.046363707416194</v>
      </c>
    </row>
    <row r="181" spans="1:21" x14ac:dyDescent="0.3">
      <c r="A181">
        <v>179</v>
      </c>
      <c r="B181" s="47">
        <v>367.92333925796544</v>
      </c>
      <c r="C181" s="46">
        <v>252.89443379549994</v>
      </c>
      <c r="D181" s="1">
        <v>13</v>
      </c>
      <c r="E181" s="1">
        <v>12</v>
      </c>
      <c r="F181" s="1">
        <v>8</v>
      </c>
      <c r="G181" s="1" t="s">
        <v>50</v>
      </c>
      <c r="H181" s="1" t="s">
        <v>50</v>
      </c>
      <c r="I181" s="1" t="s">
        <v>50</v>
      </c>
      <c r="J181" s="1" t="s">
        <v>50</v>
      </c>
      <c r="K181" s="1" t="s">
        <v>50</v>
      </c>
      <c r="L181">
        <f t="shared" si="24"/>
        <v>185.56448544286178</v>
      </c>
      <c r="M181">
        <f t="shared" si="23"/>
        <v>82.076561445310972</v>
      </c>
      <c r="N181">
        <f t="shared" si="25"/>
        <v>310</v>
      </c>
      <c r="O181" t="e">
        <f t="shared" si="26"/>
        <v>#N/A</v>
      </c>
      <c r="P181" t="e">
        <f t="shared" si="27"/>
        <v>#N/A</v>
      </c>
      <c r="Q181" t="e">
        <f t="shared" si="28"/>
        <v>#N/A</v>
      </c>
      <c r="U181">
        <f>C181/Navio!$J$4</f>
        <v>13.655218805561599</v>
      </c>
    </row>
    <row r="182" spans="1:21" x14ac:dyDescent="0.3">
      <c r="A182">
        <v>180</v>
      </c>
      <c r="B182" s="47">
        <v>278.5562680713017</v>
      </c>
      <c r="C182" s="46">
        <v>258.58457305113569</v>
      </c>
      <c r="D182" s="1">
        <v>14</v>
      </c>
      <c r="E182" s="1">
        <v>12</v>
      </c>
      <c r="F182" s="1">
        <v>8</v>
      </c>
      <c r="G182" s="1" t="s">
        <v>50</v>
      </c>
      <c r="H182" s="1" t="s">
        <v>50</v>
      </c>
      <c r="I182" s="1" t="s">
        <v>50</v>
      </c>
      <c r="J182" s="1" t="s">
        <v>50</v>
      </c>
      <c r="K182" s="1" t="s">
        <v>50</v>
      </c>
      <c r="L182">
        <f t="shared" si="24"/>
        <v>96.197414256198073</v>
      </c>
      <c r="M182">
        <f t="shared" si="23"/>
        <v>82.076561445310972</v>
      </c>
      <c r="N182">
        <f t="shared" si="25"/>
        <v>310</v>
      </c>
      <c r="O182" t="e">
        <f t="shared" si="26"/>
        <v>#N/A</v>
      </c>
      <c r="P182" t="e">
        <f t="shared" si="27"/>
        <v>#N/A</v>
      </c>
      <c r="Q182" t="e">
        <f t="shared" si="28"/>
        <v>#N/A</v>
      </c>
      <c r="U182">
        <f>C182/Navio!$J$4</f>
        <v>13.962462011367595</v>
      </c>
    </row>
    <row r="183" spans="1:21" x14ac:dyDescent="0.3">
      <c r="A183">
        <v>181</v>
      </c>
      <c r="B183" s="47">
        <v>392.50628048899733</v>
      </c>
      <c r="C183" s="46">
        <v>265.20827472276721</v>
      </c>
      <c r="D183" s="1">
        <v>12</v>
      </c>
      <c r="E183" s="1">
        <v>15</v>
      </c>
      <c r="F183" s="1">
        <v>8</v>
      </c>
      <c r="G183" s="1" t="s">
        <v>50</v>
      </c>
      <c r="H183" s="1" t="s">
        <v>50</v>
      </c>
      <c r="I183" s="1" t="s">
        <v>50</v>
      </c>
      <c r="J183" s="1" t="s">
        <v>50</v>
      </c>
      <c r="K183" s="1" t="s">
        <v>50</v>
      </c>
      <c r="L183">
        <f t="shared" si="24"/>
        <v>82.076561445310972</v>
      </c>
      <c r="M183">
        <f t="shared" si="23"/>
        <v>210.14742667389368</v>
      </c>
      <c r="N183">
        <f t="shared" si="25"/>
        <v>310</v>
      </c>
      <c r="O183" t="e">
        <f t="shared" si="26"/>
        <v>#N/A</v>
      </c>
      <c r="P183" t="e">
        <f t="shared" si="27"/>
        <v>#N/A</v>
      </c>
      <c r="Q183" t="e">
        <f t="shared" si="28"/>
        <v>#N/A</v>
      </c>
      <c r="U183">
        <f>C183/Navio!$J$4</f>
        <v>14.320113598519697</v>
      </c>
    </row>
    <row r="184" spans="1:21" x14ac:dyDescent="0.3">
      <c r="A184">
        <v>182</v>
      </c>
      <c r="B184" s="47">
        <v>240.01484895419529</v>
      </c>
      <c r="C184" s="46">
        <v>277.52916348842365</v>
      </c>
      <c r="D184" s="1">
        <v>12</v>
      </c>
      <c r="E184" s="1">
        <v>16</v>
      </c>
      <c r="F184" s="1">
        <v>8</v>
      </c>
      <c r="G184" s="1" t="s">
        <v>50</v>
      </c>
      <c r="H184" s="1" t="s">
        <v>50</v>
      </c>
      <c r="I184" s="1" t="s">
        <v>50</v>
      </c>
      <c r="J184" s="1" t="s">
        <v>50</v>
      </c>
      <c r="K184" s="1" t="s">
        <v>50</v>
      </c>
      <c r="L184">
        <f t="shared" si="24"/>
        <v>82.076561445310972</v>
      </c>
      <c r="M184">
        <f t="shared" si="23"/>
        <v>172.96798541727486</v>
      </c>
      <c r="N184">
        <f t="shared" si="25"/>
        <v>310</v>
      </c>
      <c r="O184" t="e">
        <f t="shared" si="26"/>
        <v>#N/A</v>
      </c>
      <c r="P184" t="e">
        <f t="shared" si="27"/>
        <v>#N/A</v>
      </c>
      <c r="Q184" t="e">
        <f t="shared" si="28"/>
        <v>#N/A</v>
      </c>
      <c r="U184">
        <f>C184/Navio!$J$4</f>
        <v>14.985388944635353</v>
      </c>
    </row>
    <row r="185" spans="1:21" x14ac:dyDescent="0.3">
      <c r="A185">
        <v>183</v>
      </c>
      <c r="B185" s="47">
        <v>486.75453159144638</v>
      </c>
      <c r="C185" s="46">
        <v>278.77986799302096</v>
      </c>
      <c r="D185" s="1">
        <v>17</v>
      </c>
      <c r="E185" s="1">
        <v>12</v>
      </c>
      <c r="F185" s="1">
        <v>8</v>
      </c>
      <c r="G185" s="1" t="s">
        <v>50</v>
      </c>
      <c r="H185" s="1" t="s">
        <v>50</v>
      </c>
      <c r="I185" s="1" t="s">
        <v>50</v>
      </c>
      <c r="J185" s="1" t="s">
        <v>50</v>
      </c>
      <c r="K185" s="1" t="s">
        <v>50</v>
      </c>
      <c r="L185">
        <f t="shared" si="24"/>
        <v>304.39567777634272</v>
      </c>
      <c r="M185">
        <f t="shared" si="23"/>
        <v>82.076561445310972</v>
      </c>
      <c r="N185">
        <f t="shared" si="25"/>
        <v>310</v>
      </c>
      <c r="O185" t="e">
        <f t="shared" si="26"/>
        <v>#N/A</v>
      </c>
      <c r="P185" t="e">
        <f t="shared" si="27"/>
        <v>#N/A</v>
      </c>
      <c r="Q185" t="e">
        <f t="shared" si="28"/>
        <v>#N/A</v>
      </c>
      <c r="U185">
        <f>C185/Navio!$J$4</f>
        <v>15.052921643615942</v>
      </c>
    </row>
    <row r="186" spans="1:21" x14ac:dyDescent="0.3">
      <c r="A186">
        <v>184</v>
      </c>
      <c r="B186" s="47">
        <v>436.76189969905988</v>
      </c>
      <c r="C186" s="46">
        <v>271.25352939211189</v>
      </c>
      <c r="D186" s="1">
        <v>14</v>
      </c>
      <c r="E186" s="1">
        <v>13</v>
      </c>
      <c r="F186" s="1">
        <v>8</v>
      </c>
      <c r="G186" s="1" t="s">
        <v>50</v>
      </c>
      <c r="H186" s="1" t="s">
        <v>50</v>
      </c>
      <c r="I186" s="1" t="s">
        <v>50</v>
      </c>
      <c r="J186" s="1" t="s">
        <v>50</v>
      </c>
      <c r="K186" s="1" t="s">
        <v>50</v>
      </c>
      <c r="L186">
        <f t="shared" si="24"/>
        <v>96.197414256198073</v>
      </c>
      <c r="M186">
        <f t="shared" si="23"/>
        <v>185.56448544286178</v>
      </c>
      <c r="N186">
        <f t="shared" si="25"/>
        <v>310</v>
      </c>
      <c r="O186" t="e">
        <f t="shared" si="26"/>
        <v>#N/A</v>
      </c>
      <c r="P186" t="e">
        <f t="shared" si="27"/>
        <v>#N/A</v>
      </c>
      <c r="Q186" t="e">
        <f t="shared" si="28"/>
        <v>#N/A</v>
      </c>
      <c r="U186">
        <f>C186/Navio!$J$4</f>
        <v>14.646531519255733</v>
      </c>
    </row>
    <row r="187" spans="1:21" x14ac:dyDescent="0.3">
      <c r="A187">
        <v>185</v>
      </c>
      <c r="B187" s="47">
        <v>550.71191211675546</v>
      </c>
      <c r="C187" s="46">
        <v>269.89452114302026</v>
      </c>
      <c r="D187" s="1">
        <v>13</v>
      </c>
      <c r="E187" s="1">
        <v>15</v>
      </c>
      <c r="F187" s="1">
        <v>8</v>
      </c>
      <c r="G187" s="1" t="s">
        <v>50</v>
      </c>
      <c r="H187" s="1" t="s">
        <v>50</v>
      </c>
      <c r="I187" s="1" t="s">
        <v>50</v>
      </c>
      <c r="J187" s="1" t="s">
        <v>50</v>
      </c>
      <c r="K187" s="1" t="s">
        <v>50</v>
      </c>
      <c r="L187">
        <f t="shared" si="24"/>
        <v>185.56448544286178</v>
      </c>
      <c r="M187">
        <f t="shared" si="23"/>
        <v>210.14742667389368</v>
      </c>
      <c r="N187">
        <f t="shared" si="25"/>
        <v>310</v>
      </c>
      <c r="O187" t="e">
        <f t="shared" si="26"/>
        <v>#N/A</v>
      </c>
      <c r="P187" t="e">
        <f t="shared" si="27"/>
        <v>#N/A</v>
      </c>
      <c r="Q187" t="e">
        <f t="shared" si="28"/>
        <v>#N/A</v>
      </c>
      <c r="U187">
        <f>C187/Navio!$J$4</f>
        <v>14.573150880854985</v>
      </c>
    </row>
    <row r="188" spans="1:21" x14ac:dyDescent="0.3">
      <c r="A188">
        <v>186</v>
      </c>
      <c r="B188" s="47">
        <v>398.22048058195338</v>
      </c>
      <c r="C188" s="46">
        <v>280.69033283417036</v>
      </c>
      <c r="D188" s="1">
        <v>13</v>
      </c>
      <c r="E188" s="1">
        <v>16</v>
      </c>
      <c r="F188" s="1">
        <v>8</v>
      </c>
      <c r="G188" s="1" t="s">
        <v>50</v>
      </c>
      <c r="H188" s="1" t="s">
        <v>50</v>
      </c>
      <c r="I188" s="1" t="s">
        <v>50</v>
      </c>
      <c r="J188" s="1" t="s">
        <v>50</v>
      </c>
      <c r="K188" s="1" t="s">
        <v>50</v>
      </c>
      <c r="L188">
        <f t="shared" si="24"/>
        <v>185.56448544286178</v>
      </c>
      <c r="M188">
        <f t="shared" si="23"/>
        <v>172.96798541727486</v>
      </c>
      <c r="N188">
        <f t="shared" si="25"/>
        <v>310</v>
      </c>
      <c r="O188" t="e">
        <f t="shared" si="26"/>
        <v>#N/A</v>
      </c>
      <c r="P188" t="e">
        <f t="shared" si="27"/>
        <v>#N/A</v>
      </c>
      <c r="Q188" t="e">
        <f t="shared" si="28"/>
        <v>#N/A</v>
      </c>
      <c r="U188">
        <f>C188/Navio!$J$4</f>
        <v>15.156078581610565</v>
      </c>
    </row>
    <row r="189" spans="1:21" x14ac:dyDescent="0.3">
      <c r="A189">
        <v>187</v>
      </c>
      <c r="B189" s="47">
        <v>644.96016321920456</v>
      </c>
      <c r="C189" s="46">
        <v>277.86134966444934</v>
      </c>
      <c r="D189" s="1">
        <v>13</v>
      </c>
      <c r="E189" s="1">
        <v>17</v>
      </c>
      <c r="F189" s="1">
        <v>8</v>
      </c>
      <c r="G189" s="1" t="s">
        <v>50</v>
      </c>
      <c r="H189" s="1" t="s">
        <v>50</v>
      </c>
      <c r="I189" s="1" t="s">
        <v>50</v>
      </c>
      <c r="J189" s="1" t="s">
        <v>50</v>
      </c>
      <c r="K189" s="1" t="s">
        <v>50</v>
      </c>
      <c r="L189">
        <f t="shared" si="24"/>
        <v>185.56448544286178</v>
      </c>
      <c r="M189">
        <f t="shared" si="23"/>
        <v>304.39567777634272</v>
      </c>
      <c r="N189">
        <f t="shared" si="25"/>
        <v>310</v>
      </c>
      <c r="O189" t="e">
        <f t="shared" si="26"/>
        <v>#N/A</v>
      </c>
      <c r="P189" t="e">
        <f t="shared" si="27"/>
        <v>#N/A</v>
      </c>
      <c r="Q189" t="e">
        <f t="shared" si="28"/>
        <v>#N/A</v>
      </c>
      <c r="U189">
        <f>C189/Navio!$J$4</f>
        <v>15.003325578707267</v>
      </c>
    </row>
    <row r="190" spans="1:21" x14ac:dyDescent="0.3">
      <c r="A190">
        <v>188</v>
      </c>
      <c r="B190" s="47">
        <v>461.34484093009178</v>
      </c>
      <c r="C190" s="46">
        <v>270.62150379161471</v>
      </c>
      <c r="D190" s="1">
        <v>14</v>
      </c>
      <c r="E190" s="1">
        <v>15</v>
      </c>
      <c r="F190" s="1">
        <v>8</v>
      </c>
      <c r="G190" s="1" t="s">
        <v>50</v>
      </c>
      <c r="H190" s="1" t="s">
        <v>50</v>
      </c>
      <c r="I190" s="1" t="s">
        <v>50</v>
      </c>
      <c r="J190" s="1" t="s">
        <v>50</v>
      </c>
      <c r="K190" s="1" t="s">
        <v>50</v>
      </c>
      <c r="L190">
        <f t="shared" si="24"/>
        <v>96.197414256198073</v>
      </c>
      <c r="M190">
        <f t="shared" si="23"/>
        <v>210.14742667389368</v>
      </c>
      <c r="N190">
        <f t="shared" si="25"/>
        <v>310</v>
      </c>
      <c r="O190" t="e">
        <f t="shared" si="26"/>
        <v>#N/A</v>
      </c>
      <c r="P190" t="e">
        <f t="shared" si="27"/>
        <v>#N/A</v>
      </c>
      <c r="Q190" t="e">
        <f t="shared" si="28"/>
        <v>#N/A</v>
      </c>
      <c r="U190">
        <f>C190/Navio!$J$4</f>
        <v>14.612404837477975</v>
      </c>
    </row>
    <row r="191" spans="1:21" x14ac:dyDescent="0.3">
      <c r="A191">
        <v>189</v>
      </c>
      <c r="B191" s="47">
        <v>308.8534093952897</v>
      </c>
      <c r="C191" s="46">
        <v>281.07285787579383</v>
      </c>
      <c r="D191" s="1">
        <v>14</v>
      </c>
      <c r="E191" s="1">
        <v>16</v>
      </c>
      <c r="F191" s="1">
        <v>8</v>
      </c>
      <c r="G191" s="1" t="s">
        <v>50</v>
      </c>
      <c r="H191" s="1" t="s">
        <v>50</v>
      </c>
      <c r="I191" s="1" t="s">
        <v>50</v>
      </c>
      <c r="J191" s="1" t="s">
        <v>50</v>
      </c>
      <c r="K191" s="1" t="s">
        <v>50</v>
      </c>
      <c r="L191">
        <f t="shared" si="24"/>
        <v>96.197414256198073</v>
      </c>
      <c r="M191">
        <f t="shared" si="23"/>
        <v>172.96798541727486</v>
      </c>
      <c r="N191">
        <f t="shared" si="25"/>
        <v>310</v>
      </c>
      <c r="O191" t="e">
        <f t="shared" si="26"/>
        <v>#N/A</v>
      </c>
      <c r="P191" t="e">
        <f t="shared" si="27"/>
        <v>#N/A</v>
      </c>
      <c r="Q191" t="e">
        <f t="shared" si="28"/>
        <v>#N/A</v>
      </c>
      <c r="U191">
        <f>C191/Navio!$J$4</f>
        <v>15.176733299326491</v>
      </c>
    </row>
    <row r="192" spans="1:21" x14ac:dyDescent="0.3">
      <c r="A192">
        <v>190</v>
      </c>
      <c r="B192" s="47">
        <v>555.59309203254077</v>
      </c>
      <c r="C192" s="46">
        <v>286.5749012806786</v>
      </c>
      <c r="D192" s="1">
        <v>14</v>
      </c>
      <c r="E192" s="1">
        <v>17</v>
      </c>
      <c r="F192" s="1">
        <v>8</v>
      </c>
      <c r="G192" s="1" t="s">
        <v>50</v>
      </c>
      <c r="H192" s="1" t="s">
        <v>50</v>
      </c>
      <c r="I192" s="1" t="s">
        <v>50</v>
      </c>
      <c r="J192" s="1" t="s">
        <v>50</v>
      </c>
      <c r="K192" s="1" t="s">
        <v>50</v>
      </c>
      <c r="L192">
        <f t="shared" si="24"/>
        <v>96.197414256198073</v>
      </c>
      <c r="M192">
        <f t="shared" si="23"/>
        <v>304.39567777634272</v>
      </c>
      <c r="N192">
        <f t="shared" si="25"/>
        <v>310</v>
      </c>
      <c r="O192" t="e">
        <f t="shared" si="26"/>
        <v>#N/A</v>
      </c>
      <c r="P192" t="e">
        <f t="shared" si="27"/>
        <v>#N/A</v>
      </c>
      <c r="Q192" t="e">
        <f t="shared" si="28"/>
        <v>#N/A</v>
      </c>
      <c r="U192">
        <f>C192/Navio!$J$4</f>
        <v>15.473820132926605</v>
      </c>
    </row>
    <row r="193" spans="1:21" x14ac:dyDescent="0.3">
      <c r="A193">
        <v>191</v>
      </c>
      <c r="B193" s="47">
        <v>422.80342181298528</v>
      </c>
      <c r="C193" s="46">
        <v>277.52994667377124</v>
      </c>
      <c r="D193" s="1">
        <v>15</v>
      </c>
      <c r="E193" s="1">
        <v>16</v>
      </c>
      <c r="F193" s="1">
        <v>8</v>
      </c>
      <c r="G193" s="1" t="s">
        <v>50</v>
      </c>
      <c r="H193" s="1" t="s">
        <v>50</v>
      </c>
      <c r="I193" s="1" t="s">
        <v>50</v>
      </c>
      <c r="J193" s="1" t="s">
        <v>50</v>
      </c>
      <c r="K193" s="1" t="s">
        <v>50</v>
      </c>
      <c r="L193">
        <f t="shared" si="24"/>
        <v>210.14742667389368</v>
      </c>
      <c r="M193">
        <f t="shared" si="23"/>
        <v>172.96798541727486</v>
      </c>
      <c r="N193">
        <f t="shared" si="25"/>
        <v>310</v>
      </c>
      <c r="O193" t="e">
        <f t="shared" si="26"/>
        <v>#N/A</v>
      </c>
      <c r="P193" t="e">
        <f t="shared" si="27"/>
        <v>#N/A</v>
      </c>
      <c r="Q193" t="e">
        <f t="shared" si="28"/>
        <v>#N/A</v>
      </c>
      <c r="U193">
        <f>C193/Navio!$J$4</f>
        <v>14.985431233297568</v>
      </c>
    </row>
    <row r="194" spans="1:21" x14ac:dyDescent="0.3">
      <c r="A194">
        <v>192</v>
      </c>
      <c r="B194" s="47">
        <v>669.54310445023634</v>
      </c>
      <c r="C194" s="46">
        <v>281.104703338398</v>
      </c>
      <c r="D194" s="1">
        <v>17</v>
      </c>
      <c r="E194" s="1">
        <v>15</v>
      </c>
      <c r="F194" s="1">
        <v>8</v>
      </c>
      <c r="G194" s="1" t="s">
        <v>50</v>
      </c>
      <c r="H194" s="1" t="s">
        <v>50</v>
      </c>
      <c r="I194" s="1" t="s">
        <v>50</v>
      </c>
      <c r="J194" s="1" t="s">
        <v>50</v>
      </c>
      <c r="K194" s="1" t="s">
        <v>50</v>
      </c>
      <c r="L194">
        <f t="shared" si="24"/>
        <v>304.39567777634272</v>
      </c>
      <c r="M194">
        <f t="shared" si="23"/>
        <v>210.14742667389368</v>
      </c>
      <c r="N194">
        <f t="shared" si="25"/>
        <v>310</v>
      </c>
      <c r="O194" t="e">
        <f t="shared" si="26"/>
        <v>#N/A</v>
      </c>
      <c r="P194" t="e">
        <f t="shared" si="27"/>
        <v>#N/A</v>
      </c>
      <c r="Q194" t="e">
        <f t="shared" si="28"/>
        <v>#N/A</v>
      </c>
      <c r="U194">
        <f>C194/Navio!$J$4</f>
        <v>15.178452818231268</v>
      </c>
    </row>
    <row r="195" spans="1:21" x14ac:dyDescent="0.3">
      <c r="A195">
        <v>193</v>
      </c>
      <c r="B195" s="47">
        <v>517.05167291543432</v>
      </c>
      <c r="C195" s="46">
        <v>285.00150644827266</v>
      </c>
      <c r="D195" s="1">
        <v>17</v>
      </c>
      <c r="E195" s="1">
        <v>16</v>
      </c>
      <c r="F195" s="1">
        <v>8</v>
      </c>
      <c r="G195" s="1" t="s">
        <v>50</v>
      </c>
      <c r="H195" s="1" t="s">
        <v>50</v>
      </c>
      <c r="I195" s="1" t="s">
        <v>50</v>
      </c>
      <c r="J195" s="1" t="s">
        <v>50</v>
      </c>
      <c r="K195" s="1" t="s">
        <v>50</v>
      </c>
      <c r="L195">
        <f t="shared" si="24"/>
        <v>304.39567777634272</v>
      </c>
      <c r="M195">
        <f t="shared" ref="M195:M258" si="29">VLOOKUP(E195,$Y$2:$Z$80,2)</f>
        <v>172.96798541727486</v>
      </c>
      <c r="N195">
        <f t="shared" si="25"/>
        <v>310</v>
      </c>
      <c r="O195" t="e">
        <f t="shared" si="26"/>
        <v>#N/A</v>
      </c>
      <c r="P195" t="e">
        <f t="shared" si="27"/>
        <v>#N/A</v>
      </c>
      <c r="Q195" t="e">
        <f t="shared" si="28"/>
        <v>#N/A</v>
      </c>
      <c r="U195">
        <f>C195/Navio!$J$4</f>
        <v>15.38886353510201</v>
      </c>
    </row>
    <row r="196" spans="1:21" x14ac:dyDescent="0.3">
      <c r="A196">
        <v>194</v>
      </c>
      <c r="B196" s="47">
        <v>724.35997846357986</v>
      </c>
      <c r="C196" s="46">
        <v>229.77052047050259</v>
      </c>
      <c r="D196" s="1">
        <v>11</v>
      </c>
      <c r="E196" s="1">
        <v>10</v>
      </c>
      <c r="F196" s="1">
        <v>9</v>
      </c>
      <c r="G196" s="1" t="s">
        <v>50</v>
      </c>
      <c r="H196" s="1" t="s">
        <v>50</v>
      </c>
      <c r="I196" s="1" t="s">
        <v>50</v>
      </c>
      <c r="J196" s="1" t="s">
        <v>50</v>
      </c>
      <c r="K196" s="1" t="s">
        <v>50</v>
      </c>
      <c r="L196">
        <f t="shared" si="24"/>
        <v>278.99258318037374</v>
      </c>
      <c r="M196">
        <f t="shared" si="29"/>
        <v>290.36739528320618</v>
      </c>
      <c r="N196">
        <f t="shared" si="25"/>
        <v>310</v>
      </c>
      <c r="O196" t="e">
        <f t="shared" si="26"/>
        <v>#N/A</v>
      </c>
      <c r="P196" t="e">
        <f t="shared" si="27"/>
        <v>#N/A</v>
      </c>
      <c r="Q196" t="e">
        <f t="shared" si="28"/>
        <v>#N/A</v>
      </c>
      <c r="U196">
        <f>C196/Navio!$J$4</f>
        <v>12.406626294628687</v>
      </c>
    </row>
    <row r="197" spans="1:21" x14ac:dyDescent="0.3">
      <c r="A197">
        <v>195</v>
      </c>
      <c r="B197" s="47">
        <v>472.72624909830984</v>
      </c>
      <c r="C197" s="46">
        <v>247.60029295969977</v>
      </c>
      <c r="D197" s="1">
        <v>12</v>
      </c>
      <c r="E197" s="1">
        <v>10</v>
      </c>
      <c r="F197" s="1">
        <v>9</v>
      </c>
      <c r="G197" s="1" t="s">
        <v>50</v>
      </c>
      <c r="H197" s="1" t="s">
        <v>50</v>
      </c>
      <c r="I197" s="1" t="s">
        <v>50</v>
      </c>
      <c r="J197" s="1" t="s">
        <v>50</v>
      </c>
      <c r="K197" s="1" t="s">
        <v>50</v>
      </c>
      <c r="L197">
        <f t="shared" si="24"/>
        <v>82.076561445310972</v>
      </c>
      <c r="M197">
        <f t="shared" si="29"/>
        <v>290.36739528320618</v>
      </c>
      <c r="N197">
        <f t="shared" si="25"/>
        <v>310</v>
      </c>
      <c r="O197" t="e">
        <f t="shared" si="26"/>
        <v>#N/A</v>
      </c>
      <c r="P197" t="e">
        <f t="shared" si="27"/>
        <v>#N/A</v>
      </c>
      <c r="Q197" t="e">
        <f t="shared" si="28"/>
        <v>#N/A</v>
      </c>
      <c r="U197">
        <f>C197/Navio!$J$4</f>
        <v>13.36935782232316</v>
      </c>
    </row>
    <row r="198" spans="1:21" x14ac:dyDescent="0.3">
      <c r="A198">
        <v>196</v>
      </c>
      <c r="B198" s="47">
        <v>630.9318807260679</v>
      </c>
      <c r="C198" s="46">
        <v>250.53742521767867</v>
      </c>
      <c r="D198" s="1">
        <v>13</v>
      </c>
      <c r="E198" s="1">
        <v>10</v>
      </c>
      <c r="F198" s="1">
        <v>9</v>
      </c>
      <c r="G198" s="1" t="s">
        <v>50</v>
      </c>
      <c r="H198" s="1" t="s">
        <v>50</v>
      </c>
      <c r="I198" s="1" t="s">
        <v>50</v>
      </c>
      <c r="J198" s="1" t="s">
        <v>50</v>
      </c>
      <c r="K198" s="1" t="s">
        <v>50</v>
      </c>
      <c r="L198">
        <f t="shared" si="24"/>
        <v>185.56448544286178</v>
      </c>
      <c r="M198">
        <f t="shared" si="29"/>
        <v>290.36739528320618</v>
      </c>
      <c r="N198">
        <f t="shared" si="25"/>
        <v>310</v>
      </c>
      <c r="O198" t="e">
        <f t="shared" si="26"/>
        <v>#N/A</v>
      </c>
      <c r="P198" t="e">
        <f t="shared" si="27"/>
        <v>#N/A</v>
      </c>
      <c r="Q198" t="e">
        <f t="shared" si="28"/>
        <v>#N/A</v>
      </c>
      <c r="U198">
        <f>C198/Navio!$J$4</f>
        <v>13.527950413870697</v>
      </c>
    </row>
    <row r="199" spans="1:21" x14ac:dyDescent="0.3">
      <c r="A199">
        <v>197</v>
      </c>
      <c r="B199" s="47">
        <v>541.56480953940422</v>
      </c>
      <c r="C199" s="46">
        <v>270.1570976916413</v>
      </c>
      <c r="D199" s="1">
        <v>14</v>
      </c>
      <c r="E199" s="1">
        <v>10</v>
      </c>
      <c r="F199" s="1">
        <v>9</v>
      </c>
      <c r="G199" s="1" t="s">
        <v>50</v>
      </c>
      <c r="H199" s="1" t="s">
        <v>50</v>
      </c>
      <c r="I199" s="1" t="s">
        <v>50</v>
      </c>
      <c r="J199" s="1" t="s">
        <v>50</v>
      </c>
      <c r="K199" s="1" t="s">
        <v>50</v>
      </c>
      <c r="L199">
        <f t="shared" si="24"/>
        <v>96.197414256198073</v>
      </c>
      <c r="M199">
        <f t="shared" si="29"/>
        <v>290.36739528320618</v>
      </c>
      <c r="N199">
        <f t="shared" si="25"/>
        <v>310</v>
      </c>
      <c r="O199" t="e">
        <f t="shared" si="26"/>
        <v>#N/A</v>
      </c>
      <c r="P199" t="e">
        <f t="shared" si="27"/>
        <v>#N/A</v>
      </c>
      <c r="Q199" t="e">
        <f t="shared" si="28"/>
        <v>#N/A</v>
      </c>
      <c r="U199">
        <f>C199/Navio!$J$4</f>
        <v>14.587328892489394</v>
      </c>
    </row>
    <row r="200" spans="1:21" x14ac:dyDescent="0.3">
      <c r="A200">
        <v>198</v>
      </c>
      <c r="B200" s="47">
        <v>655.51482195709991</v>
      </c>
      <c r="C200" s="46">
        <v>272.88506441443963</v>
      </c>
      <c r="D200" s="1">
        <v>15</v>
      </c>
      <c r="E200" s="1">
        <v>10</v>
      </c>
      <c r="F200" s="1">
        <v>9</v>
      </c>
      <c r="G200" s="1" t="s">
        <v>50</v>
      </c>
      <c r="H200" s="1" t="s">
        <v>50</v>
      </c>
      <c r="I200" s="1" t="s">
        <v>50</v>
      </c>
      <c r="J200" s="1" t="s">
        <v>50</v>
      </c>
      <c r="K200" s="1" t="s">
        <v>50</v>
      </c>
      <c r="L200">
        <f t="shared" si="24"/>
        <v>210.14742667389368</v>
      </c>
      <c r="M200">
        <f t="shared" si="29"/>
        <v>290.36739528320618</v>
      </c>
      <c r="N200">
        <f t="shared" si="25"/>
        <v>310</v>
      </c>
      <c r="O200" t="e">
        <f t="shared" si="26"/>
        <v>#N/A</v>
      </c>
      <c r="P200" t="e">
        <f t="shared" si="27"/>
        <v>#N/A</v>
      </c>
      <c r="Q200" t="e">
        <f t="shared" si="28"/>
        <v>#N/A</v>
      </c>
      <c r="U200">
        <f>C200/Navio!$J$4</f>
        <v>14.734627438902734</v>
      </c>
    </row>
    <row r="201" spans="1:21" x14ac:dyDescent="0.3">
      <c r="A201">
        <v>199</v>
      </c>
      <c r="B201" s="47">
        <v>503.02339042229778</v>
      </c>
      <c r="C201" s="46">
        <v>284.19058213217636</v>
      </c>
      <c r="D201" s="1">
        <v>16</v>
      </c>
      <c r="E201" s="1">
        <v>10</v>
      </c>
      <c r="F201" s="1">
        <v>9</v>
      </c>
      <c r="G201" s="1" t="s">
        <v>50</v>
      </c>
      <c r="H201" s="1" t="s">
        <v>50</v>
      </c>
      <c r="I201" s="1" t="s">
        <v>50</v>
      </c>
      <c r="J201" s="1" t="s">
        <v>50</v>
      </c>
      <c r="K201" s="1" t="s">
        <v>50</v>
      </c>
      <c r="L201">
        <f t="shared" si="24"/>
        <v>172.96798541727486</v>
      </c>
      <c r="M201">
        <f t="shared" si="29"/>
        <v>290.36739528320618</v>
      </c>
      <c r="N201">
        <f t="shared" si="25"/>
        <v>310</v>
      </c>
      <c r="O201" t="e">
        <f t="shared" si="26"/>
        <v>#N/A</v>
      </c>
      <c r="P201" t="e">
        <f t="shared" si="27"/>
        <v>#N/A</v>
      </c>
      <c r="Q201" t="e">
        <f t="shared" si="28"/>
        <v>#N/A</v>
      </c>
      <c r="U201">
        <f>C201/Navio!$J$4</f>
        <v>15.345077087117156</v>
      </c>
    </row>
    <row r="202" spans="1:21" x14ac:dyDescent="0.3">
      <c r="A202">
        <v>200</v>
      </c>
      <c r="B202" s="47">
        <v>749.7630730595489</v>
      </c>
      <c r="C202" s="46">
        <v>280.88023156519154</v>
      </c>
      <c r="D202" s="1">
        <v>17</v>
      </c>
      <c r="E202" s="1">
        <v>10</v>
      </c>
      <c r="F202" s="1">
        <v>9</v>
      </c>
      <c r="G202" s="1" t="s">
        <v>50</v>
      </c>
      <c r="H202" s="1" t="s">
        <v>50</v>
      </c>
      <c r="I202" s="1" t="s">
        <v>50</v>
      </c>
      <c r="J202" s="1" t="s">
        <v>50</v>
      </c>
      <c r="K202" s="1" t="s">
        <v>50</v>
      </c>
      <c r="L202">
        <f t="shared" si="24"/>
        <v>304.39567777634272</v>
      </c>
      <c r="M202">
        <f t="shared" si="29"/>
        <v>290.36739528320618</v>
      </c>
      <c r="N202">
        <f t="shared" si="25"/>
        <v>310</v>
      </c>
      <c r="O202" t="e">
        <f t="shared" si="26"/>
        <v>#N/A</v>
      </c>
      <c r="P202" t="e">
        <f t="shared" si="27"/>
        <v>#N/A</v>
      </c>
      <c r="Q202" t="e">
        <f t="shared" si="28"/>
        <v>#N/A</v>
      </c>
      <c r="U202">
        <f>C202/Navio!$J$4</f>
        <v>15.166332301647319</v>
      </c>
    </row>
    <row r="203" spans="1:21" x14ac:dyDescent="0.3">
      <c r="A203">
        <v>201</v>
      </c>
      <c r="B203" s="47">
        <v>461.3514369954774</v>
      </c>
      <c r="C203" s="46">
        <v>246.23348921432466</v>
      </c>
      <c r="D203" s="1">
        <v>12</v>
      </c>
      <c r="E203" s="1">
        <v>11</v>
      </c>
      <c r="F203" s="1">
        <v>9</v>
      </c>
      <c r="G203" s="1" t="s">
        <v>50</v>
      </c>
      <c r="H203" s="1" t="s">
        <v>50</v>
      </c>
      <c r="I203" s="1" t="s">
        <v>50</v>
      </c>
      <c r="J203" s="1" t="s">
        <v>50</v>
      </c>
      <c r="K203" s="1" t="s">
        <v>50</v>
      </c>
      <c r="L203">
        <f t="shared" si="24"/>
        <v>82.076561445310972</v>
      </c>
      <c r="M203">
        <f t="shared" si="29"/>
        <v>278.99258318037374</v>
      </c>
      <c r="N203">
        <f t="shared" si="25"/>
        <v>310</v>
      </c>
      <c r="O203" t="e">
        <f t="shared" si="26"/>
        <v>#N/A</v>
      </c>
      <c r="P203" t="e">
        <f t="shared" si="27"/>
        <v>#N/A</v>
      </c>
      <c r="Q203" t="e">
        <f t="shared" si="28"/>
        <v>#N/A</v>
      </c>
      <c r="U203">
        <f>C203/Navio!$J$4</f>
        <v>13.295556260433306</v>
      </c>
    </row>
    <row r="204" spans="1:21" x14ac:dyDescent="0.3">
      <c r="A204">
        <v>202</v>
      </c>
      <c r="B204" s="47">
        <v>619.55706862323552</v>
      </c>
      <c r="C204" s="46">
        <v>248.33778889288303</v>
      </c>
      <c r="D204" s="1">
        <v>13</v>
      </c>
      <c r="E204" s="1">
        <v>11</v>
      </c>
      <c r="F204" s="1">
        <v>9</v>
      </c>
      <c r="G204" s="1" t="s">
        <v>50</v>
      </c>
      <c r="H204" s="1" t="s">
        <v>50</v>
      </c>
      <c r="I204" s="1" t="s">
        <v>50</v>
      </c>
      <c r="J204" s="1" t="s">
        <v>50</v>
      </c>
      <c r="K204" s="1" t="s">
        <v>50</v>
      </c>
      <c r="L204">
        <f t="shared" si="24"/>
        <v>185.56448544286178</v>
      </c>
      <c r="M204">
        <f t="shared" si="29"/>
        <v>278.99258318037374</v>
      </c>
      <c r="N204">
        <f t="shared" si="25"/>
        <v>310</v>
      </c>
      <c r="O204" t="e">
        <f t="shared" si="26"/>
        <v>#N/A</v>
      </c>
      <c r="P204" t="e">
        <f t="shared" si="27"/>
        <v>#N/A</v>
      </c>
      <c r="Q204" t="e">
        <f t="shared" si="28"/>
        <v>#N/A</v>
      </c>
      <c r="U204">
        <f>C204/Navio!$J$4</f>
        <v>13.409179451390617</v>
      </c>
    </row>
    <row r="205" spans="1:21" x14ac:dyDescent="0.3">
      <c r="A205">
        <v>203</v>
      </c>
      <c r="B205" s="47">
        <v>530.18999743657184</v>
      </c>
      <c r="C205" s="46">
        <v>268.25949718565494</v>
      </c>
      <c r="D205" s="1">
        <v>14</v>
      </c>
      <c r="E205" s="1">
        <v>11</v>
      </c>
      <c r="F205" s="1">
        <v>9</v>
      </c>
      <c r="G205" s="1" t="s">
        <v>50</v>
      </c>
      <c r="H205" s="1" t="s">
        <v>50</v>
      </c>
      <c r="I205" s="1" t="s">
        <v>50</v>
      </c>
      <c r="J205" s="1" t="s">
        <v>50</v>
      </c>
      <c r="K205" s="1" t="s">
        <v>50</v>
      </c>
      <c r="L205">
        <f t="shared" ref="L205:L268" si="30">VLOOKUP(D205,$Y$2:$Z$80,2)</f>
        <v>96.197414256198073</v>
      </c>
      <c r="M205">
        <f t="shared" si="29"/>
        <v>278.99258318037374</v>
      </c>
      <c r="N205">
        <f t="shared" ref="N205:N268" si="31">VLOOKUP(F205,$Y$2:$Z$80,2)</f>
        <v>310</v>
      </c>
      <c r="O205" t="e">
        <f t="shared" ref="O205:O268" si="32">VLOOKUP(G205,$Y$2:$Z$80,2)</f>
        <v>#N/A</v>
      </c>
      <c r="P205" t="e">
        <f t="shared" ref="P205:P268" si="33">VLOOKUP(H205,$Y$2:$Z$80,2)</f>
        <v>#N/A</v>
      </c>
      <c r="Q205" t="e">
        <f t="shared" ref="Q205:Q268" si="34">VLOOKUP(I205,$Y$2:$Z$80,2)</f>
        <v>#N/A</v>
      </c>
      <c r="U205">
        <f>C205/Navio!$J$4</f>
        <v>14.484866573624195</v>
      </c>
    </row>
    <row r="206" spans="1:21" x14ac:dyDescent="0.3">
      <c r="A206">
        <v>204</v>
      </c>
      <c r="B206" s="47">
        <v>644.14000985426742</v>
      </c>
      <c r="C206" s="46">
        <v>270.45603046917404</v>
      </c>
      <c r="D206" s="1">
        <v>15</v>
      </c>
      <c r="E206" s="1">
        <v>11</v>
      </c>
      <c r="F206" s="1">
        <v>9</v>
      </c>
      <c r="G206" s="1" t="s">
        <v>50</v>
      </c>
      <c r="H206" s="1" t="s">
        <v>50</v>
      </c>
      <c r="I206" s="1" t="s">
        <v>50</v>
      </c>
      <c r="J206" s="1" t="s">
        <v>50</v>
      </c>
      <c r="K206" s="1" t="s">
        <v>50</v>
      </c>
      <c r="L206">
        <f t="shared" si="30"/>
        <v>210.14742667389368</v>
      </c>
      <c r="M206">
        <f t="shared" si="29"/>
        <v>278.99258318037374</v>
      </c>
      <c r="N206">
        <f t="shared" si="31"/>
        <v>310</v>
      </c>
      <c r="O206" t="e">
        <f t="shared" si="32"/>
        <v>#N/A</v>
      </c>
      <c r="P206" t="e">
        <f t="shared" si="33"/>
        <v>#N/A</v>
      </c>
      <c r="Q206" t="e">
        <f t="shared" si="34"/>
        <v>#N/A</v>
      </c>
      <c r="U206">
        <f>C206/Navio!$J$4</f>
        <v>14.603469985134653</v>
      </c>
    </row>
    <row r="207" spans="1:21" x14ac:dyDescent="0.3">
      <c r="A207">
        <v>205</v>
      </c>
      <c r="B207" s="47">
        <v>491.64857831946534</v>
      </c>
      <c r="C207" s="46">
        <v>281.83453231645149</v>
      </c>
      <c r="D207" s="1">
        <v>16</v>
      </c>
      <c r="E207" s="1">
        <v>11</v>
      </c>
      <c r="F207" s="1">
        <v>9</v>
      </c>
      <c r="G207" s="1" t="s">
        <v>50</v>
      </c>
      <c r="H207" s="1" t="s">
        <v>50</v>
      </c>
      <c r="I207" s="1" t="s">
        <v>50</v>
      </c>
      <c r="J207" s="1" t="s">
        <v>50</v>
      </c>
      <c r="K207" s="1" t="s">
        <v>50</v>
      </c>
      <c r="L207">
        <f t="shared" si="30"/>
        <v>172.96798541727486</v>
      </c>
      <c r="M207">
        <f t="shared" si="29"/>
        <v>278.99258318037374</v>
      </c>
      <c r="N207">
        <f t="shared" si="31"/>
        <v>310</v>
      </c>
      <c r="O207" t="e">
        <f t="shared" si="32"/>
        <v>#N/A</v>
      </c>
      <c r="P207" t="e">
        <f t="shared" si="33"/>
        <v>#N/A</v>
      </c>
      <c r="Q207" t="e">
        <f t="shared" si="34"/>
        <v>#N/A</v>
      </c>
      <c r="U207">
        <f>C207/Navio!$J$4</f>
        <v>15.217860464482662</v>
      </c>
    </row>
    <row r="208" spans="1:21" x14ac:dyDescent="0.3">
      <c r="A208">
        <v>206</v>
      </c>
      <c r="B208" s="47">
        <v>738.38826095671652</v>
      </c>
      <c r="C208" s="46">
        <v>279.01448714280627</v>
      </c>
      <c r="D208" s="1">
        <v>17</v>
      </c>
      <c r="E208" s="1">
        <v>11</v>
      </c>
      <c r="F208" s="1">
        <v>9</v>
      </c>
      <c r="G208" s="1" t="s">
        <v>50</v>
      </c>
      <c r="H208" s="1" t="s">
        <v>50</v>
      </c>
      <c r="I208" s="1" t="s">
        <v>50</v>
      </c>
      <c r="J208" s="1" t="s">
        <v>50</v>
      </c>
      <c r="K208" s="1" t="s">
        <v>50</v>
      </c>
      <c r="L208">
        <f t="shared" si="30"/>
        <v>304.39567777634272</v>
      </c>
      <c r="M208">
        <f t="shared" si="29"/>
        <v>278.99258318037374</v>
      </c>
      <c r="N208">
        <f t="shared" si="31"/>
        <v>310</v>
      </c>
      <c r="O208" t="e">
        <f t="shared" si="32"/>
        <v>#N/A</v>
      </c>
      <c r="P208" t="e">
        <f t="shared" si="33"/>
        <v>#N/A</v>
      </c>
      <c r="Q208" t="e">
        <f t="shared" si="34"/>
        <v>#N/A</v>
      </c>
      <c r="U208">
        <f>C208/Navio!$J$4</f>
        <v>15.065590075175349</v>
      </c>
    </row>
    <row r="209" spans="1:21" x14ac:dyDescent="0.3">
      <c r="A209">
        <v>207</v>
      </c>
      <c r="B209" s="47">
        <v>367.92333925796544</v>
      </c>
      <c r="C209" s="46">
        <v>254.02872720692895</v>
      </c>
      <c r="D209" s="1">
        <v>12</v>
      </c>
      <c r="E209" s="1">
        <v>13</v>
      </c>
      <c r="F209" s="1">
        <v>9</v>
      </c>
      <c r="G209" s="1" t="s">
        <v>50</v>
      </c>
      <c r="H209" s="1" t="s">
        <v>50</v>
      </c>
      <c r="I209" s="1" t="s">
        <v>50</v>
      </c>
      <c r="J209" s="1" t="s">
        <v>50</v>
      </c>
      <c r="K209" s="1" t="s">
        <v>50</v>
      </c>
      <c r="L209">
        <f t="shared" si="30"/>
        <v>82.076561445310972</v>
      </c>
      <c r="M209">
        <f t="shared" si="29"/>
        <v>185.56448544286178</v>
      </c>
      <c r="N209">
        <f t="shared" si="31"/>
        <v>310</v>
      </c>
      <c r="O209" t="e">
        <f t="shared" si="32"/>
        <v>#N/A</v>
      </c>
      <c r="P209" t="e">
        <f t="shared" si="33"/>
        <v>#N/A</v>
      </c>
      <c r="Q209" t="e">
        <f t="shared" si="34"/>
        <v>#N/A</v>
      </c>
      <c r="U209">
        <f>C209/Navio!$J$4</f>
        <v>13.716465802936382</v>
      </c>
    </row>
    <row r="210" spans="1:21" x14ac:dyDescent="0.3">
      <c r="A210">
        <v>208</v>
      </c>
      <c r="B210" s="47">
        <v>278.5562680713017</v>
      </c>
      <c r="C210" s="46">
        <v>264.3469784993556</v>
      </c>
      <c r="D210" s="1">
        <v>14</v>
      </c>
      <c r="E210" s="1">
        <v>12</v>
      </c>
      <c r="F210" s="1">
        <v>9</v>
      </c>
      <c r="G210" s="1" t="s">
        <v>50</v>
      </c>
      <c r="H210" s="1" t="s">
        <v>50</v>
      </c>
      <c r="I210" s="1" t="s">
        <v>50</v>
      </c>
      <c r="J210" s="1" t="s">
        <v>50</v>
      </c>
      <c r="K210" s="1" t="s">
        <v>50</v>
      </c>
      <c r="L210">
        <f t="shared" si="30"/>
        <v>96.197414256198073</v>
      </c>
      <c r="M210">
        <f t="shared" si="29"/>
        <v>82.076561445310972</v>
      </c>
      <c r="N210">
        <f t="shared" si="31"/>
        <v>310</v>
      </c>
      <c r="O210" t="e">
        <f t="shared" si="32"/>
        <v>#N/A</v>
      </c>
      <c r="P210" t="e">
        <f t="shared" si="33"/>
        <v>#N/A</v>
      </c>
      <c r="Q210" t="e">
        <f t="shared" si="34"/>
        <v>#N/A</v>
      </c>
      <c r="U210">
        <f>C210/Navio!$J$4</f>
        <v>14.273607282779272</v>
      </c>
    </row>
    <row r="211" spans="1:21" x14ac:dyDescent="0.3">
      <c r="A211">
        <v>209</v>
      </c>
      <c r="B211" s="47">
        <v>392.50628048899733</v>
      </c>
      <c r="C211" s="46">
        <v>269.29307829920344</v>
      </c>
      <c r="D211" s="1">
        <v>12</v>
      </c>
      <c r="E211" s="1">
        <v>15</v>
      </c>
      <c r="F211" s="1">
        <v>9</v>
      </c>
      <c r="G211" s="1" t="s">
        <v>50</v>
      </c>
      <c r="H211" s="1" t="s">
        <v>50</v>
      </c>
      <c r="I211" s="1" t="s">
        <v>50</v>
      </c>
      <c r="J211" s="1" t="s">
        <v>50</v>
      </c>
      <c r="K211" s="1" t="s">
        <v>50</v>
      </c>
      <c r="L211">
        <f t="shared" si="30"/>
        <v>82.076561445310972</v>
      </c>
      <c r="M211">
        <f t="shared" si="29"/>
        <v>210.14742667389368</v>
      </c>
      <c r="N211">
        <f t="shared" si="31"/>
        <v>310</v>
      </c>
      <c r="O211" t="e">
        <f t="shared" si="32"/>
        <v>#N/A</v>
      </c>
      <c r="P211" t="e">
        <f t="shared" si="33"/>
        <v>#N/A</v>
      </c>
      <c r="Q211" t="e">
        <f t="shared" si="34"/>
        <v>#N/A</v>
      </c>
      <c r="U211">
        <f>C211/Navio!$J$4</f>
        <v>14.54067553725767</v>
      </c>
    </row>
    <row r="212" spans="1:21" x14ac:dyDescent="0.3">
      <c r="A212">
        <v>210</v>
      </c>
      <c r="B212" s="47">
        <v>240.01484895419529</v>
      </c>
      <c r="C212" s="46">
        <v>281.15290828036791</v>
      </c>
      <c r="D212" s="1">
        <v>12</v>
      </c>
      <c r="E212" s="1">
        <v>16</v>
      </c>
      <c r="F212" s="1">
        <v>9</v>
      </c>
      <c r="G212" s="1" t="s">
        <v>50</v>
      </c>
      <c r="H212" s="1" t="s">
        <v>50</v>
      </c>
      <c r="I212" s="1" t="s">
        <v>50</v>
      </c>
      <c r="J212" s="1" t="s">
        <v>50</v>
      </c>
      <c r="K212" s="1" t="s">
        <v>50</v>
      </c>
      <c r="L212">
        <f t="shared" si="30"/>
        <v>82.076561445310972</v>
      </c>
      <c r="M212">
        <f t="shared" si="29"/>
        <v>172.96798541727486</v>
      </c>
      <c r="N212">
        <f t="shared" si="31"/>
        <v>310</v>
      </c>
      <c r="O212" t="e">
        <f t="shared" si="32"/>
        <v>#N/A</v>
      </c>
      <c r="P212" t="e">
        <f t="shared" si="33"/>
        <v>#N/A</v>
      </c>
      <c r="Q212" t="e">
        <f t="shared" si="34"/>
        <v>#N/A</v>
      </c>
      <c r="U212">
        <f>C212/Navio!$J$4</f>
        <v>15.181055679117645</v>
      </c>
    </row>
    <row r="213" spans="1:21" x14ac:dyDescent="0.3">
      <c r="A213">
        <v>211</v>
      </c>
      <c r="B213" s="47">
        <v>486.75453159144638</v>
      </c>
      <c r="C213" s="46">
        <v>280.24227389651219</v>
      </c>
      <c r="D213" s="1">
        <v>12</v>
      </c>
      <c r="E213" s="1">
        <v>17</v>
      </c>
      <c r="F213" s="1">
        <v>9</v>
      </c>
      <c r="G213" s="1" t="s">
        <v>50</v>
      </c>
      <c r="H213" s="1" t="s">
        <v>50</v>
      </c>
      <c r="I213" s="1" t="s">
        <v>50</v>
      </c>
      <c r="J213" s="1" t="s">
        <v>50</v>
      </c>
      <c r="K213" s="1" t="s">
        <v>50</v>
      </c>
      <c r="L213">
        <f t="shared" si="30"/>
        <v>82.076561445310972</v>
      </c>
      <c r="M213">
        <f t="shared" si="29"/>
        <v>304.39567777634272</v>
      </c>
      <c r="N213">
        <f t="shared" si="31"/>
        <v>310</v>
      </c>
      <c r="O213" t="e">
        <f t="shared" si="32"/>
        <v>#N/A</v>
      </c>
      <c r="P213" t="e">
        <f t="shared" si="33"/>
        <v>#N/A</v>
      </c>
      <c r="Q213" t="e">
        <f t="shared" si="34"/>
        <v>#N/A</v>
      </c>
      <c r="U213">
        <f>C213/Navio!$J$4</f>
        <v>15.131885313535486</v>
      </c>
    </row>
    <row r="214" spans="1:21" x14ac:dyDescent="0.3">
      <c r="A214">
        <v>212</v>
      </c>
      <c r="B214" s="47">
        <v>436.76189969905988</v>
      </c>
      <c r="C214" s="46">
        <v>271.79847667525678</v>
      </c>
      <c r="D214" s="1">
        <v>14</v>
      </c>
      <c r="E214" s="1">
        <v>13</v>
      </c>
      <c r="F214" s="1">
        <v>9</v>
      </c>
      <c r="G214" s="1" t="s">
        <v>50</v>
      </c>
      <c r="H214" s="1" t="s">
        <v>50</v>
      </c>
      <c r="I214" s="1" t="s">
        <v>50</v>
      </c>
      <c r="J214" s="1" t="s">
        <v>50</v>
      </c>
      <c r="K214" s="1" t="s">
        <v>50</v>
      </c>
      <c r="L214">
        <f t="shared" si="30"/>
        <v>96.197414256198073</v>
      </c>
      <c r="M214">
        <f t="shared" si="29"/>
        <v>185.56448544286178</v>
      </c>
      <c r="N214">
        <f t="shared" si="31"/>
        <v>310</v>
      </c>
      <c r="O214" t="e">
        <f t="shared" si="32"/>
        <v>#N/A</v>
      </c>
      <c r="P214" t="e">
        <f t="shared" si="33"/>
        <v>#N/A</v>
      </c>
      <c r="Q214" t="e">
        <f t="shared" si="34"/>
        <v>#N/A</v>
      </c>
      <c r="U214">
        <f>C214/Navio!$J$4</f>
        <v>14.675956343982628</v>
      </c>
    </row>
    <row r="215" spans="1:21" x14ac:dyDescent="0.3">
      <c r="A215">
        <v>213</v>
      </c>
      <c r="B215" s="47">
        <v>550.71191211675546</v>
      </c>
      <c r="C215" s="46">
        <v>271.09488519952072</v>
      </c>
      <c r="D215" s="1">
        <v>15</v>
      </c>
      <c r="E215" s="1">
        <v>13</v>
      </c>
      <c r="F215" s="1">
        <v>9</v>
      </c>
      <c r="G215" s="1" t="s">
        <v>50</v>
      </c>
      <c r="H215" s="1" t="s">
        <v>50</v>
      </c>
      <c r="I215" s="1" t="s">
        <v>50</v>
      </c>
      <c r="J215" s="1" t="s">
        <v>50</v>
      </c>
      <c r="K215" s="1" t="s">
        <v>50</v>
      </c>
      <c r="L215">
        <f t="shared" si="30"/>
        <v>210.14742667389368</v>
      </c>
      <c r="M215">
        <f t="shared" si="29"/>
        <v>185.56448544286178</v>
      </c>
      <c r="N215">
        <f t="shared" si="31"/>
        <v>310</v>
      </c>
      <c r="O215" t="e">
        <f t="shared" si="32"/>
        <v>#N/A</v>
      </c>
      <c r="P215" t="e">
        <f t="shared" si="33"/>
        <v>#N/A</v>
      </c>
      <c r="Q215" t="e">
        <f t="shared" si="34"/>
        <v>#N/A</v>
      </c>
      <c r="U215">
        <f>C215/Navio!$J$4</f>
        <v>14.637965410743373</v>
      </c>
    </row>
    <row r="216" spans="1:21" x14ac:dyDescent="0.3">
      <c r="A216">
        <v>214</v>
      </c>
      <c r="B216" s="47">
        <v>398.22048058195338</v>
      </c>
      <c r="C216" s="46">
        <v>281.91418493709944</v>
      </c>
      <c r="D216" s="1">
        <v>16</v>
      </c>
      <c r="E216" s="1">
        <v>13</v>
      </c>
      <c r="F216" s="1">
        <v>9</v>
      </c>
      <c r="G216" s="1" t="s">
        <v>50</v>
      </c>
      <c r="H216" s="1" t="s">
        <v>50</v>
      </c>
      <c r="I216" s="1" t="s">
        <v>50</v>
      </c>
      <c r="J216" s="1" t="s">
        <v>50</v>
      </c>
      <c r="K216" s="1" t="s">
        <v>50</v>
      </c>
      <c r="L216">
        <f t="shared" si="30"/>
        <v>172.96798541727486</v>
      </c>
      <c r="M216">
        <f t="shared" si="29"/>
        <v>185.56448544286178</v>
      </c>
      <c r="N216">
        <f t="shared" si="31"/>
        <v>310</v>
      </c>
      <c r="O216" t="e">
        <f t="shared" si="32"/>
        <v>#N/A</v>
      </c>
      <c r="P216" t="e">
        <f t="shared" si="33"/>
        <v>#N/A</v>
      </c>
      <c r="Q216" t="e">
        <f t="shared" si="34"/>
        <v>#N/A</v>
      </c>
      <c r="U216">
        <f>C216/Navio!$J$4</f>
        <v>15.222161365641538</v>
      </c>
    </row>
    <row r="217" spans="1:21" x14ac:dyDescent="0.3">
      <c r="A217">
        <v>215</v>
      </c>
      <c r="B217" s="47">
        <v>644.96016321920456</v>
      </c>
      <c r="C217" s="46">
        <v>278.97105447537388</v>
      </c>
      <c r="D217" s="1">
        <v>17</v>
      </c>
      <c r="E217" s="1">
        <v>13</v>
      </c>
      <c r="F217" s="1">
        <v>9</v>
      </c>
      <c r="G217" s="1" t="s">
        <v>50</v>
      </c>
      <c r="H217" s="1" t="s">
        <v>50</v>
      </c>
      <c r="I217" s="1" t="s">
        <v>50</v>
      </c>
      <c r="J217" s="1" t="s">
        <v>50</v>
      </c>
      <c r="K217" s="1" t="s">
        <v>50</v>
      </c>
      <c r="L217">
        <f t="shared" si="30"/>
        <v>304.39567777634272</v>
      </c>
      <c r="M217">
        <f t="shared" si="29"/>
        <v>185.56448544286178</v>
      </c>
      <c r="N217">
        <f t="shared" si="31"/>
        <v>310</v>
      </c>
      <c r="O217" t="e">
        <f t="shared" si="32"/>
        <v>#N/A</v>
      </c>
      <c r="P217" t="e">
        <f t="shared" si="33"/>
        <v>#N/A</v>
      </c>
      <c r="Q217" t="e">
        <f t="shared" si="34"/>
        <v>#N/A</v>
      </c>
      <c r="U217">
        <f>C217/Navio!$J$4</f>
        <v>15.063244896722042</v>
      </c>
    </row>
    <row r="218" spans="1:21" x14ac:dyDescent="0.3">
      <c r="A218">
        <v>216</v>
      </c>
      <c r="B218" s="47">
        <v>461.34484093009178</v>
      </c>
      <c r="C218" s="46">
        <v>274.70630736805094</v>
      </c>
      <c r="D218" s="1">
        <v>14</v>
      </c>
      <c r="E218" s="1">
        <v>15</v>
      </c>
      <c r="F218" s="1">
        <v>9</v>
      </c>
      <c r="G218" s="1" t="s">
        <v>50</v>
      </c>
      <c r="H218" s="1" t="s">
        <v>50</v>
      </c>
      <c r="I218" s="1" t="s">
        <v>50</v>
      </c>
      <c r="J218" s="1" t="s">
        <v>50</v>
      </c>
      <c r="K218" s="1" t="s">
        <v>50</v>
      </c>
      <c r="L218">
        <f t="shared" si="30"/>
        <v>96.197414256198073</v>
      </c>
      <c r="M218">
        <f t="shared" si="29"/>
        <v>210.14742667389368</v>
      </c>
      <c r="N218">
        <f t="shared" si="31"/>
        <v>310</v>
      </c>
      <c r="O218" t="e">
        <f t="shared" si="32"/>
        <v>#N/A</v>
      </c>
      <c r="P218" t="e">
        <f t="shared" si="33"/>
        <v>#N/A</v>
      </c>
      <c r="Q218" t="e">
        <f t="shared" si="34"/>
        <v>#N/A</v>
      </c>
      <c r="U218">
        <f>C218/Navio!$J$4</f>
        <v>14.832966776215947</v>
      </c>
    </row>
    <row r="219" spans="1:21" x14ac:dyDescent="0.3">
      <c r="A219">
        <v>217</v>
      </c>
      <c r="B219" s="47">
        <v>308.8534093952897</v>
      </c>
      <c r="C219" s="46">
        <v>284.69660266773815</v>
      </c>
      <c r="D219" s="1">
        <v>14</v>
      </c>
      <c r="E219" s="1">
        <v>16</v>
      </c>
      <c r="F219" s="1">
        <v>9</v>
      </c>
      <c r="G219" s="1" t="s">
        <v>50</v>
      </c>
      <c r="H219" s="1" t="s">
        <v>50</v>
      </c>
      <c r="I219" s="1" t="s">
        <v>50</v>
      </c>
      <c r="J219" s="1" t="s">
        <v>50</v>
      </c>
      <c r="K219" s="1" t="s">
        <v>50</v>
      </c>
      <c r="L219">
        <f t="shared" si="30"/>
        <v>96.197414256198073</v>
      </c>
      <c r="M219">
        <f t="shared" si="29"/>
        <v>172.96798541727486</v>
      </c>
      <c r="N219">
        <f t="shared" si="31"/>
        <v>310</v>
      </c>
      <c r="O219" t="e">
        <f t="shared" si="32"/>
        <v>#N/A</v>
      </c>
      <c r="P219" t="e">
        <f t="shared" si="33"/>
        <v>#N/A</v>
      </c>
      <c r="Q219" t="e">
        <f t="shared" si="34"/>
        <v>#N/A</v>
      </c>
      <c r="U219">
        <f>C219/Navio!$J$4</f>
        <v>15.372400033808784</v>
      </c>
    </row>
    <row r="220" spans="1:21" x14ac:dyDescent="0.3">
      <c r="A220">
        <v>218</v>
      </c>
      <c r="B220" s="47">
        <v>555.59309203254077</v>
      </c>
      <c r="C220" s="46">
        <v>288.01271858366533</v>
      </c>
      <c r="D220" s="1">
        <v>14</v>
      </c>
      <c r="E220" s="1">
        <v>17</v>
      </c>
      <c r="F220" s="1">
        <v>9</v>
      </c>
      <c r="G220" s="1" t="s">
        <v>50</v>
      </c>
      <c r="H220" s="1" t="s">
        <v>50</v>
      </c>
      <c r="I220" s="1" t="s">
        <v>50</v>
      </c>
      <c r="J220" s="1" t="s">
        <v>50</v>
      </c>
      <c r="K220" s="1" t="s">
        <v>50</v>
      </c>
      <c r="L220">
        <f t="shared" si="30"/>
        <v>96.197414256198073</v>
      </c>
      <c r="M220">
        <f t="shared" si="29"/>
        <v>304.39567777634272</v>
      </c>
      <c r="N220">
        <f t="shared" si="31"/>
        <v>310</v>
      </c>
      <c r="O220" t="e">
        <f t="shared" si="32"/>
        <v>#N/A</v>
      </c>
      <c r="P220" t="e">
        <f t="shared" si="33"/>
        <v>#N/A</v>
      </c>
      <c r="Q220" t="e">
        <f t="shared" si="34"/>
        <v>#N/A</v>
      </c>
      <c r="U220">
        <f>C220/Navio!$J$4</f>
        <v>15.551456123486139</v>
      </c>
    </row>
    <row r="221" spans="1:21" x14ac:dyDescent="0.3">
      <c r="A221">
        <v>219</v>
      </c>
      <c r="B221" s="47">
        <v>422.80342181298528</v>
      </c>
      <c r="C221" s="46">
        <v>281.1536914657155</v>
      </c>
      <c r="D221" s="1">
        <v>15</v>
      </c>
      <c r="E221" s="1">
        <v>16</v>
      </c>
      <c r="F221" s="1">
        <v>9</v>
      </c>
      <c r="G221" s="1" t="s">
        <v>50</v>
      </c>
      <c r="H221" s="1" t="s">
        <v>50</v>
      </c>
      <c r="I221" s="1" t="s">
        <v>50</v>
      </c>
      <c r="J221" s="1" t="s">
        <v>50</v>
      </c>
      <c r="K221" s="1" t="s">
        <v>50</v>
      </c>
      <c r="L221">
        <f t="shared" si="30"/>
        <v>210.14742667389368</v>
      </c>
      <c r="M221">
        <f t="shared" si="29"/>
        <v>172.96798541727486</v>
      </c>
      <c r="N221">
        <f t="shared" si="31"/>
        <v>310</v>
      </c>
      <c r="O221" t="e">
        <f t="shared" si="32"/>
        <v>#N/A</v>
      </c>
      <c r="P221" t="e">
        <f t="shared" si="33"/>
        <v>#N/A</v>
      </c>
      <c r="Q221" t="e">
        <f t="shared" si="34"/>
        <v>#N/A</v>
      </c>
      <c r="U221">
        <f>C221/Navio!$J$4</f>
        <v>15.181097967779857</v>
      </c>
    </row>
    <row r="222" spans="1:21" x14ac:dyDescent="0.3">
      <c r="A222">
        <v>220</v>
      </c>
      <c r="B222" s="47">
        <v>669.54310445023634</v>
      </c>
      <c r="C222" s="46">
        <v>282.63317988696076</v>
      </c>
      <c r="D222" s="1">
        <v>15</v>
      </c>
      <c r="E222" s="1">
        <v>17</v>
      </c>
      <c r="F222" s="1">
        <v>9</v>
      </c>
      <c r="G222" s="1" t="s">
        <v>50</v>
      </c>
      <c r="H222" s="1" t="s">
        <v>50</v>
      </c>
      <c r="I222" s="1" t="s">
        <v>50</v>
      </c>
      <c r="J222" s="1" t="s">
        <v>50</v>
      </c>
      <c r="K222" s="1" t="s">
        <v>50</v>
      </c>
      <c r="L222">
        <f t="shared" si="30"/>
        <v>210.14742667389368</v>
      </c>
      <c r="M222">
        <f t="shared" si="29"/>
        <v>304.39567777634272</v>
      </c>
      <c r="N222">
        <f t="shared" si="31"/>
        <v>310</v>
      </c>
      <c r="O222" t="e">
        <f t="shared" si="32"/>
        <v>#N/A</v>
      </c>
      <c r="P222" t="e">
        <f t="shared" si="33"/>
        <v>#N/A</v>
      </c>
      <c r="Q222" t="e">
        <f t="shared" si="34"/>
        <v>#N/A</v>
      </c>
      <c r="U222">
        <f>C222/Navio!$J$4</f>
        <v>15.260984020664422</v>
      </c>
    </row>
    <row r="223" spans="1:21" x14ac:dyDescent="0.3">
      <c r="A223">
        <v>221</v>
      </c>
      <c r="B223" s="47">
        <v>517.05167291543432</v>
      </c>
      <c r="C223" s="46">
        <v>286.55347104326393</v>
      </c>
      <c r="D223" s="1">
        <v>16</v>
      </c>
      <c r="E223" s="1">
        <v>17</v>
      </c>
      <c r="F223" s="1">
        <v>9</v>
      </c>
      <c r="G223" s="1" t="s">
        <v>50</v>
      </c>
      <c r="H223" s="1" t="s">
        <v>50</v>
      </c>
      <c r="I223" s="1" t="s">
        <v>50</v>
      </c>
      <c r="J223" s="1" t="s">
        <v>50</v>
      </c>
      <c r="K223" s="1" t="s">
        <v>50</v>
      </c>
      <c r="L223">
        <f t="shared" si="30"/>
        <v>172.96798541727486</v>
      </c>
      <c r="M223">
        <f t="shared" si="29"/>
        <v>304.39567777634272</v>
      </c>
      <c r="N223">
        <f t="shared" si="31"/>
        <v>310</v>
      </c>
      <c r="O223" t="e">
        <f t="shared" si="32"/>
        <v>#N/A</v>
      </c>
      <c r="P223" t="e">
        <f t="shared" si="33"/>
        <v>#N/A</v>
      </c>
      <c r="Q223" t="e">
        <f t="shared" si="34"/>
        <v>#N/A</v>
      </c>
      <c r="U223">
        <f>C223/Navio!$J$4</f>
        <v>15.472662991677742</v>
      </c>
    </row>
    <row r="224" spans="1:21" x14ac:dyDescent="0.3">
      <c r="A224">
        <v>222</v>
      </c>
      <c r="B224" s="47">
        <v>596.71883227868352</v>
      </c>
      <c r="C224" s="46">
        <v>248.42411182856219</v>
      </c>
      <c r="D224" s="1">
        <v>12</v>
      </c>
      <c r="E224" s="1">
        <v>11</v>
      </c>
      <c r="F224" s="1">
        <v>10</v>
      </c>
      <c r="G224" s="1" t="s">
        <v>50</v>
      </c>
      <c r="H224" s="1" t="s">
        <v>50</v>
      </c>
      <c r="I224" s="1" t="s">
        <v>50</v>
      </c>
      <c r="J224" s="1" t="s">
        <v>50</v>
      </c>
      <c r="K224" s="1" t="s">
        <v>50</v>
      </c>
      <c r="L224">
        <f t="shared" si="30"/>
        <v>82.076561445310972</v>
      </c>
      <c r="M224">
        <f t="shared" si="29"/>
        <v>278.99258318037374</v>
      </c>
      <c r="N224">
        <f t="shared" si="31"/>
        <v>290.36739528320618</v>
      </c>
      <c r="O224" t="e">
        <f t="shared" si="32"/>
        <v>#N/A</v>
      </c>
      <c r="P224" t="e">
        <f t="shared" si="33"/>
        <v>#N/A</v>
      </c>
      <c r="Q224" t="e">
        <f t="shared" si="34"/>
        <v>#N/A</v>
      </c>
      <c r="U224">
        <f>C224/Navio!$J$4</f>
        <v>13.413840521058884</v>
      </c>
    </row>
    <row r="225" spans="1:21" x14ac:dyDescent="0.3">
      <c r="A225">
        <v>223</v>
      </c>
      <c r="B225" s="47">
        <v>754.9244639064417</v>
      </c>
      <c r="C225" s="46">
        <v>250.52841150712055</v>
      </c>
      <c r="D225" s="1">
        <v>13</v>
      </c>
      <c r="E225" s="1">
        <v>11</v>
      </c>
      <c r="F225" s="1">
        <v>10</v>
      </c>
      <c r="G225" s="1" t="s">
        <v>50</v>
      </c>
      <c r="H225" s="1" t="s">
        <v>50</v>
      </c>
      <c r="I225" s="1" t="s">
        <v>50</v>
      </c>
      <c r="J225" s="1" t="s">
        <v>50</v>
      </c>
      <c r="K225" s="1" t="s">
        <v>50</v>
      </c>
      <c r="L225">
        <f t="shared" si="30"/>
        <v>185.56448544286178</v>
      </c>
      <c r="M225">
        <f t="shared" si="29"/>
        <v>278.99258318037374</v>
      </c>
      <c r="N225">
        <f t="shared" si="31"/>
        <v>290.36739528320618</v>
      </c>
      <c r="O225" t="e">
        <f t="shared" si="32"/>
        <v>#N/A</v>
      </c>
      <c r="P225" t="e">
        <f t="shared" si="33"/>
        <v>#N/A</v>
      </c>
      <c r="Q225" t="e">
        <f t="shared" si="34"/>
        <v>#N/A</v>
      </c>
      <c r="U225">
        <f>C225/Navio!$J$4</f>
        <v>13.527463712016194</v>
      </c>
    </row>
    <row r="226" spans="1:21" x14ac:dyDescent="0.3">
      <c r="A226">
        <v>224</v>
      </c>
      <c r="B226" s="47">
        <v>665.55739271977802</v>
      </c>
      <c r="C226" s="46">
        <v>270.45011979989249</v>
      </c>
      <c r="D226" s="1">
        <v>14</v>
      </c>
      <c r="E226" s="1">
        <v>11</v>
      </c>
      <c r="F226" s="1">
        <v>10</v>
      </c>
      <c r="G226" s="1" t="s">
        <v>50</v>
      </c>
      <c r="H226" s="1" t="s">
        <v>50</v>
      </c>
      <c r="I226" s="1" t="s">
        <v>50</v>
      </c>
      <c r="J226" s="1" t="s">
        <v>50</v>
      </c>
      <c r="K226" s="1" t="s">
        <v>50</v>
      </c>
      <c r="L226">
        <f t="shared" si="30"/>
        <v>96.197414256198073</v>
      </c>
      <c r="M226">
        <f t="shared" si="29"/>
        <v>278.99258318037374</v>
      </c>
      <c r="N226">
        <f t="shared" si="31"/>
        <v>290.36739528320618</v>
      </c>
      <c r="O226" t="e">
        <f t="shared" si="32"/>
        <v>#N/A</v>
      </c>
      <c r="P226" t="e">
        <f t="shared" si="33"/>
        <v>#N/A</v>
      </c>
      <c r="Q226" t="e">
        <f t="shared" si="34"/>
        <v>#N/A</v>
      </c>
      <c r="U226">
        <f>C226/Navio!$J$4</f>
        <v>14.603150834249774</v>
      </c>
    </row>
    <row r="227" spans="1:21" x14ac:dyDescent="0.3">
      <c r="A227">
        <v>225</v>
      </c>
      <c r="B227" s="47">
        <v>779.5074051374736</v>
      </c>
      <c r="C227" s="46">
        <v>272.64665308341159</v>
      </c>
      <c r="D227" s="1">
        <v>15</v>
      </c>
      <c r="E227" s="1">
        <v>11</v>
      </c>
      <c r="F227" s="1">
        <v>10</v>
      </c>
      <c r="G227" s="1" t="s">
        <v>50</v>
      </c>
      <c r="H227" s="1" t="s">
        <v>50</v>
      </c>
      <c r="I227" s="1" t="s">
        <v>50</v>
      </c>
      <c r="J227" s="1" t="s">
        <v>50</v>
      </c>
      <c r="K227" s="1" t="s">
        <v>50</v>
      </c>
      <c r="L227">
        <f t="shared" si="30"/>
        <v>210.14742667389368</v>
      </c>
      <c r="M227">
        <f t="shared" si="29"/>
        <v>278.99258318037374</v>
      </c>
      <c r="N227">
        <f t="shared" si="31"/>
        <v>290.36739528320618</v>
      </c>
      <c r="O227" t="e">
        <f t="shared" si="32"/>
        <v>#N/A</v>
      </c>
      <c r="P227" t="e">
        <f t="shared" si="33"/>
        <v>#N/A</v>
      </c>
      <c r="Q227" t="e">
        <f t="shared" si="34"/>
        <v>#N/A</v>
      </c>
      <c r="U227">
        <f>C227/Navio!$J$4</f>
        <v>14.721754245760232</v>
      </c>
    </row>
    <row r="228" spans="1:21" x14ac:dyDescent="0.3">
      <c r="A228">
        <v>226</v>
      </c>
      <c r="B228" s="47">
        <v>627.01597360267158</v>
      </c>
      <c r="C228" s="46">
        <v>284.02515493068898</v>
      </c>
      <c r="D228" s="1">
        <v>16</v>
      </c>
      <c r="E228" s="1">
        <v>11</v>
      </c>
      <c r="F228" s="1">
        <v>10</v>
      </c>
      <c r="G228" s="1" t="s">
        <v>50</v>
      </c>
      <c r="H228" s="1" t="s">
        <v>50</v>
      </c>
      <c r="I228" s="1" t="s">
        <v>50</v>
      </c>
      <c r="J228" s="1" t="s">
        <v>50</v>
      </c>
      <c r="K228" s="1" t="s">
        <v>50</v>
      </c>
      <c r="L228">
        <f t="shared" si="30"/>
        <v>172.96798541727486</v>
      </c>
      <c r="M228">
        <f t="shared" si="29"/>
        <v>278.99258318037374</v>
      </c>
      <c r="N228">
        <f t="shared" si="31"/>
        <v>290.36739528320618</v>
      </c>
      <c r="O228" t="e">
        <f t="shared" si="32"/>
        <v>#N/A</v>
      </c>
      <c r="P228" t="e">
        <f t="shared" si="33"/>
        <v>#N/A</v>
      </c>
      <c r="Q228" t="e">
        <f t="shared" si="34"/>
        <v>#N/A</v>
      </c>
      <c r="U228">
        <f>C228/Navio!$J$4</f>
        <v>15.336144725108237</v>
      </c>
    </row>
    <row r="229" spans="1:21" x14ac:dyDescent="0.3">
      <c r="A229">
        <v>227</v>
      </c>
      <c r="B229" s="47">
        <v>873.7556562399227</v>
      </c>
      <c r="C229" s="46">
        <v>281.20510975704383</v>
      </c>
      <c r="D229" s="1">
        <v>17</v>
      </c>
      <c r="E229" s="1">
        <v>11</v>
      </c>
      <c r="F229" s="1">
        <v>10</v>
      </c>
      <c r="G229" s="1" t="s">
        <v>50</v>
      </c>
      <c r="H229" s="1" t="s">
        <v>50</v>
      </c>
      <c r="I229" s="1" t="s">
        <v>50</v>
      </c>
      <c r="J229" s="1" t="s">
        <v>50</v>
      </c>
      <c r="K229" s="1" t="s">
        <v>50</v>
      </c>
      <c r="L229">
        <f t="shared" si="30"/>
        <v>304.39567777634272</v>
      </c>
      <c r="M229">
        <f t="shared" si="29"/>
        <v>278.99258318037374</v>
      </c>
      <c r="N229">
        <f t="shared" si="31"/>
        <v>290.36739528320618</v>
      </c>
      <c r="O229" t="e">
        <f t="shared" si="32"/>
        <v>#N/A</v>
      </c>
      <c r="P229" t="e">
        <f t="shared" si="33"/>
        <v>#N/A</v>
      </c>
      <c r="Q229" t="e">
        <f t="shared" si="34"/>
        <v>#N/A</v>
      </c>
      <c r="U229">
        <f>C229/Navio!$J$4</f>
        <v>15.183874335800928</v>
      </c>
    </row>
    <row r="230" spans="1:21" x14ac:dyDescent="0.3">
      <c r="A230">
        <v>228</v>
      </c>
      <c r="B230" s="47">
        <v>503.29073454117162</v>
      </c>
      <c r="C230" s="46">
        <v>256.12082464009404</v>
      </c>
      <c r="D230" s="1">
        <v>12</v>
      </c>
      <c r="E230" s="1">
        <v>13</v>
      </c>
      <c r="F230" s="1">
        <v>10</v>
      </c>
      <c r="G230" s="1" t="s">
        <v>50</v>
      </c>
      <c r="H230" s="1" t="s">
        <v>50</v>
      </c>
      <c r="I230" s="1" t="s">
        <v>50</v>
      </c>
      <c r="J230" s="1" t="s">
        <v>50</v>
      </c>
      <c r="K230" s="1" t="s">
        <v>50</v>
      </c>
      <c r="L230">
        <f t="shared" si="30"/>
        <v>82.076561445310972</v>
      </c>
      <c r="M230">
        <f t="shared" si="29"/>
        <v>185.56448544286178</v>
      </c>
      <c r="N230">
        <f t="shared" si="31"/>
        <v>290.36739528320618</v>
      </c>
      <c r="O230" t="e">
        <f t="shared" si="32"/>
        <v>#N/A</v>
      </c>
      <c r="P230" t="e">
        <f t="shared" si="33"/>
        <v>#N/A</v>
      </c>
      <c r="Q230" t="e">
        <f t="shared" si="34"/>
        <v>#N/A</v>
      </c>
      <c r="U230">
        <f>C230/Navio!$J$4</f>
        <v>13.829430124782723</v>
      </c>
    </row>
    <row r="231" spans="1:21" x14ac:dyDescent="0.3">
      <c r="A231">
        <v>229</v>
      </c>
      <c r="B231" s="47">
        <v>413.92366335450788</v>
      </c>
      <c r="C231" s="46">
        <v>270.11417387115114</v>
      </c>
      <c r="D231" s="1">
        <v>14</v>
      </c>
      <c r="E231" s="1">
        <v>12</v>
      </c>
      <c r="F231" s="1">
        <v>10</v>
      </c>
      <c r="G231" s="1" t="s">
        <v>50</v>
      </c>
      <c r="H231" s="1" t="s">
        <v>50</v>
      </c>
      <c r="I231" s="1" t="s">
        <v>50</v>
      </c>
      <c r="J231" s="1" t="s">
        <v>50</v>
      </c>
      <c r="K231" s="1" t="s">
        <v>50</v>
      </c>
      <c r="L231">
        <f t="shared" si="30"/>
        <v>96.197414256198073</v>
      </c>
      <c r="M231">
        <f t="shared" si="29"/>
        <v>82.076561445310972</v>
      </c>
      <c r="N231">
        <f t="shared" si="31"/>
        <v>290.36739528320618</v>
      </c>
      <c r="O231" t="e">
        <f t="shared" si="32"/>
        <v>#N/A</v>
      </c>
      <c r="P231" t="e">
        <f t="shared" si="33"/>
        <v>#N/A</v>
      </c>
      <c r="Q231" t="e">
        <f t="shared" si="34"/>
        <v>#N/A</v>
      </c>
      <c r="U231">
        <f>C231/Navio!$J$4</f>
        <v>14.585011189596662</v>
      </c>
    </row>
    <row r="232" spans="1:21" x14ac:dyDescent="0.3">
      <c r="A232">
        <v>230</v>
      </c>
      <c r="B232" s="47">
        <v>527.87367577220357</v>
      </c>
      <c r="C232" s="46">
        <v>272.64740165551711</v>
      </c>
      <c r="D232" s="1">
        <v>12</v>
      </c>
      <c r="E232" s="1">
        <v>15</v>
      </c>
      <c r="F232" s="1">
        <v>10</v>
      </c>
      <c r="G232" s="1" t="s">
        <v>50</v>
      </c>
      <c r="H232" s="1" t="s">
        <v>50</v>
      </c>
      <c r="I232" s="1" t="s">
        <v>50</v>
      </c>
      <c r="J232" s="1" t="s">
        <v>50</v>
      </c>
      <c r="K232" s="1" t="s">
        <v>50</v>
      </c>
      <c r="L232">
        <f t="shared" si="30"/>
        <v>82.076561445310972</v>
      </c>
      <c r="M232">
        <f t="shared" si="29"/>
        <v>210.14742667389368</v>
      </c>
      <c r="N232">
        <f t="shared" si="31"/>
        <v>290.36739528320618</v>
      </c>
      <c r="O232" t="e">
        <f t="shared" si="32"/>
        <v>#N/A</v>
      </c>
      <c r="P232" t="e">
        <f t="shared" si="33"/>
        <v>#N/A</v>
      </c>
      <c r="Q232" t="e">
        <f t="shared" si="34"/>
        <v>#N/A</v>
      </c>
      <c r="U232">
        <f>C232/Navio!$J$4</f>
        <v>14.721794665455278</v>
      </c>
    </row>
    <row r="233" spans="1:21" x14ac:dyDescent="0.3">
      <c r="A233">
        <v>231</v>
      </c>
      <c r="B233" s="47">
        <v>375.38224423740144</v>
      </c>
      <c r="C233" s="46">
        <v>283.95679166995978</v>
      </c>
      <c r="D233" s="1">
        <v>12</v>
      </c>
      <c r="E233" s="1">
        <v>16</v>
      </c>
      <c r="F233" s="1">
        <v>10</v>
      </c>
      <c r="G233" s="1" t="s">
        <v>50</v>
      </c>
      <c r="H233" s="1" t="s">
        <v>50</v>
      </c>
      <c r="I233" s="1" t="s">
        <v>50</v>
      </c>
      <c r="J233" s="1" t="s">
        <v>50</v>
      </c>
      <c r="K233" s="1" t="s">
        <v>50</v>
      </c>
      <c r="L233">
        <f t="shared" si="30"/>
        <v>82.076561445310972</v>
      </c>
      <c r="M233">
        <f t="shared" si="29"/>
        <v>172.96798541727486</v>
      </c>
      <c r="N233">
        <f t="shared" si="31"/>
        <v>290.36739528320618</v>
      </c>
      <c r="O233" t="e">
        <f t="shared" si="32"/>
        <v>#N/A</v>
      </c>
      <c r="P233" t="e">
        <f t="shared" si="33"/>
        <v>#N/A</v>
      </c>
      <c r="Q233" t="e">
        <f t="shared" si="34"/>
        <v>#N/A</v>
      </c>
      <c r="U233">
        <f>C233/Navio!$J$4</f>
        <v>15.332453401145475</v>
      </c>
    </row>
    <row r="234" spans="1:21" x14ac:dyDescent="0.3">
      <c r="A234">
        <v>232</v>
      </c>
      <c r="B234" s="47">
        <v>622.12192687465256</v>
      </c>
      <c r="C234" s="46">
        <v>281.92187279740551</v>
      </c>
      <c r="D234" s="1">
        <v>12</v>
      </c>
      <c r="E234" s="1">
        <v>17</v>
      </c>
      <c r="F234" s="1">
        <v>10</v>
      </c>
      <c r="G234" s="1" t="s">
        <v>50</v>
      </c>
      <c r="H234" s="1" t="s">
        <v>50</v>
      </c>
      <c r="I234" s="1" t="s">
        <v>50</v>
      </c>
      <c r="J234" s="1" t="s">
        <v>50</v>
      </c>
      <c r="K234" s="1" t="s">
        <v>50</v>
      </c>
      <c r="L234">
        <f t="shared" si="30"/>
        <v>82.076561445310972</v>
      </c>
      <c r="M234">
        <f t="shared" si="29"/>
        <v>304.39567777634272</v>
      </c>
      <c r="N234">
        <f t="shared" si="31"/>
        <v>290.36739528320618</v>
      </c>
      <c r="O234" t="e">
        <f t="shared" si="32"/>
        <v>#N/A</v>
      </c>
      <c r="P234" t="e">
        <f t="shared" si="33"/>
        <v>#N/A</v>
      </c>
      <c r="Q234" t="e">
        <f t="shared" si="34"/>
        <v>#N/A</v>
      </c>
      <c r="U234">
        <f>C234/Navio!$J$4</f>
        <v>15.222576477247793</v>
      </c>
    </row>
    <row r="235" spans="1:21" x14ac:dyDescent="0.3">
      <c r="A235">
        <v>233</v>
      </c>
      <c r="B235" s="47">
        <v>572.12929498226606</v>
      </c>
      <c r="C235" s="46">
        <v>273.89057410842179</v>
      </c>
      <c r="D235" s="1">
        <v>14</v>
      </c>
      <c r="E235" s="1">
        <v>13</v>
      </c>
      <c r="F235" s="1">
        <v>10</v>
      </c>
      <c r="G235" s="1" t="s">
        <v>50</v>
      </c>
      <c r="H235" s="1" t="s">
        <v>50</v>
      </c>
      <c r="I235" s="1" t="s">
        <v>50</v>
      </c>
      <c r="J235" s="1" t="s">
        <v>50</v>
      </c>
      <c r="K235" s="1" t="s">
        <v>50</v>
      </c>
      <c r="L235">
        <f t="shared" si="30"/>
        <v>96.197414256198073</v>
      </c>
      <c r="M235">
        <f t="shared" si="29"/>
        <v>185.56448544286178</v>
      </c>
      <c r="N235">
        <f t="shared" si="31"/>
        <v>290.36739528320618</v>
      </c>
      <c r="O235" t="e">
        <f t="shared" si="32"/>
        <v>#N/A</v>
      </c>
      <c r="P235" t="e">
        <f t="shared" si="33"/>
        <v>#N/A</v>
      </c>
      <c r="Q235" t="e">
        <f t="shared" si="34"/>
        <v>#N/A</v>
      </c>
      <c r="U235">
        <f>C235/Navio!$J$4</f>
        <v>14.788920665828964</v>
      </c>
    </row>
    <row r="236" spans="1:21" x14ac:dyDescent="0.3">
      <c r="A236">
        <v>234</v>
      </c>
      <c r="B236" s="47">
        <v>686.07930739996164</v>
      </c>
      <c r="C236" s="46">
        <v>273.18698263268584</v>
      </c>
      <c r="D236" s="1">
        <v>15</v>
      </c>
      <c r="E236" s="1">
        <v>13</v>
      </c>
      <c r="F236" s="1">
        <v>10</v>
      </c>
      <c r="G236" s="1" t="s">
        <v>50</v>
      </c>
      <c r="H236" s="1" t="s">
        <v>50</v>
      </c>
      <c r="I236" s="1" t="s">
        <v>50</v>
      </c>
      <c r="J236" s="1" t="s">
        <v>50</v>
      </c>
      <c r="K236" s="1" t="s">
        <v>50</v>
      </c>
      <c r="L236">
        <f t="shared" si="30"/>
        <v>210.14742667389368</v>
      </c>
      <c r="M236">
        <f t="shared" si="29"/>
        <v>185.56448544286178</v>
      </c>
      <c r="N236">
        <f t="shared" si="31"/>
        <v>290.36739528320618</v>
      </c>
      <c r="O236" t="e">
        <f t="shared" si="32"/>
        <v>#N/A</v>
      </c>
      <c r="P236" t="e">
        <f t="shared" si="33"/>
        <v>#N/A</v>
      </c>
      <c r="Q236" t="e">
        <f t="shared" si="34"/>
        <v>#N/A</v>
      </c>
      <c r="U236">
        <f>C236/Navio!$J$4</f>
        <v>14.750929732589716</v>
      </c>
    </row>
    <row r="237" spans="1:21" x14ac:dyDescent="0.3">
      <c r="A237">
        <v>235</v>
      </c>
      <c r="B237" s="47">
        <v>533.58787586515962</v>
      </c>
      <c r="C237" s="46">
        <v>284.0062823702645</v>
      </c>
      <c r="D237" s="1">
        <v>16</v>
      </c>
      <c r="E237" s="1">
        <v>13</v>
      </c>
      <c r="F237" s="1">
        <v>10</v>
      </c>
      <c r="G237" s="1" t="s">
        <v>50</v>
      </c>
      <c r="H237" s="1" t="s">
        <v>50</v>
      </c>
      <c r="I237" s="1" t="s">
        <v>50</v>
      </c>
      <c r="J237" s="1" t="s">
        <v>50</v>
      </c>
      <c r="K237" s="1" t="s">
        <v>50</v>
      </c>
      <c r="L237">
        <f t="shared" si="30"/>
        <v>172.96798541727486</v>
      </c>
      <c r="M237">
        <f t="shared" si="29"/>
        <v>185.56448544286178</v>
      </c>
      <c r="N237">
        <f t="shared" si="31"/>
        <v>290.36739528320618</v>
      </c>
      <c r="O237" t="e">
        <f t="shared" si="32"/>
        <v>#N/A</v>
      </c>
      <c r="P237" t="e">
        <f t="shared" si="33"/>
        <v>#N/A</v>
      </c>
      <c r="Q237" t="e">
        <f t="shared" si="34"/>
        <v>#N/A</v>
      </c>
      <c r="U237">
        <f>C237/Navio!$J$4</f>
        <v>15.335125687487878</v>
      </c>
    </row>
    <row r="238" spans="1:21" x14ac:dyDescent="0.3">
      <c r="A238">
        <v>236</v>
      </c>
      <c r="B238" s="47">
        <v>780.32755850241074</v>
      </c>
      <c r="C238" s="46">
        <v>280.97876586832933</v>
      </c>
      <c r="D238" s="1">
        <v>13</v>
      </c>
      <c r="E238" s="1">
        <v>17</v>
      </c>
      <c r="F238" s="1">
        <v>10</v>
      </c>
      <c r="G238" s="1" t="s">
        <v>50</v>
      </c>
      <c r="H238" s="1" t="s">
        <v>50</v>
      </c>
      <c r="I238" s="1" t="s">
        <v>50</v>
      </c>
      <c r="J238" s="1" t="s">
        <v>50</v>
      </c>
      <c r="K238" s="1" t="s">
        <v>50</v>
      </c>
      <c r="L238">
        <f t="shared" si="30"/>
        <v>185.56448544286178</v>
      </c>
      <c r="M238">
        <f t="shared" si="29"/>
        <v>304.39567777634272</v>
      </c>
      <c r="N238">
        <f t="shared" si="31"/>
        <v>290.36739528320618</v>
      </c>
      <c r="O238" t="e">
        <f t="shared" si="32"/>
        <v>#N/A</v>
      </c>
      <c r="P238" t="e">
        <f t="shared" si="33"/>
        <v>#N/A</v>
      </c>
      <c r="Q238" t="e">
        <f t="shared" si="34"/>
        <v>#N/A</v>
      </c>
      <c r="U238">
        <f>C238/Navio!$J$4</f>
        <v>15.171652732979107</v>
      </c>
    </row>
    <row r="239" spans="1:21" x14ac:dyDescent="0.3">
      <c r="A239">
        <v>237</v>
      </c>
      <c r="B239" s="47">
        <v>596.71223621329796</v>
      </c>
      <c r="C239" s="46">
        <v>278.06063072436456</v>
      </c>
      <c r="D239" s="1">
        <v>14</v>
      </c>
      <c r="E239" s="1">
        <v>15</v>
      </c>
      <c r="F239" s="1">
        <v>10</v>
      </c>
      <c r="G239" s="1" t="s">
        <v>50</v>
      </c>
      <c r="H239" s="1" t="s">
        <v>50</v>
      </c>
      <c r="I239" s="1" t="s">
        <v>50</v>
      </c>
      <c r="J239" s="1" t="s">
        <v>50</v>
      </c>
      <c r="K239" s="1" t="s">
        <v>50</v>
      </c>
      <c r="L239">
        <f t="shared" si="30"/>
        <v>96.197414256198073</v>
      </c>
      <c r="M239">
        <f t="shared" si="29"/>
        <v>210.14742667389368</v>
      </c>
      <c r="N239">
        <f t="shared" si="31"/>
        <v>290.36739528320618</v>
      </c>
      <c r="O239" t="e">
        <f t="shared" si="32"/>
        <v>#N/A</v>
      </c>
      <c r="P239" t="e">
        <f t="shared" si="33"/>
        <v>#N/A</v>
      </c>
      <c r="Q239" t="e">
        <f t="shared" si="34"/>
        <v>#N/A</v>
      </c>
      <c r="U239">
        <f>C239/Navio!$J$4</f>
        <v>15.014085904413554</v>
      </c>
    </row>
    <row r="240" spans="1:21" x14ac:dyDescent="0.3">
      <c r="A240">
        <v>238</v>
      </c>
      <c r="B240" s="47">
        <v>444.22080467849588</v>
      </c>
      <c r="C240" s="46">
        <v>287.50048605732991</v>
      </c>
      <c r="D240" s="1">
        <v>14</v>
      </c>
      <c r="E240" s="1">
        <v>16</v>
      </c>
      <c r="F240" s="1">
        <v>10</v>
      </c>
      <c r="G240" s="1" t="s">
        <v>50</v>
      </c>
      <c r="H240" s="1" t="s">
        <v>50</v>
      </c>
      <c r="I240" s="1" t="s">
        <v>50</v>
      </c>
      <c r="J240" s="1" t="s">
        <v>50</v>
      </c>
      <c r="K240" s="1" t="s">
        <v>50</v>
      </c>
      <c r="L240">
        <f t="shared" si="30"/>
        <v>96.197414256198073</v>
      </c>
      <c r="M240">
        <f t="shared" si="29"/>
        <v>172.96798541727486</v>
      </c>
      <c r="N240">
        <f t="shared" si="31"/>
        <v>290.36739528320618</v>
      </c>
      <c r="O240" t="e">
        <f t="shared" si="32"/>
        <v>#N/A</v>
      </c>
      <c r="P240" t="e">
        <f t="shared" si="33"/>
        <v>#N/A</v>
      </c>
      <c r="Q240" t="e">
        <f t="shared" si="34"/>
        <v>#N/A</v>
      </c>
      <c r="U240">
        <f>C240/Navio!$J$4</f>
        <v>15.523797755836608</v>
      </c>
    </row>
    <row r="241" spans="1:21" x14ac:dyDescent="0.3">
      <c r="A241">
        <v>239</v>
      </c>
      <c r="B241" s="47">
        <v>690.96048731574695</v>
      </c>
      <c r="C241" s="46">
        <v>289.6923174845586</v>
      </c>
      <c r="D241" s="1">
        <v>14</v>
      </c>
      <c r="E241" s="1">
        <v>17</v>
      </c>
      <c r="F241" s="1">
        <v>10</v>
      </c>
      <c r="G241" s="1" t="s">
        <v>50</v>
      </c>
      <c r="H241" s="1" t="s">
        <v>50</v>
      </c>
      <c r="I241" s="1" t="s">
        <v>50</v>
      </c>
      <c r="J241" s="1" t="s">
        <v>50</v>
      </c>
      <c r="K241" s="1" t="s">
        <v>50</v>
      </c>
      <c r="L241">
        <f t="shared" si="30"/>
        <v>96.197414256198073</v>
      </c>
      <c r="M241">
        <f t="shared" si="29"/>
        <v>304.39567777634272</v>
      </c>
      <c r="N241">
        <f t="shared" si="31"/>
        <v>290.36739528320618</v>
      </c>
      <c r="O241" t="e">
        <f t="shared" si="32"/>
        <v>#N/A</v>
      </c>
      <c r="P241" t="e">
        <f t="shared" si="33"/>
        <v>#N/A</v>
      </c>
      <c r="Q241" t="e">
        <f t="shared" si="34"/>
        <v>#N/A</v>
      </c>
      <c r="U241">
        <f>C241/Navio!$J$4</f>
        <v>15.642147287198444</v>
      </c>
    </row>
    <row r="242" spans="1:21" x14ac:dyDescent="0.3">
      <c r="A242">
        <v>240</v>
      </c>
      <c r="B242" s="47">
        <v>558.17081709619151</v>
      </c>
      <c r="C242" s="46">
        <v>283.95757485530731</v>
      </c>
      <c r="D242" s="1">
        <v>15</v>
      </c>
      <c r="E242" s="1">
        <v>16</v>
      </c>
      <c r="F242" s="1">
        <v>10</v>
      </c>
      <c r="G242" s="1" t="s">
        <v>50</v>
      </c>
      <c r="H242" s="1" t="s">
        <v>50</v>
      </c>
      <c r="I242" s="1" t="s">
        <v>50</v>
      </c>
      <c r="J242" s="1" t="s">
        <v>50</v>
      </c>
      <c r="K242" s="1" t="s">
        <v>50</v>
      </c>
      <c r="L242">
        <f t="shared" si="30"/>
        <v>210.14742667389368</v>
      </c>
      <c r="M242">
        <f t="shared" si="29"/>
        <v>172.96798541727486</v>
      </c>
      <c r="N242">
        <f t="shared" si="31"/>
        <v>290.36739528320618</v>
      </c>
      <c r="O242" t="e">
        <f t="shared" si="32"/>
        <v>#N/A</v>
      </c>
      <c r="P242" t="e">
        <f t="shared" si="33"/>
        <v>#N/A</v>
      </c>
      <c r="Q242" t="e">
        <f t="shared" si="34"/>
        <v>#N/A</v>
      </c>
      <c r="U242">
        <f>C242/Navio!$J$4</f>
        <v>15.332495689807686</v>
      </c>
    </row>
    <row r="243" spans="1:21" x14ac:dyDescent="0.3">
      <c r="A243">
        <v>241</v>
      </c>
      <c r="B243" s="47">
        <v>804.91049973344252</v>
      </c>
      <c r="C243" s="46">
        <v>284.31277878785397</v>
      </c>
      <c r="D243" s="1">
        <v>15</v>
      </c>
      <c r="E243" s="1">
        <v>17</v>
      </c>
      <c r="F243" s="1">
        <v>10</v>
      </c>
      <c r="G243" s="1" t="s">
        <v>50</v>
      </c>
      <c r="H243" s="1" t="s">
        <v>50</v>
      </c>
      <c r="I243" s="1" t="s">
        <v>50</v>
      </c>
      <c r="J243" s="1" t="s">
        <v>50</v>
      </c>
      <c r="K243" s="1" t="s">
        <v>50</v>
      </c>
      <c r="L243">
        <f t="shared" si="30"/>
        <v>210.14742667389368</v>
      </c>
      <c r="M243">
        <f t="shared" si="29"/>
        <v>304.39567777634272</v>
      </c>
      <c r="N243">
        <f t="shared" si="31"/>
        <v>290.36739528320618</v>
      </c>
      <c r="O243" t="e">
        <f t="shared" si="32"/>
        <v>#N/A</v>
      </c>
      <c r="P243" t="e">
        <f t="shared" si="33"/>
        <v>#N/A</v>
      </c>
      <c r="Q243" t="e">
        <f t="shared" si="34"/>
        <v>#N/A</v>
      </c>
      <c r="U243">
        <f>C243/Navio!$J$4</f>
        <v>15.351675184376722</v>
      </c>
    </row>
    <row r="244" spans="1:21" x14ac:dyDescent="0.3">
      <c r="A244">
        <v>242</v>
      </c>
      <c r="B244" s="47">
        <v>652.4190681986405</v>
      </c>
      <c r="C244" s="46">
        <v>288.23306994415725</v>
      </c>
      <c r="D244" s="1">
        <v>16</v>
      </c>
      <c r="E244" s="1">
        <v>17</v>
      </c>
      <c r="F244" s="1">
        <v>10</v>
      </c>
      <c r="G244" s="1" t="s">
        <v>50</v>
      </c>
      <c r="H244" s="1" t="s">
        <v>50</v>
      </c>
      <c r="I244" s="1" t="s">
        <v>50</v>
      </c>
      <c r="J244" s="1" t="s">
        <v>50</v>
      </c>
      <c r="K244" s="1" t="s">
        <v>50</v>
      </c>
      <c r="L244">
        <f t="shared" si="30"/>
        <v>172.96798541727486</v>
      </c>
      <c r="M244">
        <f t="shared" si="29"/>
        <v>304.39567777634272</v>
      </c>
      <c r="N244">
        <f t="shared" si="31"/>
        <v>290.36739528320618</v>
      </c>
      <c r="O244" t="e">
        <f t="shared" si="32"/>
        <v>#N/A</v>
      </c>
      <c r="P244" t="e">
        <f t="shared" si="33"/>
        <v>#N/A</v>
      </c>
      <c r="Q244" t="e">
        <f t="shared" si="34"/>
        <v>#N/A</v>
      </c>
      <c r="U244">
        <f>C244/Navio!$J$4</f>
        <v>15.56335415539005</v>
      </c>
    </row>
    <row r="245" spans="1:21" x14ac:dyDescent="0.3">
      <c r="A245">
        <v>243</v>
      </c>
      <c r="B245" s="47">
        <v>491.91592243833918</v>
      </c>
      <c r="C245" s="46">
        <v>253.62314336560686</v>
      </c>
      <c r="D245" s="1">
        <v>12</v>
      </c>
      <c r="E245" s="1">
        <v>13</v>
      </c>
      <c r="F245" s="1">
        <v>11</v>
      </c>
      <c r="G245" s="1" t="s">
        <v>50</v>
      </c>
      <c r="H245" s="1" t="s">
        <v>50</v>
      </c>
      <c r="I245" s="1" t="s">
        <v>50</v>
      </c>
      <c r="J245" s="1" t="s">
        <v>50</v>
      </c>
      <c r="K245" s="1" t="s">
        <v>50</v>
      </c>
      <c r="L245">
        <f t="shared" si="30"/>
        <v>82.076561445310972</v>
      </c>
      <c r="M245">
        <f t="shared" si="29"/>
        <v>185.56448544286178</v>
      </c>
      <c r="N245">
        <f t="shared" si="31"/>
        <v>278.99258318037374</v>
      </c>
      <c r="O245" t="e">
        <f t="shared" si="32"/>
        <v>#N/A</v>
      </c>
      <c r="P245" t="e">
        <f t="shared" si="33"/>
        <v>#N/A</v>
      </c>
      <c r="Q245" t="e">
        <f t="shared" si="34"/>
        <v>#N/A</v>
      </c>
      <c r="U245">
        <f>C245/Navio!$J$4</f>
        <v>13.694566008567117</v>
      </c>
    </row>
    <row r="246" spans="1:21" x14ac:dyDescent="0.3">
      <c r="A246">
        <v>244</v>
      </c>
      <c r="B246" s="47">
        <v>402.5488512516755</v>
      </c>
      <c r="C246" s="46">
        <v>268.44932517608459</v>
      </c>
      <c r="D246" s="1">
        <v>14</v>
      </c>
      <c r="E246" s="1">
        <v>12</v>
      </c>
      <c r="F246" s="1">
        <v>11</v>
      </c>
      <c r="G246" s="1" t="s">
        <v>50</v>
      </c>
      <c r="H246" s="1" t="s">
        <v>50</v>
      </c>
      <c r="I246" s="1" t="s">
        <v>50</v>
      </c>
      <c r="J246" s="1" t="s">
        <v>50</v>
      </c>
      <c r="K246" s="1" t="s">
        <v>50</v>
      </c>
      <c r="L246">
        <f t="shared" si="30"/>
        <v>96.197414256198073</v>
      </c>
      <c r="M246">
        <f t="shared" si="29"/>
        <v>82.076561445310972</v>
      </c>
      <c r="N246">
        <f t="shared" si="31"/>
        <v>278.99258318037374</v>
      </c>
      <c r="O246" t="e">
        <f t="shared" si="32"/>
        <v>#N/A</v>
      </c>
      <c r="P246" t="e">
        <f t="shared" si="33"/>
        <v>#N/A</v>
      </c>
      <c r="Q246" t="e">
        <f t="shared" si="34"/>
        <v>#N/A</v>
      </c>
      <c r="U246">
        <f>C246/Navio!$J$4</f>
        <v>14.495116473971283</v>
      </c>
    </row>
    <row r="247" spans="1:21" x14ac:dyDescent="0.3">
      <c r="A247">
        <v>245</v>
      </c>
      <c r="B247" s="47">
        <v>516.49886366937108</v>
      </c>
      <c r="C247" s="46">
        <v>269.92032276056</v>
      </c>
      <c r="D247" s="1">
        <v>12</v>
      </c>
      <c r="E247" s="1">
        <v>15</v>
      </c>
      <c r="F247" s="1">
        <v>11</v>
      </c>
      <c r="G247" s="1" t="s">
        <v>50</v>
      </c>
      <c r="H247" s="1" t="s">
        <v>50</v>
      </c>
      <c r="I247" s="1" t="s">
        <v>50</v>
      </c>
      <c r="J247" s="1" t="s">
        <v>50</v>
      </c>
      <c r="K247" s="1" t="s">
        <v>50</v>
      </c>
      <c r="L247">
        <f t="shared" si="30"/>
        <v>82.076561445310972</v>
      </c>
      <c r="M247">
        <f t="shared" si="29"/>
        <v>210.14742667389368</v>
      </c>
      <c r="N247">
        <f t="shared" si="31"/>
        <v>278.99258318037374</v>
      </c>
      <c r="O247" t="e">
        <f t="shared" si="32"/>
        <v>#N/A</v>
      </c>
      <c r="P247" t="e">
        <f t="shared" si="33"/>
        <v>#N/A</v>
      </c>
      <c r="Q247" t="e">
        <f t="shared" si="34"/>
        <v>#N/A</v>
      </c>
      <c r="U247">
        <f>C247/Navio!$J$4</f>
        <v>14.57454405795167</v>
      </c>
    </row>
    <row r="248" spans="1:21" x14ac:dyDescent="0.3">
      <c r="A248">
        <v>246</v>
      </c>
      <c r="B248" s="47">
        <v>364.007432134569</v>
      </c>
      <c r="C248" s="46">
        <v>281.30269690454338</v>
      </c>
      <c r="D248" s="1">
        <v>12</v>
      </c>
      <c r="E248" s="1">
        <v>16</v>
      </c>
      <c r="F248" s="1">
        <v>11</v>
      </c>
      <c r="G248" s="1" t="s">
        <v>50</v>
      </c>
      <c r="H248" s="1" t="s">
        <v>50</v>
      </c>
      <c r="I248" s="1" t="s">
        <v>50</v>
      </c>
      <c r="J248" s="1" t="s">
        <v>50</v>
      </c>
      <c r="K248" s="1" t="s">
        <v>50</v>
      </c>
      <c r="L248">
        <f t="shared" si="30"/>
        <v>82.076561445310972</v>
      </c>
      <c r="M248">
        <f t="shared" si="29"/>
        <v>172.96798541727486</v>
      </c>
      <c r="N248">
        <f t="shared" si="31"/>
        <v>278.99258318037374</v>
      </c>
      <c r="O248" t="e">
        <f t="shared" si="32"/>
        <v>#N/A</v>
      </c>
      <c r="P248" t="e">
        <f t="shared" si="33"/>
        <v>#N/A</v>
      </c>
      <c r="Q248" t="e">
        <f t="shared" si="34"/>
        <v>#N/A</v>
      </c>
      <c r="U248">
        <f>C248/Navio!$J$4</f>
        <v>15.189143624775452</v>
      </c>
    </row>
    <row r="249" spans="1:21" x14ac:dyDescent="0.3">
      <c r="A249">
        <v>247</v>
      </c>
      <c r="B249" s="47">
        <v>610.74711477182018</v>
      </c>
      <c r="C249" s="46">
        <v>279.75808342532872</v>
      </c>
      <c r="D249" s="1">
        <v>12</v>
      </c>
      <c r="E249" s="1">
        <v>17</v>
      </c>
      <c r="F249" s="1">
        <v>11</v>
      </c>
      <c r="G249" s="1" t="s">
        <v>50</v>
      </c>
      <c r="H249" s="1" t="s">
        <v>50</v>
      </c>
      <c r="I249" s="1" t="s">
        <v>50</v>
      </c>
      <c r="J249" s="1" t="s">
        <v>50</v>
      </c>
      <c r="K249" s="1" t="s">
        <v>50</v>
      </c>
      <c r="L249">
        <f t="shared" si="30"/>
        <v>82.076561445310972</v>
      </c>
      <c r="M249">
        <f t="shared" si="29"/>
        <v>304.39567777634272</v>
      </c>
      <c r="N249">
        <f t="shared" si="31"/>
        <v>278.99258318037374</v>
      </c>
      <c r="O249" t="e">
        <f t="shared" si="32"/>
        <v>#N/A</v>
      </c>
      <c r="P249" t="e">
        <f t="shared" si="33"/>
        <v>#N/A</v>
      </c>
      <c r="Q249" t="e">
        <f t="shared" si="34"/>
        <v>#N/A</v>
      </c>
      <c r="U249">
        <f>C249/Navio!$J$4</f>
        <v>15.105741097040294</v>
      </c>
    </row>
    <row r="250" spans="1:21" x14ac:dyDescent="0.3">
      <c r="A250">
        <v>248</v>
      </c>
      <c r="B250" s="47">
        <v>560.75448287943357</v>
      </c>
      <c r="C250" s="46">
        <v>271.39289283393464</v>
      </c>
      <c r="D250" s="1">
        <v>14</v>
      </c>
      <c r="E250" s="1">
        <v>13</v>
      </c>
      <c r="F250" s="1">
        <v>11</v>
      </c>
      <c r="G250" s="1" t="s">
        <v>50</v>
      </c>
      <c r="H250" s="1" t="s">
        <v>50</v>
      </c>
      <c r="I250" s="1" t="s">
        <v>50</v>
      </c>
      <c r="J250" s="1" t="s">
        <v>50</v>
      </c>
      <c r="K250" s="1" t="s">
        <v>50</v>
      </c>
      <c r="L250">
        <f t="shared" si="30"/>
        <v>96.197414256198073</v>
      </c>
      <c r="M250">
        <f t="shared" si="29"/>
        <v>185.56448544286178</v>
      </c>
      <c r="N250">
        <f t="shared" si="31"/>
        <v>278.99258318037374</v>
      </c>
      <c r="O250" t="e">
        <f t="shared" si="32"/>
        <v>#N/A</v>
      </c>
      <c r="P250" t="e">
        <f t="shared" si="33"/>
        <v>#N/A</v>
      </c>
      <c r="Q250" t="e">
        <f t="shared" si="34"/>
        <v>#N/A</v>
      </c>
      <c r="U250">
        <f>C250/Navio!$J$4</f>
        <v>14.65405654961336</v>
      </c>
    </row>
    <row r="251" spans="1:21" x14ac:dyDescent="0.3">
      <c r="A251">
        <v>249</v>
      </c>
      <c r="B251" s="47">
        <v>674.70449529712914</v>
      </c>
      <c r="C251" s="46">
        <v>270.68930135819869</v>
      </c>
      <c r="D251" s="1">
        <v>15</v>
      </c>
      <c r="E251" s="1">
        <v>13</v>
      </c>
      <c r="F251" s="1">
        <v>11</v>
      </c>
      <c r="G251" s="1" t="s">
        <v>50</v>
      </c>
      <c r="H251" s="1" t="s">
        <v>50</v>
      </c>
      <c r="I251" s="1" t="s">
        <v>50</v>
      </c>
      <c r="J251" s="1" t="s">
        <v>50</v>
      </c>
      <c r="K251" s="1" t="s">
        <v>50</v>
      </c>
      <c r="L251">
        <f t="shared" si="30"/>
        <v>210.14742667389368</v>
      </c>
      <c r="M251">
        <f t="shared" si="29"/>
        <v>185.56448544286178</v>
      </c>
      <c r="N251">
        <f t="shared" si="31"/>
        <v>278.99258318037374</v>
      </c>
      <c r="O251" t="e">
        <f t="shared" si="32"/>
        <v>#N/A</v>
      </c>
      <c r="P251" t="e">
        <f t="shared" si="33"/>
        <v>#N/A</v>
      </c>
      <c r="Q251" t="e">
        <f t="shared" si="34"/>
        <v>#N/A</v>
      </c>
      <c r="U251">
        <f>C251/Navio!$J$4</f>
        <v>14.616065616374112</v>
      </c>
    </row>
    <row r="252" spans="1:21" x14ac:dyDescent="0.3">
      <c r="A252">
        <v>250</v>
      </c>
      <c r="B252" s="47">
        <v>522.21306376232712</v>
      </c>
      <c r="C252" s="46">
        <v>281.50860109577741</v>
      </c>
      <c r="D252" s="1">
        <v>16</v>
      </c>
      <c r="E252" s="1">
        <v>13</v>
      </c>
      <c r="F252" s="1">
        <v>11</v>
      </c>
      <c r="G252" s="1" t="s">
        <v>50</v>
      </c>
      <c r="H252" s="1" t="s">
        <v>50</v>
      </c>
      <c r="I252" s="1" t="s">
        <v>50</v>
      </c>
      <c r="J252" s="1" t="s">
        <v>50</v>
      </c>
      <c r="K252" s="1" t="s">
        <v>50</v>
      </c>
      <c r="L252">
        <f t="shared" si="30"/>
        <v>172.96798541727486</v>
      </c>
      <c r="M252">
        <f t="shared" si="29"/>
        <v>185.56448544286178</v>
      </c>
      <c r="N252">
        <f t="shared" si="31"/>
        <v>278.99258318037374</v>
      </c>
      <c r="O252" t="e">
        <f t="shared" si="32"/>
        <v>#N/A</v>
      </c>
      <c r="P252" t="e">
        <f t="shared" si="33"/>
        <v>#N/A</v>
      </c>
      <c r="Q252" t="e">
        <f t="shared" si="34"/>
        <v>#N/A</v>
      </c>
      <c r="U252">
        <f>C252/Navio!$J$4</f>
        <v>15.200261571272275</v>
      </c>
    </row>
    <row r="253" spans="1:21" x14ac:dyDescent="0.3">
      <c r="A253">
        <v>251</v>
      </c>
      <c r="B253" s="47">
        <v>768.95274639957825</v>
      </c>
      <c r="C253" s="46">
        <v>278.56547063405174</v>
      </c>
      <c r="D253" s="1">
        <v>17</v>
      </c>
      <c r="E253" s="1">
        <v>13</v>
      </c>
      <c r="F253" s="1">
        <v>11</v>
      </c>
      <c r="G253" s="1" t="s">
        <v>50</v>
      </c>
      <c r="H253" s="1" t="s">
        <v>50</v>
      </c>
      <c r="I253" s="1" t="s">
        <v>50</v>
      </c>
      <c r="J253" s="1" t="s">
        <v>50</v>
      </c>
      <c r="K253" s="1" t="s">
        <v>50</v>
      </c>
      <c r="L253">
        <f t="shared" si="30"/>
        <v>304.39567777634272</v>
      </c>
      <c r="M253">
        <f t="shared" si="29"/>
        <v>185.56448544286178</v>
      </c>
      <c r="N253">
        <f t="shared" si="31"/>
        <v>278.99258318037374</v>
      </c>
      <c r="O253" t="e">
        <f t="shared" si="32"/>
        <v>#N/A</v>
      </c>
      <c r="P253" t="e">
        <f t="shared" si="33"/>
        <v>#N/A</v>
      </c>
      <c r="Q253" t="e">
        <f t="shared" si="34"/>
        <v>#N/A</v>
      </c>
      <c r="U253">
        <f>C253/Navio!$J$4</f>
        <v>15.041345102352773</v>
      </c>
    </row>
    <row r="254" spans="1:21" x14ac:dyDescent="0.3">
      <c r="A254">
        <v>252</v>
      </c>
      <c r="B254" s="47">
        <v>585.33742411046546</v>
      </c>
      <c r="C254" s="46">
        <v>275.3335518294075</v>
      </c>
      <c r="D254" s="1">
        <v>14</v>
      </c>
      <c r="E254" s="1">
        <v>15</v>
      </c>
      <c r="F254" s="1">
        <v>11</v>
      </c>
      <c r="G254" s="1" t="s">
        <v>50</v>
      </c>
      <c r="H254" s="1" t="s">
        <v>50</v>
      </c>
      <c r="I254" s="1" t="s">
        <v>50</v>
      </c>
      <c r="J254" s="1" t="s">
        <v>50</v>
      </c>
      <c r="K254" s="1" t="s">
        <v>50</v>
      </c>
      <c r="L254">
        <f t="shared" si="30"/>
        <v>96.197414256198073</v>
      </c>
      <c r="M254">
        <f t="shared" si="29"/>
        <v>210.14742667389368</v>
      </c>
      <c r="N254">
        <f t="shared" si="31"/>
        <v>278.99258318037374</v>
      </c>
      <c r="O254" t="e">
        <f t="shared" si="32"/>
        <v>#N/A</v>
      </c>
      <c r="P254" t="e">
        <f t="shared" si="33"/>
        <v>#N/A</v>
      </c>
      <c r="Q254" t="e">
        <f t="shared" si="34"/>
        <v>#N/A</v>
      </c>
      <c r="U254">
        <f>C254/Navio!$J$4</f>
        <v>14.866835296909947</v>
      </c>
    </row>
    <row r="255" spans="1:21" x14ac:dyDescent="0.3">
      <c r="A255">
        <v>253</v>
      </c>
      <c r="B255" s="47">
        <v>432.84599257566344</v>
      </c>
      <c r="C255" s="46">
        <v>284.84639129191356</v>
      </c>
      <c r="D255" s="1">
        <v>14</v>
      </c>
      <c r="E255" s="1">
        <v>16</v>
      </c>
      <c r="F255" s="1">
        <v>11</v>
      </c>
      <c r="G255" s="1" t="s">
        <v>50</v>
      </c>
      <c r="H255" s="1" t="s">
        <v>50</v>
      </c>
      <c r="I255" s="1" t="s">
        <v>50</v>
      </c>
      <c r="J255" s="1" t="s">
        <v>50</v>
      </c>
      <c r="K255" s="1" t="s">
        <v>50</v>
      </c>
      <c r="L255">
        <f t="shared" si="30"/>
        <v>96.197414256198073</v>
      </c>
      <c r="M255">
        <f t="shared" si="29"/>
        <v>172.96798541727486</v>
      </c>
      <c r="N255">
        <f t="shared" si="31"/>
        <v>278.99258318037374</v>
      </c>
      <c r="O255" t="e">
        <f t="shared" si="32"/>
        <v>#N/A</v>
      </c>
      <c r="P255" t="e">
        <f t="shared" si="33"/>
        <v>#N/A</v>
      </c>
      <c r="Q255" t="e">
        <f t="shared" si="34"/>
        <v>#N/A</v>
      </c>
      <c r="U255">
        <f>C255/Navio!$J$4</f>
        <v>15.380487979466588</v>
      </c>
    </row>
    <row r="256" spans="1:21" x14ac:dyDescent="0.3">
      <c r="A256">
        <v>254</v>
      </c>
      <c r="B256" s="47">
        <v>679.58567521291457</v>
      </c>
      <c r="C256" s="46">
        <v>287.52852811248181</v>
      </c>
      <c r="D256" s="1">
        <v>14</v>
      </c>
      <c r="E256" s="1">
        <v>17</v>
      </c>
      <c r="F256" s="1">
        <v>11</v>
      </c>
      <c r="G256" s="1" t="s">
        <v>50</v>
      </c>
      <c r="H256" s="1" t="s">
        <v>50</v>
      </c>
      <c r="I256" s="1" t="s">
        <v>50</v>
      </c>
      <c r="J256" s="1" t="s">
        <v>50</v>
      </c>
      <c r="K256" s="1" t="s">
        <v>50</v>
      </c>
      <c r="L256">
        <f t="shared" si="30"/>
        <v>96.197414256198073</v>
      </c>
      <c r="M256">
        <f t="shared" si="29"/>
        <v>304.39567777634272</v>
      </c>
      <c r="N256">
        <f t="shared" si="31"/>
        <v>278.99258318037374</v>
      </c>
      <c r="O256" t="e">
        <f t="shared" si="32"/>
        <v>#N/A</v>
      </c>
      <c r="P256" t="e">
        <f t="shared" si="33"/>
        <v>#N/A</v>
      </c>
      <c r="Q256" t="e">
        <f t="shared" si="34"/>
        <v>#N/A</v>
      </c>
      <c r="U256">
        <f>C256/Navio!$J$4</f>
        <v>15.525311906990945</v>
      </c>
    </row>
    <row r="257" spans="1:21" x14ac:dyDescent="0.3">
      <c r="A257">
        <v>255</v>
      </c>
      <c r="B257" s="47">
        <v>546.79600499335902</v>
      </c>
      <c r="C257" s="46">
        <v>281.30348008989097</v>
      </c>
      <c r="D257" s="1">
        <v>15</v>
      </c>
      <c r="E257" s="1">
        <v>16</v>
      </c>
      <c r="F257" s="1">
        <v>11</v>
      </c>
      <c r="G257" s="1" t="s">
        <v>50</v>
      </c>
      <c r="H257" s="1" t="s">
        <v>50</v>
      </c>
      <c r="I257" s="1" t="s">
        <v>50</v>
      </c>
      <c r="J257" s="1" t="s">
        <v>50</v>
      </c>
      <c r="K257" s="1" t="s">
        <v>50</v>
      </c>
      <c r="L257">
        <f t="shared" si="30"/>
        <v>210.14742667389368</v>
      </c>
      <c r="M257">
        <f t="shared" si="29"/>
        <v>172.96798541727486</v>
      </c>
      <c r="N257">
        <f t="shared" si="31"/>
        <v>278.99258318037374</v>
      </c>
      <c r="O257" t="e">
        <f t="shared" si="32"/>
        <v>#N/A</v>
      </c>
      <c r="P257" t="e">
        <f t="shared" si="33"/>
        <v>#N/A</v>
      </c>
      <c r="Q257" t="e">
        <f t="shared" si="34"/>
        <v>#N/A</v>
      </c>
      <c r="U257">
        <f>C257/Navio!$J$4</f>
        <v>15.189185913437665</v>
      </c>
    </row>
    <row r="258" spans="1:21" x14ac:dyDescent="0.3">
      <c r="A258">
        <v>256</v>
      </c>
      <c r="B258" s="47">
        <v>793.53568763061014</v>
      </c>
      <c r="C258" s="46">
        <v>282.14898941577724</v>
      </c>
      <c r="D258" s="1">
        <v>15</v>
      </c>
      <c r="E258" s="1">
        <v>17</v>
      </c>
      <c r="F258" s="1">
        <v>11</v>
      </c>
      <c r="G258" s="1" t="s">
        <v>50</v>
      </c>
      <c r="H258" s="1" t="s">
        <v>50</v>
      </c>
      <c r="I258" s="1" t="s">
        <v>50</v>
      </c>
      <c r="J258" s="1" t="s">
        <v>50</v>
      </c>
      <c r="K258" s="1" t="s">
        <v>50</v>
      </c>
      <c r="L258">
        <f t="shared" si="30"/>
        <v>210.14742667389368</v>
      </c>
      <c r="M258">
        <f t="shared" si="29"/>
        <v>304.39567777634272</v>
      </c>
      <c r="N258">
        <f t="shared" si="31"/>
        <v>278.99258318037374</v>
      </c>
      <c r="O258" t="e">
        <f t="shared" si="32"/>
        <v>#N/A</v>
      </c>
      <c r="P258" t="e">
        <f t="shared" si="33"/>
        <v>#N/A</v>
      </c>
      <c r="Q258" t="e">
        <f t="shared" si="34"/>
        <v>#N/A</v>
      </c>
      <c r="U258">
        <f>C258/Navio!$J$4</f>
        <v>15.234839804169228</v>
      </c>
    </row>
    <row r="259" spans="1:21" x14ac:dyDescent="0.3">
      <c r="A259">
        <v>257</v>
      </c>
      <c r="B259" s="47">
        <v>641.04425609580812</v>
      </c>
      <c r="C259" s="46">
        <v>286.06928057208046</v>
      </c>
      <c r="D259" s="1">
        <v>16</v>
      </c>
      <c r="E259" s="1">
        <v>17</v>
      </c>
      <c r="F259" s="1">
        <v>11</v>
      </c>
      <c r="G259" s="1" t="s">
        <v>50</v>
      </c>
      <c r="H259" s="1" t="s">
        <v>50</v>
      </c>
      <c r="I259" s="1" t="s">
        <v>50</v>
      </c>
      <c r="J259" s="1" t="s">
        <v>50</v>
      </c>
      <c r="K259" s="1" t="s">
        <v>50</v>
      </c>
      <c r="L259">
        <f t="shared" si="30"/>
        <v>172.96798541727486</v>
      </c>
      <c r="M259">
        <f t="shared" ref="M259:M322" si="35">VLOOKUP(E259,$Y$2:$Z$80,2)</f>
        <v>304.39567777634272</v>
      </c>
      <c r="N259">
        <f t="shared" si="31"/>
        <v>278.99258318037374</v>
      </c>
      <c r="O259" t="e">
        <f t="shared" si="32"/>
        <v>#N/A</v>
      </c>
      <c r="P259" t="e">
        <f t="shared" si="33"/>
        <v>#N/A</v>
      </c>
      <c r="Q259" t="e">
        <f t="shared" si="34"/>
        <v>#N/A</v>
      </c>
      <c r="U259">
        <f>C259/Navio!$J$4</f>
        <v>15.44651877518255</v>
      </c>
    </row>
    <row r="260" spans="1:21" x14ac:dyDescent="0.3">
      <c r="A260">
        <v>258</v>
      </c>
      <c r="B260" s="47">
        <v>309.12075351416354</v>
      </c>
      <c r="C260" s="46">
        <v>273.56254828799763</v>
      </c>
      <c r="D260" s="1">
        <v>13</v>
      </c>
      <c r="E260" s="1">
        <v>14</v>
      </c>
      <c r="F260" s="1">
        <v>12</v>
      </c>
      <c r="G260" s="1" t="s">
        <v>50</v>
      </c>
      <c r="H260" s="1" t="s">
        <v>50</v>
      </c>
      <c r="I260" s="1" t="s">
        <v>50</v>
      </c>
      <c r="J260" s="1" t="s">
        <v>50</v>
      </c>
      <c r="K260" s="1" t="s">
        <v>50</v>
      </c>
      <c r="L260">
        <f t="shared" si="30"/>
        <v>185.56448544286178</v>
      </c>
      <c r="M260">
        <f t="shared" si="35"/>
        <v>96.197414256198073</v>
      </c>
      <c r="N260">
        <f t="shared" si="31"/>
        <v>82.076561445310972</v>
      </c>
      <c r="O260" t="e">
        <f t="shared" si="32"/>
        <v>#N/A</v>
      </c>
      <c r="P260" t="e">
        <f t="shared" si="33"/>
        <v>#N/A</v>
      </c>
      <c r="Q260" t="e">
        <f t="shared" si="34"/>
        <v>#N/A</v>
      </c>
      <c r="U260">
        <f>C260/Navio!$J$4</f>
        <v>14.77120867318231</v>
      </c>
    </row>
    <row r="261" spans="1:21" x14ac:dyDescent="0.3">
      <c r="A261">
        <v>259</v>
      </c>
      <c r="B261" s="47">
        <v>423.07076593185911</v>
      </c>
      <c r="C261" s="46">
        <v>269.8055447032599</v>
      </c>
      <c r="D261" s="1">
        <v>13</v>
      </c>
      <c r="E261" s="1">
        <v>15</v>
      </c>
      <c r="F261" s="1">
        <v>12</v>
      </c>
      <c r="G261" s="1" t="s">
        <v>50</v>
      </c>
      <c r="H261" s="1" t="s">
        <v>50</v>
      </c>
      <c r="I261" s="1" t="s">
        <v>50</v>
      </c>
      <c r="J261" s="1" t="s">
        <v>50</v>
      </c>
      <c r="K261" s="1" t="s">
        <v>50</v>
      </c>
      <c r="L261">
        <f t="shared" si="30"/>
        <v>185.56448544286178</v>
      </c>
      <c r="M261">
        <f t="shared" si="35"/>
        <v>210.14742667389368</v>
      </c>
      <c r="N261">
        <f t="shared" si="31"/>
        <v>82.076561445310972</v>
      </c>
      <c r="O261" t="e">
        <f t="shared" si="32"/>
        <v>#N/A</v>
      </c>
      <c r="P261" t="e">
        <f t="shared" si="33"/>
        <v>#N/A</v>
      </c>
      <c r="Q261" t="e">
        <f t="shared" si="34"/>
        <v>#N/A</v>
      </c>
      <c r="U261">
        <f>C261/Navio!$J$4</f>
        <v>14.568346533304775</v>
      </c>
    </row>
    <row r="262" spans="1:21" x14ac:dyDescent="0.3">
      <c r="A262">
        <v>260</v>
      </c>
      <c r="B262" s="47">
        <v>270.57933439705704</v>
      </c>
      <c r="C262" s="46">
        <v>280.62871673754455</v>
      </c>
      <c r="D262" s="1">
        <v>13</v>
      </c>
      <c r="E262" s="1">
        <v>16</v>
      </c>
      <c r="F262" s="1">
        <v>12</v>
      </c>
      <c r="G262" s="1" t="s">
        <v>50</v>
      </c>
      <c r="H262" s="1" t="s">
        <v>50</v>
      </c>
      <c r="I262" s="1" t="s">
        <v>50</v>
      </c>
      <c r="J262" s="1" t="s">
        <v>50</v>
      </c>
      <c r="K262" s="1" t="s">
        <v>50</v>
      </c>
      <c r="L262">
        <f t="shared" si="30"/>
        <v>185.56448544286178</v>
      </c>
      <c r="M262">
        <f t="shared" si="35"/>
        <v>172.96798541727486</v>
      </c>
      <c r="N262">
        <f t="shared" si="31"/>
        <v>82.076561445310972</v>
      </c>
      <c r="O262" t="e">
        <f t="shared" si="32"/>
        <v>#N/A</v>
      </c>
      <c r="P262" t="e">
        <f t="shared" si="33"/>
        <v>#N/A</v>
      </c>
      <c r="Q262" t="e">
        <f t="shared" si="34"/>
        <v>#N/A</v>
      </c>
      <c r="U262">
        <f>C262/Navio!$J$4</f>
        <v>15.152751575678712</v>
      </c>
    </row>
    <row r="263" spans="1:21" x14ac:dyDescent="0.3">
      <c r="A263">
        <v>261</v>
      </c>
      <c r="B263" s="47">
        <v>517.31901703430822</v>
      </c>
      <c r="C263" s="46">
        <v>278.96101797024949</v>
      </c>
      <c r="D263" s="1">
        <v>13</v>
      </c>
      <c r="E263" s="1">
        <v>17</v>
      </c>
      <c r="F263" s="1">
        <v>12</v>
      </c>
      <c r="G263" s="1" t="s">
        <v>50</v>
      </c>
      <c r="H263" s="1" t="s">
        <v>50</v>
      </c>
      <c r="I263" s="1" t="s">
        <v>50</v>
      </c>
      <c r="J263" s="1" t="s">
        <v>50</v>
      </c>
      <c r="K263" s="1" t="s">
        <v>50</v>
      </c>
      <c r="L263">
        <f t="shared" si="30"/>
        <v>185.56448544286178</v>
      </c>
      <c r="M263">
        <f t="shared" si="35"/>
        <v>304.39567777634272</v>
      </c>
      <c r="N263">
        <f t="shared" si="31"/>
        <v>82.076561445310972</v>
      </c>
      <c r="O263" t="e">
        <f t="shared" si="32"/>
        <v>#N/A</v>
      </c>
      <c r="P263" t="e">
        <f t="shared" si="33"/>
        <v>#N/A</v>
      </c>
      <c r="Q263" t="e">
        <f t="shared" si="34"/>
        <v>#N/A</v>
      </c>
      <c r="U263">
        <f>C263/Navio!$J$4</f>
        <v>15.06270296833137</v>
      </c>
    </row>
    <row r="264" spans="1:21" x14ac:dyDescent="0.3">
      <c r="A264">
        <v>262</v>
      </c>
      <c r="B264" s="47">
        <v>333.70369474519543</v>
      </c>
      <c r="C264" s="46">
        <v>270.53252735185436</v>
      </c>
      <c r="D264" s="1">
        <v>14</v>
      </c>
      <c r="E264" s="1">
        <v>15</v>
      </c>
      <c r="F264" s="1">
        <v>12</v>
      </c>
      <c r="G264" s="1" t="s">
        <v>50</v>
      </c>
      <c r="H264" s="1" t="s">
        <v>50</v>
      </c>
      <c r="I264" s="1" t="s">
        <v>50</v>
      </c>
      <c r="J264" s="1" t="s">
        <v>50</v>
      </c>
      <c r="K264" s="1" t="s">
        <v>50</v>
      </c>
      <c r="L264">
        <f t="shared" si="30"/>
        <v>96.197414256198073</v>
      </c>
      <c r="M264">
        <f t="shared" si="35"/>
        <v>210.14742667389368</v>
      </c>
      <c r="N264">
        <f t="shared" si="31"/>
        <v>82.076561445310972</v>
      </c>
      <c r="O264" t="e">
        <f t="shared" si="32"/>
        <v>#N/A</v>
      </c>
      <c r="P264" t="e">
        <f t="shared" si="33"/>
        <v>#N/A</v>
      </c>
      <c r="Q264" t="e">
        <f t="shared" si="34"/>
        <v>#N/A</v>
      </c>
      <c r="U264">
        <f>C264/Navio!$J$4</f>
        <v>14.607600489927764</v>
      </c>
    </row>
    <row r="265" spans="1:21" x14ac:dyDescent="0.3">
      <c r="A265">
        <v>263</v>
      </c>
      <c r="B265" s="47">
        <v>181.21226321039336</v>
      </c>
      <c r="C265" s="46">
        <v>281.01124177916802</v>
      </c>
      <c r="D265" s="1">
        <v>14</v>
      </c>
      <c r="E265" s="1">
        <v>16</v>
      </c>
      <c r="F265" s="1">
        <v>12</v>
      </c>
      <c r="G265" s="1" t="s">
        <v>50</v>
      </c>
      <c r="H265" s="1" t="s">
        <v>50</v>
      </c>
      <c r="I265" s="1" t="s">
        <v>50</v>
      </c>
      <c r="J265" s="1" t="s">
        <v>50</v>
      </c>
      <c r="K265" s="1" t="s">
        <v>50</v>
      </c>
      <c r="L265">
        <f t="shared" si="30"/>
        <v>96.197414256198073</v>
      </c>
      <c r="M265">
        <f t="shared" si="35"/>
        <v>172.96798541727486</v>
      </c>
      <c r="N265">
        <f t="shared" si="31"/>
        <v>82.076561445310972</v>
      </c>
      <c r="O265" t="e">
        <f t="shared" si="32"/>
        <v>#N/A</v>
      </c>
      <c r="P265" t="e">
        <f t="shared" si="33"/>
        <v>#N/A</v>
      </c>
      <c r="Q265" t="e">
        <f t="shared" si="34"/>
        <v>#N/A</v>
      </c>
      <c r="U265">
        <f>C265/Navio!$J$4</f>
        <v>15.173406293394638</v>
      </c>
    </row>
    <row r="266" spans="1:21" x14ac:dyDescent="0.3">
      <c r="A266">
        <v>264</v>
      </c>
      <c r="B266" s="47">
        <v>427.95194584764442</v>
      </c>
      <c r="C266" s="46">
        <v>287.67456958647875</v>
      </c>
      <c r="D266" s="1">
        <v>14</v>
      </c>
      <c r="E266" s="1">
        <v>17</v>
      </c>
      <c r="F266" s="1">
        <v>12</v>
      </c>
      <c r="G266" s="1" t="s">
        <v>50</v>
      </c>
      <c r="H266" s="1" t="s">
        <v>50</v>
      </c>
      <c r="I266" s="1" t="s">
        <v>50</v>
      </c>
      <c r="J266" s="1" t="s">
        <v>50</v>
      </c>
      <c r="K266" s="1" t="s">
        <v>50</v>
      </c>
      <c r="L266">
        <f t="shared" si="30"/>
        <v>96.197414256198073</v>
      </c>
      <c r="M266">
        <f t="shared" si="35"/>
        <v>304.39567777634272</v>
      </c>
      <c r="N266">
        <f t="shared" si="31"/>
        <v>82.076561445310972</v>
      </c>
      <c r="O266" t="e">
        <f t="shared" si="32"/>
        <v>#N/A</v>
      </c>
      <c r="P266" t="e">
        <f t="shared" si="33"/>
        <v>#N/A</v>
      </c>
      <c r="Q266" t="e">
        <f t="shared" si="34"/>
        <v>#N/A</v>
      </c>
      <c r="U266">
        <f>C266/Navio!$J$4</f>
        <v>15.533197522550708</v>
      </c>
    </row>
    <row r="267" spans="1:21" x14ac:dyDescent="0.3">
      <c r="A267">
        <v>265</v>
      </c>
      <c r="B267" s="47">
        <v>295.16227562808893</v>
      </c>
      <c r="C267" s="46">
        <v>277.46445828043943</v>
      </c>
      <c r="D267" s="1">
        <v>16</v>
      </c>
      <c r="E267" s="1">
        <v>15</v>
      </c>
      <c r="F267" s="1">
        <v>12</v>
      </c>
      <c r="G267" s="1" t="s">
        <v>50</v>
      </c>
      <c r="H267" s="1" t="s">
        <v>50</v>
      </c>
      <c r="I267" s="1" t="s">
        <v>50</v>
      </c>
      <c r="J267" s="1" t="s">
        <v>50</v>
      </c>
      <c r="K267" s="1" t="s">
        <v>50</v>
      </c>
      <c r="L267">
        <f t="shared" si="30"/>
        <v>172.96798541727486</v>
      </c>
      <c r="M267">
        <f t="shared" si="35"/>
        <v>210.14742667389368</v>
      </c>
      <c r="N267">
        <f t="shared" si="31"/>
        <v>82.076561445310972</v>
      </c>
      <c r="O267" t="e">
        <f t="shared" si="32"/>
        <v>#N/A</v>
      </c>
      <c r="P267" t="e">
        <f t="shared" si="33"/>
        <v>#N/A</v>
      </c>
      <c r="Q267" t="e">
        <f t="shared" si="34"/>
        <v>#N/A</v>
      </c>
      <c r="U267">
        <f>C267/Navio!$J$4</f>
        <v>14.981895139889938</v>
      </c>
    </row>
    <row r="268" spans="1:21" x14ac:dyDescent="0.3">
      <c r="A268">
        <v>266</v>
      </c>
      <c r="B268" s="47">
        <v>541.90195826534</v>
      </c>
      <c r="C268" s="46">
        <v>281.01572689863764</v>
      </c>
      <c r="D268" s="1">
        <v>17</v>
      </c>
      <c r="E268" s="1">
        <v>15</v>
      </c>
      <c r="F268" s="1">
        <v>12</v>
      </c>
      <c r="G268" s="1" t="s">
        <v>50</v>
      </c>
      <c r="H268" s="1" t="s">
        <v>50</v>
      </c>
      <c r="I268" s="1" t="s">
        <v>50</v>
      </c>
      <c r="J268" s="1" t="s">
        <v>50</v>
      </c>
      <c r="K268" s="1" t="s">
        <v>50</v>
      </c>
      <c r="L268">
        <f t="shared" si="30"/>
        <v>304.39567777634272</v>
      </c>
      <c r="M268">
        <f t="shared" si="35"/>
        <v>210.14742667389368</v>
      </c>
      <c r="N268">
        <f t="shared" si="31"/>
        <v>82.076561445310972</v>
      </c>
      <c r="O268" t="e">
        <f t="shared" si="32"/>
        <v>#N/A</v>
      </c>
      <c r="P268" t="e">
        <f t="shared" si="33"/>
        <v>#N/A</v>
      </c>
      <c r="Q268" t="e">
        <f t="shared" si="34"/>
        <v>#N/A</v>
      </c>
      <c r="U268">
        <f>C268/Navio!$J$4</f>
        <v>15.173648470681055</v>
      </c>
    </row>
    <row r="269" spans="1:21" x14ac:dyDescent="0.3">
      <c r="A269">
        <v>267</v>
      </c>
      <c r="B269" s="47">
        <v>389.41052673053798</v>
      </c>
      <c r="C269" s="46">
        <v>284.93989035164685</v>
      </c>
      <c r="D269" s="1">
        <v>17</v>
      </c>
      <c r="E269" s="1">
        <v>16</v>
      </c>
      <c r="F269" s="1">
        <v>12</v>
      </c>
      <c r="G269" s="1" t="s">
        <v>50</v>
      </c>
      <c r="H269" s="1" t="s">
        <v>50</v>
      </c>
      <c r="I269" s="1" t="s">
        <v>50</v>
      </c>
      <c r="J269" s="1" t="s">
        <v>50</v>
      </c>
      <c r="K269" s="1" t="s">
        <v>50</v>
      </c>
      <c r="L269">
        <f t="shared" ref="L269:L332" si="36">VLOOKUP(D269,$Y$2:$Z$80,2)</f>
        <v>304.39567777634272</v>
      </c>
      <c r="M269">
        <f t="shared" si="35"/>
        <v>172.96798541727486</v>
      </c>
      <c r="N269">
        <f t="shared" ref="N269:N332" si="37">VLOOKUP(F269,$Y$2:$Z$80,2)</f>
        <v>82.076561445310972</v>
      </c>
      <c r="O269" t="e">
        <f t="shared" ref="O269:O332" si="38">VLOOKUP(G269,$Y$2:$Z$80,2)</f>
        <v>#N/A</v>
      </c>
      <c r="P269" t="e">
        <f t="shared" ref="P269:P332" si="39">VLOOKUP(H269,$Y$2:$Z$80,2)</f>
        <v>#N/A</v>
      </c>
      <c r="Q269" t="e">
        <f t="shared" ref="Q269:Q332" si="40">VLOOKUP(I269,$Y$2:$Z$80,2)</f>
        <v>#N/A</v>
      </c>
      <c r="U269">
        <f>C269/Navio!$J$4</f>
        <v>15.385536529170157</v>
      </c>
    </row>
    <row r="270" spans="1:21" x14ac:dyDescent="0.3">
      <c r="A270">
        <v>268</v>
      </c>
      <c r="B270" s="47">
        <v>491.9093263729535</v>
      </c>
      <c r="C270" s="46">
        <v>275.2187737721074</v>
      </c>
      <c r="D270" s="1">
        <v>14</v>
      </c>
      <c r="E270" s="1">
        <v>15</v>
      </c>
      <c r="F270" s="1">
        <v>13</v>
      </c>
      <c r="G270" s="1" t="s">
        <v>50</v>
      </c>
      <c r="H270" s="1" t="s">
        <v>50</v>
      </c>
      <c r="I270" s="1" t="s">
        <v>50</v>
      </c>
      <c r="J270" s="1" t="s">
        <v>50</v>
      </c>
      <c r="K270" s="1" t="s">
        <v>50</v>
      </c>
      <c r="L270">
        <f t="shared" si="36"/>
        <v>96.197414256198073</v>
      </c>
      <c r="M270">
        <f t="shared" si="35"/>
        <v>210.14742667389368</v>
      </c>
      <c r="N270">
        <f t="shared" si="37"/>
        <v>185.56448544286178</v>
      </c>
      <c r="O270" t="e">
        <f t="shared" si="38"/>
        <v>#N/A</v>
      </c>
      <c r="P270" t="e">
        <f t="shared" si="39"/>
        <v>#N/A</v>
      </c>
      <c r="Q270" t="e">
        <f t="shared" si="40"/>
        <v>#N/A</v>
      </c>
      <c r="U270">
        <f>C270/Navio!$J$4</f>
        <v>14.860637772263052</v>
      </c>
    </row>
    <row r="271" spans="1:21" x14ac:dyDescent="0.3">
      <c r="A271">
        <v>269</v>
      </c>
      <c r="B271" s="47">
        <v>339.41789483815148</v>
      </c>
      <c r="C271" s="46">
        <v>284.17241112491473</v>
      </c>
      <c r="D271" s="1">
        <v>14</v>
      </c>
      <c r="E271" s="1">
        <v>16</v>
      </c>
      <c r="F271" s="1">
        <v>13</v>
      </c>
      <c r="G271" s="1" t="s">
        <v>50</v>
      </c>
      <c r="H271" s="1" t="s">
        <v>50</v>
      </c>
      <c r="I271" s="1" t="s">
        <v>50</v>
      </c>
      <c r="J271" s="1" t="s">
        <v>50</v>
      </c>
      <c r="K271" s="1" t="s">
        <v>50</v>
      </c>
      <c r="L271">
        <f t="shared" si="36"/>
        <v>96.197414256198073</v>
      </c>
      <c r="M271">
        <f t="shared" si="35"/>
        <v>172.96798541727486</v>
      </c>
      <c r="N271">
        <f t="shared" si="37"/>
        <v>185.56448544286178</v>
      </c>
      <c r="O271" t="e">
        <f t="shared" si="38"/>
        <v>#N/A</v>
      </c>
      <c r="P271" t="e">
        <f t="shared" si="39"/>
        <v>#N/A</v>
      </c>
      <c r="Q271" t="e">
        <f t="shared" si="40"/>
        <v>#N/A</v>
      </c>
      <c r="U271">
        <f>C271/Navio!$J$4</f>
        <v>15.34409593036985</v>
      </c>
    </row>
    <row r="272" spans="1:21" x14ac:dyDescent="0.3">
      <c r="A272">
        <v>270</v>
      </c>
      <c r="B272" s="47">
        <v>586.1575774754026</v>
      </c>
      <c r="C272" s="46">
        <v>286.73146265740257</v>
      </c>
      <c r="D272" s="1">
        <v>14</v>
      </c>
      <c r="E272" s="1">
        <v>17</v>
      </c>
      <c r="F272" s="1">
        <v>13</v>
      </c>
      <c r="G272" s="1" t="s">
        <v>50</v>
      </c>
      <c r="H272" s="1" t="s">
        <v>50</v>
      </c>
      <c r="I272" s="1" t="s">
        <v>50</v>
      </c>
      <c r="J272" s="1" t="s">
        <v>50</v>
      </c>
      <c r="K272" s="1" t="s">
        <v>50</v>
      </c>
      <c r="L272">
        <f t="shared" si="36"/>
        <v>96.197414256198073</v>
      </c>
      <c r="M272">
        <f t="shared" si="35"/>
        <v>304.39567777634272</v>
      </c>
      <c r="N272">
        <f t="shared" si="37"/>
        <v>185.56448544286178</v>
      </c>
      <c r="O272" t="e">
        <f t="shared" si="38"/>
        <v>#N/A</v>
      </c>
      <c r="P272" t="e">
        <f t="shared" si="39"/>
        <v>#N/A</v>
      </c>
      <c r="Q272" t="e">
        <f t="shared" si="40"/>
        <v>#N/A</v>
      </c>
      <c r="U272">
        <f>C272/Navio!$J$4</f>
        <v>15.482273778282019</v>
      </c>
    </row>
    <row r="273" spans="1:21" x14ac:dyDescent="0.3">
      <c r="A273">
        <v>271</v>
      </c>
      <c r="B273" s="47">
        <v>453.36790725584706</v>
      </c>
      <c r="C273" s="46">
        <v>280.62949992289214</v>
      </c>
      <c r="D273" s="1">
        <v>15</v>
      </c>
      <c r="E273" s="1">
        <v>16</v>
      </c>
      <c r="F273" s="1">
        <v>13</v>
      </c>
      <c r="G273" s="1" t="s">
        <v>50</v>
      </c>
      <c r="H273" s="1" t="s">
        <v>50</v>
      </c>
      <c r="I273" s="1" t="s">
        <v>50</v>
      </c>
      <c r="J273" s="1" t="s">
        <v>50</v>
      </c>
      <c r="K273" s="1" t="s">
        <v>50</v>
      </c>
      <c r="L273">
        <f t="shared" si="36"/>
        <v>210.14742667389368</v>
      </c>
      <c r="M273">
        <f t="shared" si="35"/>
        <v>172.96798541727486</v>
      </c>
      <c r="N273">
        <f t="shared" si="37"/>
        <v>185.56448544286178</v>
      </c>
      <c r="O273" t="e">
        <f t="shared" si="38"/>
        <v>#N/A</v>
      </c>
      <c r="P273" t="e">
        <f t="shared" si="39"/>
        <v>#N/A</v>
      </c>
      <c r="Q273" t="e">
        <f t="shared" si="40"/>
        <v>#N/A</v>
      </c>
      <c r="U273">
        <f>C273/Navio!$J$4</f>
        <v>15.152793864340927</v>
      </c>
    </row>
    <row r="274" spans="1:21" x14ac:dyDescent="0.3">
      <c r="A274">
        <v>272</v>
      </c>
      <c r="B274" s="47">
        <v>700.10758989309818</v>
      </c>
      <c r="C274" s="46">
        <v>281.35192396069795</v>
      </c>
      <c r="D274" s="1">
        <v>15</v>
      </c>
      <c r="E274" s="1">
        <v>17</v>
      </c>
      <c r="F274" s="1">
        <v>13</v>
      </c>
      <c r="G274" s="1" t="s">
        <v>50</v>
      </c>
      <c r="H274" s="1" t="s">
        <v>50</v>
      </c>
      <c r="I274" s="1" t="s">
        <v>50</v>
      </c>
      <c r="J274" s="1" t="s">
        <v>50</v>
      </c>
      <c r="K274" s="1" t="s">
        <v>50</v>
      </c>
      <c r="L274">
        <f t="shared" si="36"/>
        <v>210.14742667389368</v>
      </c>
      <c r="M274">
        <f t="shared" si="35"/>
        <v>304.39567777634272</v>
      </c>
      <c r="N274">
        <f t="shared" si="37"/>
        <v>185.56448544286178</v>
      </c>
      <c r="O274" t="e">
        <f t="shared" si="38"/>
        <v>#N/A</v>
      </c>
      <c r="P274" t="e">
        <f t="shared" si="39"/>
        <v>#N/A</v>
      </c>
      <c r="Q274" t="e">
        <f t="shared" si="40"/>
        <v>#N/A</v>
      </c>
      <c r="U274">
        <f>C274/Navio!$J$4</f>
        <v>15.191801675460299</v>
      </c>
    </row>
    <row r="275" spans="1:21" x14ac:dyDescent="0.3">
      <c r="A275">
        <v>273</v>
      </c>
      <c r="B275" s="47">
        <v>547.61615835829616</v>
      </c>
      <c r="C275" s="46">
        <v>285.27221511700122</v>
      </c>
      <c r="D275" s="1">
        <v>16</v>
      </c>
      <c r="E275" s="1">
        <v>17</v>
      </c>
      <c r="F275" s="1">
        <v>13</v>
      </c>
      <c r="G275" s="1" t="s">
        <v>50</v>
      </c>
      <c r="H275" s="1" t="s">
        <v>50</v>
      </c>
      <c r="I275" s="1" t="s">
        <v>50</v>
      </c>
      <c r="J275" s="1" t="s">
        <v>50</v>
      </c>
      <c r="K275" s="1" t="s">
        <v>50</v>
      </c>
      <c r="L275">
        <f t="shared" si="36"/>
        <v>172.96798541727486</v>
      </c>
      <c r="M275">
        <f t="shared" si="35"/>
        <v>304.39567777634272</v>
      </c>
      <c r="N275">
        <f t="shared" si="37"/>
        <v>185.56448544286178</v>
      </c>
      <c r="O275" t="e">
        <f t="shared" si="38"/>
        <v>#N/A</v>
      </c>
      <c r="P275" t="e">
        <f t="shared" si="39"/>
        <v>#N/A</v>
      </c>
      <c r="Q275" t="e">
        <f t="shared" si="40"/>
        <v>#N/A</v>
      </c>
      <c r="U275">
        <f>C275/Navio!$J$4</f>
        <v>15.403480646473627</v>
      </c>
    </row>
    <row r="276" spans="1:21" x14ac:dyDescent="0.3">
      <c r="A276">
        <v>274</v>
      </c>
      <c r="B276" s="47">
        <v>364.00083606918338</v>
      </c>
      <c r="C276" s="46">
        <v>281.0120249645156</v>
      </c>
      <c r="D276" s="1">
        <v>15</v>
      </c>
      <c r="E276" s="1">
        <v>16</v>
      </c>
      <c r="F276" s="1">
        <v>14</v>
      </c>
      <c r="G276" s="1" t="s">
        <v>50</v>
      </c>
      <c r="H276" s="1" t="s">
        <v>50</v>
      </c>
      <c r="I276" s="1" t="s">
        <v>50</v>
      </c>
      <c r="J276" s="1" t="s">
        <v>50</v>
      </c>
      <c r="K276" s="1" t="s">
        <v>50</v>
      </c>
      <c r="L276">
        <f t="shared" si="36"/>
        <v>210.14742667389368</v>
      </c>
      <c r="M276">
        <f t="shared" si="35"/>
        <v>172.96798541727486</v>
      </c>
      <c r="N276">
        <f t="shared" si="37"/>
        <v>96.197414256198073</v>
      </c>
      <c r="O276" t="e">
        <f t="shared" si="38"/>
        <v>#N/A</v>
      </c>
      <c r="P276" t="e">
        <f t="shared" si="39"/>
        <v>#N/A</v>
      </c>
      <c r="Q276" t="e">
        <f t="shared" si="40"/>
        <v>#N/A</v>
      </c>
      <c r="U276">
        <f>C276/Navio!$J$4</f>
        <v>15.173448582056853</v>
      </c>
    </row>
    <row r="277" spans="1:21" x14ac:dyDescent="0.3">
      <c r="A277">
        <v>275</v>
      </c>
      <c r="B277" s="47">
        <v>610.7405187064345</v>
      </c>
      <c r="C277" s="46">
        <v>286.42895596748508</v>
      </c>
      <c r="D277" s="1">
        <v>17</v>
      </c>
      <c r="E277" s="1">
        <v>15</v>
      </c>
      <c r="F277" s="1">
        <v>14</v>
      </c>
      <c r="G277" s="1" t="s">
        <v>50</v>
      </c>
      <c r="H277" s="1" t="s">
        <v>50</v>
      </c>
      <c r="I277" s="1" t="s">
        <v>50</v>
      </c>
      <c r="J277" s="1" t="s">
        <v>50</v>
      </c>
      <c r="K277" s="1" t="s">
        <v>50</v>
      </c>
      <c r="L277">
        <f t="shared" si="36"/>
        <v>304.39567777634272</v>
      </c>
      <c r="M277">
        <f t="shared" si="35"/>
        <v>210.14742667389368</v>
      </c>
      <c r="N277">
        <f t="shared" si="37"/>
        <v>96.197414256198073</v>
      </c>
      <c r="O277" t="e">
        <f t="shared" si="38"/>
        <v>#N/A</v>
      </c>
      <c r="P277" t="e">
        <f t="shared" si="39"/>
        <v>#N/A</v>
      </c>
      <c r="Q277" t="e">
        <f t="shared" si="40"/>
        <v>#N/A</v>
      </c>
      <c r="U277">
        <f>C277/Navio!$J$4</f>
        <v>15.465939709639331</v>
      </c>
    </row>
    <row r="278" spans="1:21" x14ac:dyDescent="0.3">
      <c r="A278">
        <v>276</v>
      </c>
      <c r="B278" s="47">
        <v>458.24908717163242</v>
      </c>
      <c r="C278" s="46">
        <v>288.48358473901703</v>
      </c>
      <c r="D278" s="1">
        <v>17</v>
      </c>
      <c r="E278" s="1">
        <v>16</v>
      </c>
      <c r="F278" s="1">
        <v>14</v>
      </c>
      <c r="G278" s="1" t="s">
        <v>50</v>
      </c>
      <c r="H278" s="1" t="s">
        <v>50</v>
      </c>
      <c r="I278" s="1" t="s">
        <v>50</v>
      </c>
      <c r="J278" s="1" t="s">
        <v>50</v>
      </c>
      <c r="K278" s="1" t="s">
        <v>50</v>
      </c>
      <c r="L278">
        <f t="shared" si="36"/>
        <v>304.39567777634272</v>
      </c>
      <c r="M278">
        <f t="shared" si="35"/>
        <v>172.96798541727486</v>
      </c>
      <c r="N278">
        <f t="shared" si="37"/>
        <v>96.197414256198073</v>
      </c>
      <c r="O278" t="e">
        <f t="shared" si="38"/>
        <v>#N/A</v>
      </c>
      <c r="P278" t="e">
        <f t="shared" si="39"/>
        <v>#N/A</v>
      </c>
      <c r="Q278" t="e">
        <f t="shared" si="40"/>
        <v>#N/A</v>
      </c>
      <c r="U278">
        <f>C278/Navio!$J$4</f>
        <v>15.576880883861294</v>
      </c>
    </row>
    <row r="279" spans="1:21" x14ac:dyDescent="0.3">
      <c r="A279">
        <v>277</v>
      </c>
      <c r="B279" s="47">
        <v>572.19909958932806</v>
      </c>
      <c r="C279" s="46">
        <v>284.94067353699438</v>
      </c>
      <c r="D279" s="1">
        <v>17</v>
      </c>
      <c r="E279" s="1">
        <v>16</v>
      </c>
      <c r="F279" s="1">
        <v>15</v>
      </c>
      <c r="G279" s="1" t="s">
        <v>50</v>
      </c>
      <c r="H279" s="1" t="s">
        <v>50</v>
      </c>
      <c r="I279" s="1" t="s">
        <v>50</v>
      </c>
      <c r="J279" s="1" t="s">
        <v>50</v>
      </c>
      <c r="K279" s="1" t="s">
        <v>50</v>
      </c>
      <c r="L279">
        <f t="shared" si="36"/>
        <v>304.39567777634272</v>
      </c>
      <c r="M279">
        <f t="shared" si="35"/>
        <v>172.96798541727486</v>
      </c>
      <c r="N279">
        <f t="shared" si="37"/>
        <v>210.14742667389368</v>
      </c>
      <c r="O279" t="e">
        <f t="shared" si="38"/>
        <v>#N/A</v>
      </c>
      <c r="P279" t="e">
        <f t="shared" si="39"/>
        <v>#N/A</v>
      </c>
      <c r="Q279" t="e">
        <f t="shared" si="40"/>
        <v>#N/A</v>
      </c>
      <c r="U279">
        <f>C279/Navio!$J$4</f>
        <v>15.385578817832368</v>
      </c>
    </row>
    <row r="280" spans="1:21" x14ac:dyDescent="0.3">
      <c r="A280">
        <v>278</v>
      </c>
      <c r="B280" s="47">
        <v>755.36739528320618</v>
      </c>
      <c r="C280" s="46">
        <v>225.27997238599147</v>
      </c>
      <c r="D280" s="1">
        <v>9</v>
      </c>
      <c r="E280" s="1">
        <v>10</v>
      </c>
      <c r="F280" s="1">
        <v>8</v>
      </c>
      <c r="G280" s="1">
        <v>7</v>
      </c>
      <c r="H280" s="1" t="s">
        <v>50</v>
      </c>
      <c r="I280" s="1" t="s">
        <v>50</v>
      </c>
      <c r="J280" s="1" t="s">
        <v>50</v>
      </c>
      <c r="K280" s="1" t="s">
        <v>50</v>
      </c>
      <c r="L280">
        <f t="shared" si="36"/>
        <v>310</v>
      </c>
      <c r="M280">
        <f t="shared" si="35"/>
        <v>290.36739528320618</v>
      </c>
      <c r="N280">
        <f t="shared" si="37"/>
        <v>310</v>
      </c>
      <c r="O280">
        <f t="shared" si="38"/>
        <v>310</v>
      </c>
      <c r="P280" t="e">
        <f t="shared" si="39"/>
        <v>#N/A</v>
      </c>
      <c r="Q280" t="e">
        <f t="shared" si="40"/>
        <v>#N/A</v>
      </c>
      <c r="U280">
        <f>C280/Navio!$J$4</f>
        <v>12.164155886203329</v>
      </c>
    </row>
    <row r="281" spans="1:21" x14ac:dyDescent="0.3">
      <c r="A281">
        <v>279</v>
      </c>
      <c r="B281" s="47">
        <v>743.99258318037369</v>
      </c>
      <c r="C281" s="46">
        <v>234.00809682720438</v>
      </c>
      <c r="D281" s="1">
        <v>9</v>
      </c>
      <c r="E281" s="1">
        <v>11</v>
      </c>
      <c r="F281" s="1">
        <v>8</v>
      </c>
      <c r="G281" s="1">
        <v>7</v>
      </c>
      <c r="H281" s="1" t="s">
        <v>50</v>
      </c>
      <c r="I281" s="1" t="s">
        <v>50</v>
      </c>
      <c r="J281" s="1" t="s">
        <v>50</v>
      </c>
      <c r="K281" s="1" t="s">
        <v>50</v>
      </c>
      <c r="L281">
        <f t="shared" si="36"/>
        <v>310</v>
      </c>
      <c r="M281">
        <f t="shared" si="35"/>
        <v>278.99258318037374</v>
      </c>
      <c r="N281">
        <f t="shared" si="37"/>
        <v>310</v>
      </c>
      <c r="O281">
        <f t="shared" si="38"/>
        <v>310</v>
      </c>
      <c r="P281" t="e">
        <f t="shared" si="39"/>
        <v>#N/A</v>
      </c>
      <c r="Q281" t="e">
        <f t="shared" si="40"/>
        <v>#N/A</v>
      </c>
      <c r="U281">
        <f>C281/Navio!$J$4</f>
        <v>12.635437310702017</v>
      </c>
    </row>
    <row r="282" spans="1:21" x14ac:dyDescent="0.3">
      <c r="A282">
        <v>280</v>
      </c>
      <c r="B282" s="47">
        <v>492.35885381510366</v>
      </c>
      <c r="C282" s="46">
        <v>244.71435748411807</v>
      </c>
      <c r="D282" s="1">
        <v>9</v>
      </c>
      <c r="E282" s="1">
        <v>12</v>
      </c>
      <c r="F282" s="1">
        <v>7</v>
      </c>
      <c r="G282" s="1">
        <v>8</v>
      </c>
      <c r="H282" s="1" t="s">
        <v>50</v>
      </c>
      <c r="I282" s="1" t="s">
        <v>50</v>
      </c>
      <c r="J282" s="1" t="s">
        <v>50</v>
      </c>
      <c r="K282" s="1" t="s">
        <v>50</v>
      </c>
      <c r="L282">
        <f t="shared" si="36"/>
        <v>310</v>
      </c>
      <c r="M282">
        <f t="shared" si="35"/>
        <v>82.076561445310972</v>
      </c>
      <c r="N282">
        <f t="shared" si="37"/>
        <v>310</v>
      </c>
      <c r="O282">
        <f t="shared" si="38"/>
        <v>310</v>
      </c>
      <c r="P282" t="e">
        <f t="shared" si="39"/>
        <v>#N/A</v>
      </c>
      <c r="Q282" t="e">
        <f t="shared" si="40"/>
        <v>#N/A</v>
      </c>
      <c r="U282">
        <f>C282/Navio!$J$4</f>
        <v>13.213529638260921</v>
      </c>
    </row>
    <row r="283" spans="1:21" x14ac:dyDescent="0.3">
      <c r="A283">
        <v>281</v>
      </c>
      <c r="B283" s="47">
        <v>650.56448544286172</v>
      </c>
      <c r="C283" s="46">
        <v>252.91333575470568</v>
      </c>
      <c r="D283" s="1">
        <v>9</v>
      </c>
      <c r="E283" s="1">
        <v>13</v>
      </c>
      <c r="F283" s="1">
        <v>8</v>
      </c>
      <c r="G283" s="1">
        <v>7</v>
      </c>
      <c r="H283" s="1" t="s">
        <v>50</v>
      </c>
      <c r="I283" s="1" t="s">
        <v>50</v>
      </c>
      <c r="J283" s="1" t="s">
        <v>50</v>
      </c>
      <c r="K283" s="1" t="s">
        <v>50</v>
      </c>
      <c r="L283">
        <f t="shared" si="36"/>
        <v>310</v>
      </c>
      <c r="M283">
        <f t="shared" si="35"/>
        <v>185.56448544286178</v>
      </c>
      <c r="N283">
        <f t="shared" si="37"/>
        <v>310</v>
      </c>
      <c r="O283">
        <f t="shared" si="38"/>
        <v>310</v>
      </c>
      <c r="P283" t="e">
        <f t="shared" si="39"/>
        <v>#N/A</v>
      </c>
      <c r="Q283" t="e">
        <f t="shared" si="40"/>
        <v>#N/A</v>
      </c>
      <c r="U283">
        <f>C283/Navio!$J$4</f>
        <v>13.656239430590528</v>
      </c>
    </row>
    <row r="284" spans="1:21" x14ac:dyDescent="0.3">
      <c r="A284">
        <v>282</v>
      </c>
      <c r="B284" s="47">
        <v>561.19741425619804</v>
      </c>
      <c r="C284" s="46">
        <v>267.96370836205716</v>
      </c>
      <c r="D284" s="1">
        <v>9</v>
      </c>
      <c r="E284" s="1">
        <v>14</v>
      </c>
      <c r="F284" s="1">
        <v>7</v>
      </c>
      <c r="G284" s="1">
        <v>8</v>
      </c>
      <c r="H284" s="1" t="s">
        <v>50</v>
      </c>
      <c r="I284" s="1" t="s">
        <v>50</v>
      </c>
      <c r="J284" s="1" t="s">
        <v>50</v>
      </c>
      <c r="K284" s="1" t="s">
        <v>50</v>
      </c>
      <c r="L284">
        <f t="shared" si="36"/>
        <v>310</v>
      </c>
      <c r="M284">
        <f t="shared" si="35"/>
        <v>96.197414256198073</v>
      </c>
      <c r="N284">
        <f t="shared" si="37"/>
        <v>310</v>
      </c>
      <c r="O284">
        <f t="shared" si="38"/>
        <v>310</v>
      </c>
      <c r="P284" t="e">
        <f t="shared" si="39"/>
        <v>#N/A</v>
      </c>
      <c r="Q284" t="e">
        <f t="shared" si="40"/>
        <v>#N/A</v>
      </c>
      <c r="U284">
        <f>C284/Navio!$J$4</f>
        <v>14.46889524105729</v>
      </c>
    </row>
    <row r="285" spans="1:21" x14ac:dyDescent="0.3">
      <c r="A285">
        <v>283</v>
      </c>
      <c r="B285" s="47">
        <v>675.14742667389373</v>
      </c>
      <c r="C285" s="46">
        <v>272.40652552342937</v>
      </c>
      <c r="D285" s="1">
        <v>9</v>
      </c>
      <c r="E285" s="1">
        <v>15</v>
      </c>
      <c r="F285" s="1">
        <v>7</v>
      </c>
      <c r="G285" s="1">
        <v>8</v>
      </c>
      <c r="H285" s="1" t="s">
        <v>50</v>
      </c>
      <c r="I285" s="1" t="s">
        <v>50</v>
      </c>
      <c r="J285" s="1" t="s">
        <v>50</v>
      </c>
      <c r="K285" s="1" t="s">
        <v>50</v>
      </c>
      <c r="L285">
        <f t="shared" si="36"/>
        <v>310</v>
      </c>
      <c r="M285">
        <f t="shared" si="35"/>
        <v>210.14742667389368</v>
      </c>
      <c r="N285">
        <f t="shared" si="37"/>
        <v>310</v>
      </c>
      <c r="O285">
        <f t="shared" si="38"/>
        <v>310</v>
      </c>
      <c r="P285" t="e">
        <f t="shared" si="39"/>
        <v>#N/A</v>
      </c>
      <c r="Q285" t="e">
        <f t="shared" si="40"/>
        <v>#N/A</v>
      </c>
      <c r="U285">
        <f>C285/Navio!$J$4</f>
        <v>14.708788383587661</v>
      </c>
    </row>
    <row r="286" spans="1:21" x14ac:dyDescent="0.3">
      <c r="A286">
        <v>284</v>
      </c>
      <c r="B286" s="47">
        <v>522.6559951390916</v>
      </c>
      <c r="C286" s="46">
        <v>284.26841695386497</v>
      </c>
      <c r="D286" s="1">
        <v>9</v>
      </c>
      <c r="E286" s="1">
        <v>16</v>
      </c>
      <c r="F286" s="1">
        <v>7</v>
      </c>
      <c r="G286" s="1">
        <v>8</v>
      </c>
      <c r="H286" s="1" t="s">
        <v>50</v>
      </c>
      <c r="I286" s="1" t="s">
        <v>50</v>
      </c>
      <c r="J286" s="1" t="s">
        <v>50</v>
      </c>
      <c r="K286" s="1" t="s">
        <v>50</v>
      </c>
      <c r="L286">
        <f t="shared" si="36"/>
        <v>310</v>
      </c>
      <c r="M286">
        <f t="shared" si="35"/>
        <v>172.96798541727486</v>
      </c>
      <c r="N286">
        <f t="shared" si="37"/>
        <v>310</v>
      </c>
      <c r="O286">
        <f t="shared" si="38"/>
        <v>310</v>
      </c>
      <c r="P286" t="e">
        <f t="shared" si="39"/>
        <v>#N/A</v>
      </c>
      <c r="Q286" t="e">
        <f t="shared" si="40"/>
        <v>#N/A</v>
      </c>
      <c r="U286">
        <f>C286/Navio!$J$4</f>
        <v>15.349279834899693</v>
      </c>
    </row>
    <row r="287" spans="1:21" x14ac:dyDescent="0.3">
      <c r="A287">
        <v>285</v>
      </c>
      <c r="B287" s="47">
        <v>769.39567777634272</v>
      </c>
      <c r="C287" s="46">
        <v>282.82412913303796</v>
      </c>
      <c r="D287" s="1">
        <v>9</v>
      </c>
      <c r="E287" s="1">
        <v>17</v>
      </c>
      <c r="F287" s="1">
        <v>7</v>
      </c>
      <c r="G287" s="1">
        <v>8</v>
      </c>
      <c r="H287" s="1" t="s">
        <v>50</v>
      </c>
      <c r="I287" s="1" t="s">
        <v>50</v>
      </c>
      <c r="J287" s="1" t="s">
        <v>50</v>
      </c>
      <c r="K287" s="1" t="s">
        <v>50</v>
      </c>
      <c r="L287">
        <f t="shared" si="36"/>
        <v>310</v>
      </c>
      <c r="M287">
        <f t="shared" si="35"/>
        <v>304.39567777634272</v>
      </c>
      <c r="N287">
        <f t="shared" si="37"/>
        <v>310</v>
      </c>
      <c r="O287">
        <f t="shared" si="38"/>
        <v>310</v>
      </c>
      <c r="P287" t="e">
        <f t="shared" si="39"/>
        <v>#N/A</v>
      </c>
      <c r="Q287" t="e">
        <f t="shared" si="40"/>
        <v>#N/A</v>
      </c>
      <c r="U287">
        <f>C287/Navio!$J$4</f>
        <v>15.271294464025344</v>
      </c>
    </row>
    <row r="288" spans="1:21" x14ac:dyDescent="0.3">
      <c r="A288">
        <v>286</v>
      </c>
      <c r="B288" s="47">
        <v>879.35997846357986</v>
      </c>
      <c r="C288" s="46">
        <v>236.19871944144188</v>
      </c>
      <c r="D288" s="1">
        <v>10</v>
      </c>
      <c r="E288" s="1">
        <v>11</v>
      </c>
      <c r="F288" s="1">
        <v>8</v>
      </c>
      <c r="G288" s="1">
        <v>7</v>
      </c>
      <c r="H288" s="1" t="s">
        <v>50</v>
      </c>
      <c r="I288" s="1" t="s">
        <v>50</v>
      </c>
      <c r="J288" s="1" t="s">
        <v>50</v>
      </c>
      <c r="K288" s="1" t="s">
        <v>50</v>
      </c>
      <c r="L288">
        <f t="shared" si="36"/>
        <v>290.36739528320618</v>
      </c>
      <c r="M288">
        <f t="shared" si="35"/>
        <v>278.99258318037374</v>
      </c>
      <c r="N288">
        <f t="shared" si="37"/>
        <v>310</v>
      </c>
      <c r="O288">
        <f t="shared" si="38"/>
        <v>310</v>
      </c>
      <c r="P288" t="e">
        <f t="shared" si="39"/>
        <v>#N/A</v>
      </c>
      <c r="Q288" t="e">
        <f t="shared" si="40"/>
        <v>#N/A</v>
      </c>
      <c r="U288">
        <f>C288/Navio!$J$4</f>
        <v>12.753721571327592</v>
      </c>
    </row>
    <row r="289" spans="1:21" x14ac:dyDescent="0.3">
      <c r="A289">
        <v>287</v>
      </c>
      <c r="B289" s="47">
        <v>627.72624909830984</v>
      </c>
      <c r="C289" s="46">
        <v>250.48155285591361</v>
      </c>
      <c r="D289" s="1">
        <v>10</v>
      </c>
      <c r="E289" s="1">
        <v>12</v>
      </c>
      <c r="F289" s="1">
        <v>7</v>
      </c>
      <c r="G289" s="1">
        <v>8</v>
      </c>
      <c r="H289" s="1" t="s">
        <v>50</v>
      </c>
      <c r="I289" s="1" t="s">
        <v>50</v>
      </c>
      <c r="J289" s="1" t="s">
        <v>50</v>
      </c>
      <c r="K289" s="1" t="s">
        <v>50</v>
      </c>
      <c r="L289">
        <f t="shared" si="36"/>
        <v>290.36739528320618</v>
      </c>
      <c r="M289">
        <f t="shared" si="35"/>
        <v>82.076561445310972</v>
      </c>
      <c r="N289">
        <f t="shared" si="37"/>
        <v>310</v>
      </c>
      <c r="O289">
        <f t="shared" si="38"/>
        <v>310</v>
      </c>
      <c r="P289" t="e">
        <f t="shared" si="39"/>
        <v>#N/A</v>
      </c>
      <c r="Q289" t="e">
        <f t="shared" si="40"/>
        <v>#N/A</v>
      </c>
      <c r="U289">
        <f>C289/Navio!$J$4</f>
        <v>13.52493354507831</v>
      </c>
    </row>
    <row r="290" spans="1:21" x14ac:dyDescent="0.3">
      <c r="A290">
        <v>288</v>
      </c>
      <c r="B290" s="47">
        <v>785.9318807260679</v>
      </c>
      <c r="C290" s="46">
        <v>255.00543318787075</v>
      </c>
      <c r="D290" s="1">
        <v>10</v>
      </c>
      <c r="E290" s="1">
        <v>13</v>
      </c>
      <c r="F290" s="1">
        <v>8</v>
      </c>
      <c r="G290" s="1">
        <v>7</v>
      </c>
      <c r="H290" s="1" t="s">
        <v>50</v>
      </c>
      <c r="I290" s="1" t="s">
        <v>50</v>
      </c>
      <c r="J290" s="1" t="s">
        <v>50</v>
      </c>
      <c r="K290" s="1" t="s">
        <v>50</v>
      </c>
      <c r="L290">
        <f t="shared" si="36"/>
        <v>290.36739528320618</v>
      </c>
      <c r="M290">
        <f t="shared" si="35"/>
        <v>185.56448544286178</v>
      </c>
      <c r="N290">
        <f t="shared" si="37"/>
        <v>310</v>
      </c>
      <c r="O290">
        <f t="shared" si="38"/>
        <v>310</v>
      </c>
      <c r="P290" t="e">
        <f t="shared" si="39"/>
        <v>#N/A</v>
      </c>
      <c r="Q290" t="e">
        <f t="shared" si="40"/>
        <v>#N/A</v>
      </c>
      <c r="U290">
        <f>C290/Navio!$J$4</f>
        <v>13.769203752436868</v>
      </c>
    </row>
    <row r="291" spans="1:21" x14ac:dyDescent="0.3">
      <c r="A291">
        <v>289</v>
      </c>
      <c r="B291" s="47">
        <v>696.56480953940422</v>
      </c>
      <c r="C291" s="46">
        <v>273.62869619717787</v>
      </c>
      <c r="D291" s="1">
        <v>10</v>
      </c>
      <c r="E291" s="1">
        <v>14</v>
      </c>
      <c r="F291" s="1">
        <v>7</v>
      </c>
      <c r="G291" s="1">
        <v>8</v>
      </c>
      <c r="H291" s="1" t="s">
        <v>50</v>
      </c>
      <c r="I291" s="1" t="s">
        <v>50</v>
      </c>
      <c r="J291" s="1" t="s">
        <v>50</v>
      </c>
      <c r="K291" s="1" t="s">
        <v>50</v>
      </c>
      <c r="L291">
        <f t="shared" si="36"/>
        <v>290.36739528320618</v>
      </c>
      <c r="M291">
        <f t="shared" si="35"/>
        <v>96.197414256198073</v>
      </c>
      <c r="N291">
        <f t="shared" si="37"/>
        <v>310</v>
      </c>
      <c r="O291">
        <f t="shared" si="38"/>
        <v>310</v>
      </c>
      <c r="P291" t="e">
        <f t="shared" si="39"/>
        <v>#N/A</v>
      </c>
      <c r="Q291" t="e">
        <f t="shared" si="40"/>
        <v>#N/A</v>
      </c>
      <c r="U291">
        <f>C291/Navio!$J$4</f>
        <v>14.774780377627641</v>
      </c>
    </row>
    <row r="292" spans="1:21" x14ac:dyDescent="0.3">
      <c r="A292">
        <v>290</v>
      </c>
      <c r="B292" s="47">
        <v>810.51482195709991</v>
      </c>
      <c r="C292" s="46">
        <v>275.76084887974298</v>
      </c>
      <c r="D292" s="1">
        <v>10</v>
      </c>
      <c r="E292" s="1">
        <v>15</v>
      </c>
      <c r="F292" s="1">
        <v>7</v>
      </c>
      <c r="G292" s="1">
        <v>8</v>
      </c>
      <c r="H292" s="1" t="s">
        <v>50</v>
      </c>
      <c r="I292" s="1" t="s">
        <v>50</v>
      </c>
      <c r="J292" s="1" t="s">
        <v>50</v>
      </c>
      <c r="K292" s="1" t="s">
        <v>50</v>
      </c>
      <c r="L292">
        <f t="shared" si="36"/>
        <v>290.36739528320618</v>
      </c>
      <c r="M292">
        <f t="shared" si="35"/>
        <v>210.14742667389368</v>
      </c>
      <c r="N292">
        <f t="shared" si="37"/>
        <v>310</v>
      </c>
      <c r="O292">
        <f t="shared" si="38"/>
        <v>310</v>
      </c>
      <c r="P292" t="e">
        <f t="shared" si="39"/>
        <v>#N/A</v>
      </c>
      <c r="Q292" t="e">
        <f t="shared" si="40"/>
        <v>#N/A</v>
      </c>
      <c r="U292">
        <f>C292/Navio!$J$4</f>
        <v>14.889907511785268</v>
      </c>
    </row>
    <row r="293" spans="1:21" x14ac:dyDescent="0.3">
      <c r="A293">
        <v>291</v>
      </c>
      <c r="B293" s="47">
        <v>658.02339042229778</v>
      </c>
      <c r="C293" s="46">
        <v>287.07230034345679</v>
      </c>
      <c r="D293" s="1">
        <v>10</v>
      </c>
      <c r="E293" s="1">
        <v>16</v>
      </c>
      <c r="F293" s="1">
        <v>7</v>
      </c>
      <c r="G293" s="1">
        <v>8</v>
      </c>
      <c r="H293" s="1" t="s">
        <v>50</v>
      </c>
      <c r="I293" s="1" t="s">
        <v>50</v>
      </c>
      <c r="J293" s="1" t="s">
        <v>50</v>
      </c>
      <c r="K293" s="1" t="s">
        <v>50</v>
      </c>
      <c r="L293">
        <f t="shared" si="36"/>
        <v>290.36739528320618</v>
      </c>
      <c r="M293">
        <f t="shared" si="35"/>
        <v>172.96798541727486</v>
      </c>
      <c r="N293">
        <f t="shared" si="37"/>
        <v>310</v>
      </c>
      <c r="O293">
        <f t="shared" si="38"/>
        <v>310</v>
      </c>
      <c r="P293" t="e">
        <f t="shared" si="39"/>
        <v>#N/A</v>
      </c>
      <c r="Q293" t="e">
        <f t="shared" si="40"/>
        <v>#N/A</v>
      </c>
      <c r="U293">
        <f>C293/Navio!$J$4</f>
        <v>15.500677556927521</v>
      </c>
    </row>
    <row r="294" spans="1:21" x14ac:dyDescent="0.3">
      <c r="A294">
        <v>292</v>
      </c>
      <c r="B294" s="47">
        <v>616.35143699547734</v>
      </c>
      <c r="C294" s="46">
        <v>248.44094303033941</v>
      </c>
      <c r="D294" s="1">
        <v>8</v>
      </c>
      <c r="E294" s="1">
        <v>11</v>
      </c>
      <c r="F294" s="1">
        <v>12</v>
      </c>
      <c r="G294" s="1">
        <v>7</v>
      </c>
      <c r="H294" s="1" t="s">
        <v>50</v>
      </c>
      <c r="I294" s="1" t="s">
        <v>50</v>
      </c>
      <c r="J294" s="1" t="s">
        <v>50</v>
      </c>
      <c r="K294" s="1" t="s">
        <v>50</v>
      </c>
      <c r="L294">
        <f t="shared" si="36"/>
        <v>310</v>
      </c>
      <c r="M294">
        <f t="shared" si="35"/>
        <v>278.99258318037374</v>
      </c>
      <c r="N294">
        <f t="shared" si="37"/>
        <v>82.076561445310972</v>
      </c>
      <c r="O294">
        <f t="shared" si="38"/>
        <v>310</v>
      </c>
      <c r="P294" t="e">
        <f t="shared" si="39"/>
        <v>#N/A</v>
      </c>
      <c r="Q294" t="e">
        <f t="shared" si="40"/>
        <v>#N/A</v>
      </c>
      <c r="U294">
        <f>C294/Navio!$J$4</f>
        <v>13.414749334035029</v>
      </c>
    </row>
    <row r="295" spans="1:21" x14ac:dyDescent="0.3">
      <c r="A295">
        <v>293</v>
      </c>
      <c r="B295" s="47">
        <v>774.55706862323552</v>
      </c>
      <c r="C295" s="46">
        <v>252.45566247706245</v>
      </c>
      <c r="D295" s="1">
        <v>8</v>
      </c>
      <c r="E295" s="1">
        <v>11</v>
      </c>
      <c r="F295" s="1">
        <v>13</v>
      </c>
      <c r="G295" s="1">
        <v>7</v>
      </c>
      <c r="H295" s="1" t="s">
        <v>50</v>
      </c>
      <c r="I295" s="1" t="s">
        <v>50</v>
      </c>
      <c r="J295" s="1" t="s">
        <v>50</v>
      </c>
      <c r="K295" s="1" t="s">
        <v>50</v>
      </c>
      <c r="L295">
        <f t="shared" si="36"/>
        <v>310</v>
      </c>
      <c r="M295">
        <f t="shared" si="35"/>
        <v>278.99258318037374</v>
      </c>
      <c r="N295">
        <f t="shared" si="37"/>
        <v>185.56448544286178</v>
      </c>
      <c r="O295">
        <f t="shared" si="38"/>
        <v>310</v>
      </c>
      <c r="P295" t="e">
        <f t="shared" si="39"/>
        <v>#N/A</v>
      </c>
      <c r="Q295" t="e">
        <f t="shared" si="40"/>
        <v>#N/A</v>
      </c>
      <c r="U295">
        <f>C295/Navio!$J$4</f>
        <v>13.631527029238386</v>
      </c>
    </row>
    <row r="296" spans="1:21" x14ac:dyDescent="0.3">
      <c r="A296">
        <v>294</v>
      </c>
      <c r="B296" s="47">
        <v>685.18999743657184</v>
      </c>
      <c r="C296" s="46">
        <v>271.05728961099237</v>
      </c>
      <c r="D296" s="1">
        <v>8</v>
      </c>
      <c r="E296" s="1">
        <v>11</v>
      </c>
      <c r="F296" s="1">
        <v>14</v>
      </c>
      <c r="G296" s="1">
        <v>7</v>
      </c>
      <c r="H296" s="1" t="s">
        <v>50</v>
      </c>
      <c r="I296" s="1" t="s">
        <v>50</v>
      </c>
      <c r="J296" s="1" t="s">
        <v>50</v>
      </c>
      <c r="K296" s="1" t="s">
        <v>50</v>
      </c>
      <c r="L296">
        <f t="shared" si="36"/>
        <v>310</v>
      </c>
      <c r="M296">
        <f t="shared" si="35"/>
        <v>278.99258318037374</v>
      </c>
      <c r="N296">
        <f t="shared" si="37"/>
        <v>96.197414256198073</v>
      </c>
      <c r="O296">
        <f t="shared" si="38"/>
        <v>310</v>
      </c>
      <c r="P296" t="e">
        <f t="shared" si="39"/>
        <v>#N/A</v>
      </c>
      <c r="Q296" t="e">
        <f t="shared" si="40"/>
        <v>#N/A</v>
      </c>
      <c r="U296">
        <f>C296/Navio!$J$4</f>
        <v>14.635935409609013</v>
      </c>
    </row>
    <row r="297" spans="1:21" x14ac:dyDescent="0.3">
      <c r="A297">
        <v>295</v>
      </c>
      <c r="B297" s="47">
        <v>799.14000985426742</v>
      </c>
      <c r="C297" s="46">
        <v>272.65800885427825</v>
      </c>
      <c r="D297" s="1">
        <v>8</v>
      </c>
      <c r="E297" s="1">
        <v>11</v>
      </c>
      <c r="F297" s="1">
        <v>15</v>
      </c>
      <c r="G297" s="1">
        <v>7</v>
      </c>
      <c r="H297" s="1" t="s">
        <v>50</v>
      </c>
      <c r="I297" s="1" t="s">
        <v>50</v>
      </c>
      <c r="J297" s="1" t="s">
        <v>50</v>
      </c>
      <c r="K297" s="1" t="s">
        <v>50</v>
      </c>
      <c r="L297">
        <f t="shared" si="36"/>
        <v>310</v>
      </c>
      <c r="M297">
        <f t="shared" si="35"/>
        <v>278.99258318037374</v>
      </c>
      <c r="N297">
        <f t="shared" si="37"/>
        <v>210.14742667389368</v>
      </c>
      <c r="O297">
        <f t="shared" si="38"/>
        <v>310</v>
      </c>
      <c r="P297" t="e">
        <f t="shared" si="39"/>
        <v>#N/A</v>
      </c>
      <c r="Q297" t="e">
        <f t="shared" si="40"/>
        <v>#N/A</v>
      </c>
      <c r="U297">
        <f>C297/Navio!$J$4</f>
        <v>14.722367408863757</v>
      </c>
    </row>
    <row r="298" spans="1:21" x14ac:dyDescent="0.3">
      <c r="A298">
        <v>296</v>
      </c>
      <c r="B298" s="47">
        <v>646.6485783194654</v>
      </c>
      <c r="C298" s="46">
        <v>284.04244444753277</v>
      </c>
      <c r="D298" s="1">
        <v>8</v>
      </c>
      <c r="E298" s="1">
        <v>11</v>
      </c>
      <c r="F298" s="1">
        <v>16</v>
      </c>
      <c r="G298" s="1">
        <v>7</v>
      </c>
      <c r="H298" s="1" t="s">
        <v>50</v>
      </c>
      <c r="I298" s="1" t="s">
        <v>50</v>
      </c>
      <c r="J298" s="1" t="s">
        <v>50</v>
      </c>
      <c r="K298" s="1" t="s">
        <v>50</v>
      </c>
      <c r="L298">
        <f t="shared" si="36"/>
        <v>310</v>
      </c>
      <c r="M298">
        <f t="shared" si="35"/>
        <v>278.99258318037374</v>
      </c>
      <c r="N298">
        <f t="shared" si="37"/>
        <v>172.96798541727486</v>
      </c>
      <c r="O298">
        <f t="shared" si="38"/>
        <v>310</v>
      </c>
      <c r="P298" t="e">
        <f t="shared" si="39"/>
        <v>#N/A</v>
      </c>
      <c r="Q298" t="e">
        <f t="shared" si="40"/>
        <v>#N/A</v>
      </c>
      <c r="U298">
        <f>C298/Navio!$J$4</f>
        <v>15.337078285139595</v>
      </c>
    </row>
    <row r="299" spans="1:21" x14ac:dyDescent="0.3">
      <c r="A299">
        <v>297</v>
      </c>
      <c r="B299" s="47">
        <v>893.38826095671652</v>
      </c>
      <c r="C299" s="46">
        <v>281.96417753134682</v>
      </c>
      <c r="D299" s="1">
        <v>8</v>
      </c>
      <c r="E299" s="1">
        <v>11</v>
      </c>
      <c r="F299" s="1">
        <v>17</v>
      </c>
      <c r="G299" s="1">
        <v>7</v>
      </c>
      <c r="H299" s="1" t="s">
        <v>50</v>
      </c>
      <c r="I299" s="1" t="s">
        <v>50</v>
      </c>
      <c r="J299" s="1" t="s">
        <v>50</v>
      </c>
      <c r="K299" s="1" t="s">
        <v>50</v>
      </c>
      <c r="L299">
        <f t="shared" si="36"/>
        <v>310</v>
      </c>
      <c r="M299">
        <f t="shared" si="35"/>
        <v>278.99258318037374</v>
      </c>
      <c r="N299">
        <f t="shared" si="37"/>
        <v>304.39567777634272</v>
      </c>
      <c r="O299">
        <f t="shared" si="38"/>
        <v>310</v>
      </c>
      <c r="P299" t="e">
        <f t="shared" si="39"/>
        <v>#N/A</v>
      </c>
      <c r="Q299" t="e">
        <f t="shared" si="40"/>
        <v>#N/A</v>
      </c>
      <c r="U299">
        <f>C299/Navio!$J$4</f>
        <v>15.224860752112248</v>
      </c>
    </row>
    <row r="300" spans="1:21" x14ac:dyDescent="0.3">
      <c r="A300">
        <v>298</v>
      </c>
      <c r="B300" s="47">
        <v>522.92333925796538</v>
      </c>
      <c r="C300" s="46">
        <v>253.52235723454967</v>
      </c>
      <c r="D300" s="1">
        <v>8</v>
      </c>
      <c r="E300" s="1">
        <v>13</v>
      </c>
      <c r="F300" s="1">
        <v>12</v>
      </c>
      <c r="G300" s="1">
        <v>7</v>
      </c>
      <c r="H300" s="1" t="s">
        <v>50</v>
      </c>
      <c r="I300" s="1" t="s">
        <v>50</v>
      </c>
      <c r="J300" s="1" t="s">
        <v>50</v>
      </c>
      <c r="K300" s="1" t="s">
        <v>50</v>
      </c>
      <c r="L300">
        <f t="shared" si="36"/>
        <v>310</v>
      </c>
      <c r="M300">
        <f t="shared" si="35"/>
        <v>185.56448544286178</v>
      </c>
      <c r="N300">
        <f t="shared" si="37"/>
        <v>82.076561445310972</v>
      </c>
      <c r="O300">
        <f t="shared" si="38"/>
        <v>310</v>
      </c>
      <c r="P300" t="e">
        <f t="shared" si="39"/>
        <v>#N/A</v>
      </c>
      <c r="Q300" t="e">
        <f t="shared" si="40"/>
        <v>#N/A</v>
      </c>
      <c r="U300">
        <f>C300/Navio!$J$4</f>
        <v>13.689123988149756</v>
      </c>
    </row>
    <row r="301" spans="1:21" x14ac:dyDescent="0.3">
      <c r="A301">
        <v>299</v>
      </c>
      <c r="B301" s="47">
        <v>433.5562680713017</v>
      </c>
      <c r="C301" s="46">
        <v>259.21348897122402</v>
      </c>
      <c r="D301" s="1">
        <v>8</v>
      </c>
      <c r="E301" s="1">
        <v>12</v>
      </c>
      <c r="F301" s="1">
        <v>14</v>
      </c>
      <c r="G301" s="1">
        <v>7</v>
      </c>
      <c r="H301" s="1" t="s">
        <v>50</v>
      </c>
      <c r="I301" s="1" t="s">
        <v>50</v>
      </c>
      <c r="J301" s="1" t="s">
        <v>50</v>
      </c>
      <c r="K301" s="1" t="s">
        <v>50</v>
      </c>
      <c r="L301">
        <f t="shared" si="36"/>
        <v>310</v>
      </c>
      <c r="M301">
        <f t="shared" si="35"/>
        <v>82.076561445310972</v>
      </c>
      <c r="N301">
        <f t="shared" si="37"/>
        <v>96.197414256198073</v>
      </c>
      <c r="O301">
        <f t="shared" si="38"/>
        <v>310</v>
      </c>
      <c r="P301" t="e">
        <f t="shared" si="39"/>
        <v>#N/A</v>
      </c>
      <c r="Q301" t="e">
        <f t="shared" si="40"/>
        <v>#N/A</v>
      </c>
      <c r="U301">
        <f>C301/Navio!$J$4</f>
        <v>13.996420783690958</v>
      </c>
    </row>
    <row r="302" spans="1:21" x14ac:dyDescent="0.3">
      <c r="A302">
        <v>300</v>
      </c>
      <c r="B302" s="47">
        <v>547.50628048899739</v>
      </c>
      <c r="C302" s="46">
        <v>265.24685203353283</v>
      </c>
      <c r="D302" s="1">
        <v>8</v>
      </c>
      <c r="E302" s="1">
        <v>15</v>
      </c>
      <c r="F302" s="1">
        <v>12</v>
      </c>
      <c r="G302" s="1">
        <v>7</v>
      </c>
      <c r="H302" s="1" t="s">
        <v>50</v>
      </c>
      <c r="I302" s="1" t="s">
        <v>50</v>
      </c>
      <c r="J302" s="1" t="s">
        <v>50</v>
      </c>
      <c r="K302" s="1" t="s">
        <v>50</v>
      </c>
      <c r="L302">
        <f t="shared" si="36"/>
        <v>310</v>
      </c>
      <c r="M302">
        <f t="shared" si="35"/>
        <v>210.14742667389368</v>
      </c>
      <c r="N302">
        <f t="shared" si="37"/>
        <v>82.076561445310972</v>
      </c>
      <c r="O302">
        <f t="shared" si="38"/>
        <v>310</v>
      </c>
      <c r="P302" t="e">
        <f t="shared" si="39"/>
        <v>#N/A</v>
      </c>
      <c r="Q302" t="e">
        <f t="shared" si="40"/>
        <v>#N/A</v>
      </c>
      <c r="U302">
        <f>C302/Navio!$J$4</f>
        <v>14.322196608459965</v>
      </c>
    </row>
    <row r="303" spans="1:21" x14ac:dyDescent="0.3">
      <c r="A303">
        <v>301</v>
      </c>
      <c r="B303" s="47">
        <v>395.01484895419526</v>
      </c>
      <c r="C303" s="46">
        <v>277.56774079918921</v>
      </c>
      <c r="D303" s="1">
        <v>8</v>
      </c>
      <c r="E303" s="1">
        <v>16</v>
      </c>
      <c r="F303" s="1">
        <v>12</v>
      </c>
      <c r="G303" s="1">
        <v>7</v>
      </c>
      <c r="H303" s="1" t="s">
        <v>50</v>
      </c>
      <c r="I303" s="1" t="s">
        <v>50</v>
      </c>
      <c r="J303" s="1" t="s">
        <v>50</v>
      </c>
      <c r="K303" s="1" t="s">
        <v>50</v>
      </c>
      <c r="L303">
        <f t="shared" si="36"/>
        <v>310</v>
      </c>
      <c r="M303">
        <f t="shared" si="35"/>
        <v>172.96798541727486</v>
      </c>
      <c r="N303">
        <f t="shared" si="37"/>
        <v>82.076561445310972</v>
      </c>
      <c r="O303">
        <f t="shared" si="38"/>
        <v>310</v>
      </c>
      <c r="P303" t="e">
        <f t="shared" si="39"/>
        <v>#N/A</v>
      </c>
      <c r="Q303" t="e">
        <f t="shared" si="40"/>
        <v>#N/A</v>
      </c>
      <c r="U303">
        <f>C303/Navio!$J$4</f>
        <v>14.98747195457562</v>
      </c>
    </row>
    <row r="304" spans="1:21" x14ac:dyDescent="0.3">
      <c r="A304">
        <v>302</v>
      </c>
      <c r="B304" s="47">
        <v>641.75453159144638</v>
      </c>
      <c r="C304" s="46">
        <v>278.84303390429108</v>
      </c>
      <c r="D304" s="1">
        <v>8</v>
      </c>
      <c r="E304" s="1">
        <v>17</v>
      </c>
      <c r="F304" s="1">
        <v>12</v>
      </c>
      <c r="G304" s="1">
        <v>7</v>
      </c>
      <c r="H304" s="1" t="s">
        <v>50</v>
      </c>
      <c r="I304" s="1" t="s">
        <v>50</v>
      </c>
      <c r="J304" s="1" t="s">
        <v>50</v>
      </c>
      <c r="K304" s="1" t="s">
        <v>50</v>
      </c>
      <c r="L304">
        <f t="shared" si="36"/>
        <v>310</v>
      </c>
      <c r="M304">
        <f t="shared" si="35"/>
        <v>304.39567777634272</v>
      </c>
      <c r="N304">
        <f t="shared" si="37"/>
        <v>82.076561445310972</v>
      </c>
      <c r="O304">
        <f t="shared" si="38"/>
        <v>310</v>
      </c>
      <c r="P304" t="e">
        <f t="shared" si="39"/>
        <v>#N/A</v>
      </c>
      <c r="Q304" t="e">
        <f t="shared" si="40"/>
        <v>#N/A</v>
      </c>
      <c r="U304">
        <f>C304/Navio!$J$4</f>
        <v>15.05633233291622</v>
      </c>
    </row>
    <row r="305" spans="1:21" x14ac:dyDescent="0.3">
      <c r="A305">
        <v>303</v>
      </c>
      <c r="B305" s="47">
        <v>591.76189969905988</v>
      </c>
      <c r="C305" s="46">
        <v>271.88244531220016</v>
      </c>
      <c r="D305" s="1">
        <v>8</v>
      </c>
      <c r="E305" s="1">
        <v>13</v>
      </c>
      <c r="F305" s="1">
        <v>14</v>
      </c>
      <c r="G305" s="1">
        <v>7</v>
      </c>
      <c r="H305" s="1" t="s">
        <v>50</v>
      </c>
      <c r="I305" s="1" t="s">
        <v>50</v>
      </c>
      <c r="J305" s="1" t="s">
        <v>50</v>
      </c>
      <c r="K305" s="1" t="s">
        <v>50</v>
      </c>
      <c r="L305">
        <f t="shared" si="36"/>
        <v>310</v>
      </c>
      <c r="M305">
        <f t="shared" si="35"/>
        <v>185.56448544286178</v>
      </c>
      <c r="N305">
        <f t="shared" si="37"/>
        <v>96.197414256198073</v>
      </c>
      <c r="O305">
        <f t="shared" si="38"/>
        <v>310</v>
      </c>
      <c r="P305" t="e">
        <f t="shared" si="39"/>
        <v>#N/A</v>
      </c>
      <c r="Q305" t="e">
        <f t="shared" si="40"/>
        <v>#N/A</v>
      </c>
      <c r="U305">
        <f>C305/Navio!$J$4</f>
        <v>14.680490291579094</v>
      </c>
    </row>
    <row r="306" spans="1:21" x14ac:dyDescent="0.3">
      <c r="A306">
        <v>304</v>
      </c>
      <c r="B306" s="47">
        <v>705.71191211675546</v>
      </c>
      <c r="C306" s="46">
        <v>270.58303979623093</v>
      </c>
      <c r="D306" s="1">
        <v>8</v>
      </c>
      <c r="E306" s="1">
        <v>13</v>
      </c>
      <c r="F306" s="1">
        <v>15</v>
      </c>
      <c r="G306" s="1">
        <v>7</v>
      </c>
      <c r="H306" s="1" t="s">
        <v>50</v>
      </c>
      <c r="I306" s="1" t="s">
        <v>50</v>
      </c>
      <c r="J306" s="1" t="s">
        <v>50</v>
      </c>
      <c r="K306" s="1" t="s">
        <v>50</v>
      </c>
      <c r="L306">
        <f t="shared" si="36"/>
        <v>310</v>
      </c>
      <c r="M306">
        <f t="shared" si="35"/>
        <v>185.56448544286178</v>
      </c>
      <c r="N306">
        <f t="shared" si="37"/>
        <v>210.14742667389368</v>
      </c>
      <c r="O306">
        <f t="shared" si="38"/>
        <v>310</v>
      </c>
      <c r="P306" t="e">
        <f t="shared" si="39"/>
        <v>#N/A</v>
      </c>
      <c r="Q306" t="e">
        <f t="shared" si="40"/>
        <v>#N/A</v>
      </c>
      <c r="U306">
        <f>C306/Navio!$J$4</f>
        <v>14.610327946084128</v>
      </c>
    </row>
    <row r="307" spans="1:21" x14ac:dyDescent="0.3">
      <c r="A307">
        <v>305</v>
      </c>
      <c r="B307" s="47">
        <v>553.22048058195344</v>
      </c>
      <c r="C307" s="46">
        <v>281.40827327978673</v>
      </c>
      <c r="D307" s="1">
        <v>8</v>
      </c>
      <c r="E307" s="1">
        <v>13</v>
      </c>
      <c r="F307" s="1">
        <v>16</v>
      </c>
      <c r="G307" s="1">
        <v>7</v>
      </c>
      <c r="H307" s="1" t="s">
        <v>50</v>
      </c>
      <c r="I307" s="1" t="s">
        <v>50</v>
      </c>
      <c r="J307" s="1" t="s">
        <v>50</v>
      </c>
      <c r="K307" s="1" t="s">
        <v>50</v>
      </c>
      <c r="L307">
        <f t="shared" si="36"/>
        <v>310</v>
      </c>
      <c r="M307">
        <f t="shared" si="35"/>
        <v>185.56448544286178</v>
      </c>
      <c r="N307">
        <f t="shared" si="37"/>
        <v>172.96798541727486</v>
      </c>
      <c r="O307">
        <f t="shared" si="38"/>
        <v>310</v>
      </c>
      <c r="P307" t="e">
        <f t="shared" si="39"/>
        <v>#N/A</v>
      </c>
      <c r="Q307" t="e">
        <f t="shared" si="40"/>
        <v>#N/A</v>
      </c>
      <c r="U307">
        <f>C307/Navio!$J$4</f>
        <v>15.194844297910123</v>
      </c>
    </row>
    <row r="308" spans="1:21" x14ac:dyDescent="0.3">
      <c r="A308">
        <v>306</v>
      </c>
      <c r="B308" s="47">
        <v>799.96016321920456</v>
      </c>
      <c r="C308" s="46">
        <v>279.20692107552031</v>
      </c>
      <c r="D308" s="1">
        <v>8</v>
      </c>
      <c r="E308" s="1">
        <v>13</v>
      </c>
      <c r="F308" s="1">
        <v>17</v>
      </c>
      <c r="G308" s="1">
        <v>7</v>
      </c>
      <c r="H308" s="1" t="s">
        <v>50</v>
      </c>
      <c r="I308" s="1" t="s">
        <v>50</v>
      </c>
      <c r="J308" s="1" t="s">
        <v>50</v>
      </c>
      <c r="K308" s="1" t="s">
        <v>50</v>
      </c>
      <c r="L308">
        <f t="shared" si="36"/>
        <v>310</v>
      </c>
      <c r="M308">
        <f t="shared" si="35"/>
        <v>185.56448544286178</v>
      </c>
      <c r="N308">
        <f t="shared" si="37"/>
        <v>304.39567777634272</v>
      </c>
      <c r="O308">
        <f t="shared" si="38"/>
        <v>310</v>
      </c>
      <c r="P308" t="e">
        <f t="shared" si="39"/>
        <v>#N/A</v>
      </c>
      <c r="Q308" t="e">
        <f t="shared" si="40"/>
        <v>#N/A</v>
      </c>
      <c r="U308">
        <f>C308/Navio!$J$4</f>
        <v>15.075980685270586</v>
      </c>
    </row>
    <row r="309" spans="1:21" x14ac:dyDescent="0.3">
      <c r="A309">
        <v>307</v>
      </c>
      <c r="B309" s="47">
        <v>616.34484093009178</v>
      </c>
      <c r="C309" s="46">
        <v>271.25041971170299</v>
      </c>
      <c r="D309" s="1">
        <v>8</v>
      </c>
      <c r="E309" s="1">
        <v>15</v>
      </c>
      <c r="F309" s="1">
        <v>14</v>
      </c>
      <c r="G309" s="1">
        <v>7</v>
      </c>
      <c r="H309" s="1" t="s">
        <v>50</v>
      </c>
      <c r="I309" s="1" t="s">
        <v>50</v>
      </c>
      <c r="J309" s="1" t="s">
        <v>50</v>
      </c>
      <c r="K309" s="1" t="s">
        <v>50</v>
      </c>
      <c r="L309">
        <f t="shared" si="36"/>
        <v>310</v>
      </c>
      <c r="M309">
        <f t="shared" si="35"/>
        <v>210.14742667389368</v>
      </c>
      <c r="N309">
        <f t="shared" si="37"/>
        <v>96.197414256198073</v>
      </c>
      <c r="O309">
        <f t="shared" si="38"/>
        <v>310</v>
      </c>
      <c r="P309" t="e">
        <f t="shared" si="39"/>
        <v>#N/A</v>
      </c>
      <c r="Q309" t="e">
        <f t="shared" si="40"/>
        <v>#N/A</v>
      </c>
      <c r="U309">
        <f>C309/Navio!$J$4</f>
        <v>14.646363609801336</v>
      </c>
    </row>
    <row r="310" spans="1:21" x14ac:dyDescent="0.3">
      <c r="A310">
        <v>308</v>
      </c>
      <c r="B310" s="47">
        <v>463.8534093952897</v>
      </c>
      <c r="C310" s="46">
        <v>281.7017737958821</v>
      </c>
      <c r="D310" s="1">
        <v>8</v>
      </c>
      <c r="E310" s="1">
        <v>16</v>
      </c>
      <c r="F310" s="1">
        <v>14</v>
      </c>
      <c r="G310" s="1">
        <v>7</v>
      </c>
      <c r="H310" s="1" t="s">
        <v>50</v>
      </c>
      <c r="I310" s="1" t="s">
        <v>50</v>
      </c>
      <c r="J310" s="1" t="s">
        <v>50</v>
      </c>
      <c r="K310" s="1" t="s">
        <v>50</v>
      </c>
      <c r="L310">
        <f t="shared" si="36"/>
        <v>310</v>
      </c>
      <c r="M310">
        <f t="shared" si="35"/>
        <v>172.96798541727486</v>
      </c>
      <c r="N310">
        <f t="shared" si="37"/>
        <v>96.197414256198073</v>
      </c>
      <c r="O310">
        <f t="shared" si="38"/>
        <v>310</v>
      </c>
      <c r="P310" t="e">
        <f t="shared" si="39"/>
        <v>#N/A</v>
      </c>
      <c r="Q310" t="e">
        <f t="shared" si="40"/>
        <v>#N/A</v>
      </c>
      <c r="U310">
        <f>C310/Navio!$J$4</f>
        <v>15.21069207164985</v>
      </c>
    </row>
    <row r="311" spans="1:21" x14ac:dyDescent="0.3">
      <c r="A311">
        <v>309</v>
      </c>
      <c r="B311" s="47">
        <v>710.59309203254077</v>
      </c>
      <c r="C311" s="46">
        <v>287.20381720076693</v>
      </c>
      <c r="D311" s="1">
        <v>8</v>
      </c>
      <c r="E311" s="1">
        <v>17</v>
      </c>
      <c r="F311" s="1">
        <v>14</v>
      </c>
      <c r="G311" s="1">
        <v>7</v>
      </c>
      <c r="H311" s="1" t="s">
        <v>50</v>
      </c>
      <c r="I311" s="1" t="s">
        <v>50</v>
      </c>
      <c r="J311" s="1" t="s">
        <v>50</v>
      </c>
      <c r="K311" s="1" t="s">
        <v>50</v>
      </c>
      <c r="L311">
        <f t="shared" si="36"/>
        <v>310</v>
      </c>
      <c r="M311">
        <f t="shared" si="35"/>
        <v>304.39567777634272</v>
      </c>
      <c r="N311">
        <f t="shared" si="37"/>
        <v>96.197414256198073</v>
      </c>
      <c r="O311">
        <f t="shared" si="38"/>
        <v>310</v>
      </c>
      <c r="P311" t="e">
        <f t="shared" si="39"/>
        <v>#N/A</v>
      </c>
      <c r="Q311" t="e">
        <f t="shared" si="40"/>
        <v>#N/A</v>
      </c>
      <c r="U311">
        <f>C311/Navio!$J$4</f>
        <v>15.507778905249967</v>
      </c>
    </row>
    <row r="312" spans="1:21" x14ac:dyDescent="0.3">
      <c r="A312">
        <v>310</v>
      </c>
      <c r="B312" s="47">
        <v>577.80342181298533</v>
      </c>
      <c r="C312" s="46">
        <v>277.56304855362623</v>
      </c>
      <c r="D312" s="1">
        <v>8</v>
      </c>
      <c r="E312" s="1">
        <v>16</v>
      </c>
      <c r="F312" s="1">
        <v>15</v>
      </c>
      <c r="G312" s="1">
        <v>7</v>
      </c>
      <c r="H312" s="1" t="s">
        <v>50</v>
      </c>
      <c r="I312" s="1" t="s">
        <v>50</v>
      </c>
      <c r="J312" s="1" t="s">
        <v>50</v>
      </c>
      <c r="K312" s="1" t="s">
        <v>50</v>
      </c>
      <c r="L312">
        <f t="shared" si="36"/>
        <v>310</v>
      </c>
      <c r="M312">
        <f t="shared" si="35"/>
        <v>172.96798541727486</v>
      </c>
      <c r="N312">
        <f t="shared" si="37"/>
        <v>210.14742667389368</v>
      </c>
      <c r="O312">
        <f t="shared" si="38"/>
        <v>310</v>
      </c>
      <c r="P312" t="e">
        <f t="shared" si="39"/>
        <v>#N/A</v>
      </c>
      <c r="Q312" t="e">
        <f t="shared" si="40"/>
        <v>#N/A</v>
      </c>
      <c r="U312">
        <f>C312/Navio!$J$4</f>
        <v>14.987218593365212</v>
      </c>
    </row>
    <row r="313" spans="1:21" x14ac:dyDescent="0.3">
      <c r="A313">
        <v>311</v>
      </c>
      <c r="B313" s="47">
        <v>824.54310445023634</v>
      </c>
      <c r="C313" s="46">
        <v>281.22846446382903</v>
      </c>
      <c r="D313" s="1">
        <v>8</v>
      </c>
      <c r="E313" s="1">
        <v>17</v>
      </c>
      <c r="F313" s="1">
        <v>15</v>
      </c>
      <c r="G313" s="1">
        <v>7</v>
      </c>
      <c r="H313" s="1" t="s">
        <v>50</v>
      </c>
      <c r="I313" s="1" t="s">
        <v>50</v>
      </c>
      <c r="J313" s="1" t="s">
        <v>50</v>
      </c>
      <c r="K313" s="1" t="s">
        <v>50</v>
      </c>
      <c r="L313">
        <f t="shared" si="36"/>
        <v>310</v>
      </c>
      <c r="M313">
        <f t="shared" si="35"/>
        <v>304.39567777634272</v>
      </c>
      <c r="N313">
        <f t="shared" si="37"/>
        <v>210.14742667389368</v>
      </c>
      <c r="O313">
        <f t="shared" si="38"/>
        <v>310</v>
      </c>
      <c r="P313" t="e">
        <f t="shared" si="39"/>
        <v>#N/A</v>
      </c>
      <c r="Q313" t="e">
        <f t="shared" si="40"/>
        <v>#N/A</v>
      </c>
      <c r="U313">
        <f>C313/Navio!$J$4</f>
        <v>15.18513539017253</v>
      </c>
    </row>
    <row r="314" spans="1:21" x14ac:dyDescent="0.3">
      <c r="A314">
        <v>312</v>
      </c>
      <c r="B314" s="47">
        <v>672.05167291543432</v>
      </c>
      <c r="C314" s="46">
        <v>285.15468936610938</v>
      </c>
      <c r="D314" s="1">
        <v>8</v>
      </c>
      <c r="E314" s="1">
        <v>17</v>
      </c>
      <c r="F314" s="1">
        <v>16</v>
      </c>
      <c r="G314" s="1">
        <v>7</v>
      </c>
      <c r="H314" s="1" t="s">
        <v>50</v>
      </c>
      <c r="I314" s="1" t="s">
        <v>50</v>
      </c>
      <c r="J314" s="1" t="s">
        <v>50</v>
      </c>
      <c r="K314" s="1" t="s">
        <v>50</v>
      </c>
      <c r="L314">
        <f t="shared" si="36"/>
        <v>310</v>
      </c>
      <c r="M314">
        <f t="shared" si="35"/>
        <v>304.39567777634272</v>
      </c>
      <c r="N314">
        <f t="shared" si="37"/>
        <v>172.96798541727486</v>
      </c>
      <c r="O314">
        <f t="shared" si="38"/>
        <v>310</v>
      </c>
      <c r="P314" t="e">
        <f t="shared" si="39"/>
        <v>#N/A</v>
      </c>
      <c r="Q314" t="e">
        <f t="shared" si="40"/>
        <v>#N/A</v>
      </c>
      <c r="U314">
        <f>C314/Navio!$J$4</f>
        <v>15.397134758113689</v>
      </c>
    </row>
    <row r="315" spans="1:21" x14ac:dyDescent="0.3">
      <c r="A315">
        <v>313</v>
      </c>
      <c r="B315" s="47">
        <v>879.35997846357986</v>
      </c>
      <c r="C315" s="46">
        <v>234.75646684128245</v>
      </c>
      <c r="D315" s="1">
        <v>9</v>
      </c>
      <c r="E315" s="1">
        <v>10</v>
      </c>
      <c r="F315" s="1">
        <v>11</v>
      </c>
      <c r="G315" s="1">
        <v>7</v>
      </c>
      <c r="H315" s="1" t="s">
        <v>50</v>
      </c>
      <c r="I315" s="1" t="s">
        <v>50</v>
      </c>
      <c r="J315" s="1" t="s">
        <v>50</v>
      </c>
      <c r="K315" s="1" t="s">
        <v>50</v>
      </c>
      <c r="L315">
        <f t="shared" si="36"/>
        <v>310</v>
      </c>
      <c r="M315">
        <f t="shared" si="35"/>
        <v>290.36739528320618</v>
      </c>
      <c r="N315">
        <f t="shared" si="37"/>
        <v>278.99258318037374</v>
      </c>
      <c r="O315">
        <f t="shared" si="38"/>
        <v>310</v>
      </c>
      <c r="P315" t="e">
        <f t="shared" si="39"/>
        <v>#N/A</v>
      </c>
      <c r="Q315" t="e">
        <f t="shared" si="40"/>
        <v>#N/A</v>
      </c>
      <c r="U315">
        <f>C315/Navio!$J$4</f>
        <v>12.675846093672783</v>
      </c>
    </row>
    <row r="316" spans="1:21" x14ac:dyDescent="0.3">
      <c r="A316">
        <v>314</v>
      </c>
      <c r="B316" s="47">
        <v>627.72624909830984</v>
      </c>
      <c r="C316" s="46">
        <v>247.63887027046533</v>
      </c>
      <c r="D316" s="1">
        <v>9</v>
      </c>
      <c r="E316" s="1">
        <v>10</v>
      </c>
      <c r="F316" s="1">
        <v>12</v>
      </c>
      <c r="G316" s="1">
        <v>7</v>
      </c>
      <c r="H316" s="1" t="s">
        <v>50</v>
      </c>
      <c r="I316" s="1" t="s">
        <v>50</v>
      </c>
      <c r="J316" s="1" t="s">
        <v>50</v>
      </c>
      <c r="K316" s="1" t="s">
        <v>50</v>
      </c>
      <c r="L316">
        <f t="shared" si="36"/>
        <v>310</v>
      </c>
      <c r="M316">
        <f t="shared" si="35"/>
        <v>290.36739528320618</v>
      </c>
      <c r="N316">
        <f t="shared" si="37"/>
        <v>82.076561445310972</v>
      </c>
      <c r="O316">
        <f t="shared" si="38"/>
        <v>310</v>
      </c>
      <c r="P316" t="e">
        <f t="shared" si="39"/>
        <v>#N/A</v>
      </c>
      <c r="Q316" t="e">
        <f t="shared" si="40"/>
        <v>#N/A</v>
      </c>
      <c r="U316">
        <f>C316/Navio!$J$4</f>
        <v>13.371440832263426</v>
      </c>
    </row>
    <row r="317" spans="1:21" x14ac:dyDescent="0.3">
      <c r="A317">
        <v>315</v>
      </c>
      <c r="B317" s="47">
        <v>785.9318807260679</v>
      </c>
      <c r="C317" s="46">
        <v>252.48642229660891</v>
      </c>
      <c r="D317" s="1">
        <v>9</v>
      </c>
      <c r="E317" s="1">
        <v>10</v>
      </c>
      <c r="F317" s="1">
        <v>13</v>
      </c>
      <c r="G317" s="1">
        <v>7</v>
      </c>
      <c r="H317" s="1" t="s">
        <v>50</v>
      </c>
      <c r="I317" s="1" t="s">
        <v>50</v>
      </c>
      <c r="J317" s="1" t="s">
        <v>50</v>
      </c>
      <c r="K317" s="1" t="s">
        <v>50</v>
      </c>
      <c r="L317">
        <f t="shared" si="36"/>
        <v>310</v>
      </c>
      <c r="M317">
        <f t="shared" si="35"/>
        <v>290.36739528320618</v>
      </c>
      <c r="N317">
        <f t="shared" si="37"/>
        <v>185.56448544286178</v>
      </c>
      <c r="O317">
        <f t="shared" si="38"/>
        <v>310</v>
      </c>
      <c r="P317" t="e">
        <f t="shared" si="39"/>
        <v>#N/A</v>
      </c>
      <c r="Q317" t="e">
        <f t="shared" si="40"/>
        <v>#N/A</v>
      </c>
      <c r="U317">
        <f>C317/Navio!$J$4</f>
        <v>13.633187928057005</v>
      </c>
    </row>
    <row r="318" spans="1:21" x14ac:dyDescent="0.3">
      <c r="A318">
        <v>316</v>
      </c>
      <c r="B318" s="47">
        <v>696.56480953940422</v>
      </c>
      <c r="C318" s="46">
        <v>270.78601361172957</v>
      </c>
      <c r="D318" s="1">
        <v>9</v>
      </c>
      <c r="E318" s="1">
        <v>10</v>
      </c>
      <c r="F318" s="1">
        <v>14</v>
      </c>
      <c r="G318" s="1">
        <v>7</v>
      </c>
      <c r="H318" s="1" t="s">
        <v>50</v>
      </c>
      <c r="I318" s="1" t="s">
        <v>50</v>
      </c>
      <c r="J318" s="1" t="s">
        <v>50</v>
      </c>
      <c r="K318" s="1" t="s">
        <v>50</v>
      </c>
      <c r="L318">
        <f t="shared" si="36"/>
        <v>310</v>
      </c>
      <c r="M318">
        <f t="shared" si="35"/>
        <v>290.36739528320618</v>
      </c>
      <c r="N318">
        <f t="shared" si="37"/>
        <v>96.197414256198073</v>
      </c>
      <c r="O318">
        <f t="shared" si="38"/>
        <v>310</v>
      </c>
      <c r="P318" t="e">
        <f t="shared" si="39"/>
        <v>#N/A</v>
      </c>
      <c r="Q318" t="e">
        <f t="shared" si="40"/>
        <v>#N/A</v>
      </c>
      <c r="U318">
        <f>C318/Navio!$J$4</f>
        <v>14.621287664812753</v>
      </c>
    </row>
    <row r="319" spans="1:21" x14ac:dyDescent="0.3">
      <c r="A319">
        <v>317</v>
      </c>
      <c r="B319" s="47">
        <v>810.51482195709991</v>
      </c>
      <c r="C319" s="46">
        <v>272.91816629429468</v>
      </c>
      <c r="D319" s="1">
        <v>9</v>
      </c>
      <c r="E319" s="1">
        <v>10</v>
      </c>
      <c r="F319" s="1">
        <v>15</v>
      </c>
      <c r="G319" s="1">
        <v>7</v>
      </c>
      <c r="H319" s="1" t="s">
        <v>50</v>
      </c>
      <c r="I319" s="1" t="s">
        <v>50</v>
      </c>
      <c r="J319" s="1" t="s">
        <v>50</v>
      </c>
      <c r="K319" s="1" t="s">
        <v>50</v>
      </c>
      <c r="L319">
        <f t="shared" si="36"/>
        <v>310</v>
      </c>
      <c r="M319">
        <f t="shared" si="35"/>
        <v>290.36739528320618</v>
      </c>
      <c r="N319">
        <f t="shared" si="37"/>
        <v>210.14742667389368</v>
      </c>
      <c r="O319">
        <f t="shared" si="38"/>
        <v>310</v>
      </c>
      <c r="P319" t="e">
        <f t="shared" si="39"/>
        <v>#N/A</v>
      </c>
      <c r="Q319" t="e">
        <f t="shared" si="40"/>
        <v>#N/A</v>
      </c>
      <c r="U319">
        <f>C319/Navio!$J$4</f>
        <v>14.736414798970381</v>
      </c>
    </row>
    <row r="320" spans="1:21" x14ac:dyDescent="0.3">
      <c r="A320">
        <v>318</v>
      </c>
      <c r="B320" s="47">
        <v>658.02339042229778</v>
      </c>
      <c r="C320" s="46">
        <v>284.22961775800849</v>
      </c>
      <c r="D320" s="1">
        <v>9</v>
      </c>
      <c r="E320" s="1">
        <v>10</v>
      </c>
      <c r="F320" s="1">
        <v>16</v>
      </c>
      <c r="G320" s="1">
        <v>7</v>
      </c>
      <c r="H320" s="1" t="s">
        <v>50</v>
      </c>
      <c r="I320" s="1" t="s">
        <v>50</v>
      </c>
      <c r="J320" s="1" t="s">
        <v>50</v>
      </c>
      <c r="K320" s="1" t="s">
        <v>50</v>
      </c>
      <c r="L320">
        <f t="shared" si="36"/>
        <v>310</v>
      </c>
      <c r="M320">
        <f t="shared" si="35"/>
        <v>290.36739528320618</v>
      </c>
      <c r="N320">
        <f t="shared" si="37"/>
        <v>172.96798541727486</v>
      </c>
      <c r="O320">
        <f t="shared" si="38"/>
        <v>310</v>
      </c>
      <c r="P320" t="e">
        <f t="shared" si="39"/>
        <v>#N/A</v>
      </c>
      <c r="Q320" t="e">
        <f t="shared" si="40"/>
        <v>#N/A</v>
      </c>
      <c r="U320">
        <f>C320/Navio!$J$4</f>
        <v>15.347184844112634</v>
      </c>
    </row>
    <row r="321" spans="1:21" x14ac:dyDescent="0.3">
      <c r="A321">
        <v>319</v>
      </c>
      <c r="B321" s="47">
        <v>616.35143699547734</v>
      </c>
      <c r="C321" s="46">
        <v>246.27206652509025</v>
      </c>
      <c r="D321" s="1">
        <v>9</v>
      </c>
      <c r="E321" s="1">
        <v>11</v>
      </c>
      <c r="F321" s="1">
        <v>12</v>
      </c>
      <c r="G321" s="1">
        <v>7</v>
      </c>
      <c r="H321" s="1" t="s">
        <v>50</v>
      </c>
      <c r="I321" s="1" t="s">
        <v>50</v>
      </c>
      <c r="J321" s="1" t="s">
        <v>50</v>
      </c>
      <c r="K321" s="1" t="s">
        <v>50</v>
      </c>
      <c r="L321">
        <f t="shared" si="36"/>
        <v>310</v>
      </c>
      <c r="M321">
        <f t="shared" si="35"/>
        <v>278.99258318037374</v>
      </c>
      <c r="N321">
        <f t="shared" si="37"/>
        <v>82.076561445310972</v>
      </c>
      <c r="O321">
        <f t="shared" si="38"/>
        <v>310</v>
      </c>
      <c r="P321" t="e">
        <f t="shared" si="39"/>
        <v>#N/A</v>
      </c>
      <c r="Q321" t="e">
        <f t="shared" si="40"/>
        <v>#N/A</v>
      </c>
      <c r="U321">
        <f>C321/Navio!$J$4</f>
        <v>13.297639270373573</v>
      </c>
    </row>
    <row r="322" spans="1:21" x14ac:dyDescent="0.3">
      <c r="A322">
        <v>320</v>
      </c>
      <c r="B322" s="47">
        <v>774.55706862323552</v>
      </c>
      <c r="C322" s="46">
        <v>250.28678597181329</v>
      </c>
      <c r="D322" s="1">
        <v>9</v>
      </c>
      <c r="E322" s="1">
        <v>11</v>
      </c>
      <c r="F322" s="1">
        <v>13</v>
      </c>
      <c r="G322" s="1">
        <v>7</v>
      </c>
      <c r="H322" s="1" t="s">
        <v>50</v>
      </c>
      <c r="I322" s="1" t="s">
        <v>50</v>
      </c>
      <c r="J322" s="1" t="s">
        <v>50</v>
      </c>
      <c r="K322" s="1" t="s">
        <v>50</v>
      </c>
      <c r="L322">
        <f t="shared" si="36"/>
        <v>310</v>
      </c>
      <c r="M322">
        <f t="shared" si="35"/>
        <v>278.99258318037374</v>
      </c>
      <c r="N322">
        <f t="shared" si="37"/>
        <v>185.56448544286178</v>
      </c>
      <c r="O322">
        <f t="shared" si="38"/>
        <v>310</v>
      </c>
      <c r="P322" t="e">
        <f t="shared" si="39"/>
        <v>#N/A</v>
      </c>
      <c r="Q322" t="e">
        <f t="shared" si="40"/>
        <v>#N/A</v>
      </c>
      <c r="U322">
        <f>C322/Navio!$J$4</f>
        <v>13.514416965576929</v>
      </c>
    </row>
    <row r="323" spans="1:21" x14ac:dyDescent="0.3">
      <c r="A323">
        <v>321</v>
      </c>
      <c r="B323" s="47">
        <v>685.18999743657184</v>
      </c>
      <c r="C323" s="46">
        <v>268.88841310574321</v>
      </c>
      <c r="D323" s="1">
        <v>9</v>
      </c>
      <c r="E323" s="1">
        <v>11</v>
      </c>
      <c r="F323" s="1">
        <v>14</v>
      </c>
      <c r="G323" s="1">
        <v>7</v>
      </c>
      <c r="H323" s="1" t="s">
        <v>50</v>
      </c>
      <c r="I323" s="1" t="s">
        <v>50</v>
      </c>
      <c r="J323" s="1" t="s">
        <v>50</v>
      </c>
      <c r="K323" s="1" t="s">
        <v>50</v>
      </c>
      <c r="L323">
        <f t="shared" si="36"/>
        <v>310</v>
      </c>
      <c r="M323">
        <f t="shared" ref="M323:M386" si="41">VLOOKUP(E323,$Y$2:$Z$80,2)</f>
        <v>278.99258318037374</v>
      </c>
      <c r="N323">
        <f t="shared" si="37"/>
        <v>96.197414256198073</v>
      </c>
      <c r="O323">
        <f t="shared" si="38"/>
        <v>310</v>
      </c>
      <c r="P323" t="e">
        <f t="shared" si="39"/>
        <v>#N/A</v>
      </c>
      <c r="Q323" t="e">
        <f t="shared" si="40"/>
        <v>#N/A</v>
      </c>
      <c r="U323">
        <f>C323/Navio!$J$4</f>
        <v>14.518825345947556</v>
      </c>
    </row>
    <row r="324" spans="1:21" x14ac:dyDescent="0.3">
      <c r="A324">
        <v>322</v>
      </c>
      <c r="B324" s="47">
        <v>799.14000985426742</v>
      </c>
      <c r="C324" s="46">
        <v>270.48913234902909</v>
      </c>
      <c r="D324" s="1">
        <v>9</v>
      </c>
      <c r="E324" s="1">
        <v>11</v>
      </c>
      <c r="F324" s="1">
        <v>15</v>
      </c>
      <c r="G324" s="1">
        <v>7</v>
      </c>
      <c r="H324" s="1" t="s">
        <v>50</v>
      </c>
      <c r="I324" s="1" t="s">
        <v>50</v>
      </c>
      <c r="J324" s="1" t="s">
        <v>50</v>
      </c>
      <c r="K324" s="1" t="s">
        <v>50</v>
      </c>
      <c r="L324">
        <f t="shared" si="36"/>
        <v>310</v>
      </c>
      <c r="M324">
        <f t="shared" si="41"/>
        <v>278.99258318037374</v>
      </c>
      <c r="N324">
        <f t="shared" si="37"/>
        <v>210.14742667389368</v>
      </c>
      <c r="O324">
        <f t="shared" si="38"/>
        <v>310</v>
      </c>
      <c r="P324" t="e">
        <f t="shared" si="39"/>
        <v>#N/A</v>
      </c>
      <c r="Q324" t="e">
        <f t="shared" si="40"/>
        <v>#N/A</v>
      </c>
      <c r="U324">
        <f>C324/Navio!$J$4</f>
        <v>14.6052573452023</v>
      </c>
    </row>
    <row r="325" spans="1:21" x14ac:dyDescent="0.3">
      <c r="A325">
        <v>323</v>
      </c>
      <c r="B325" s="47">
        <v>646.6485783194654</v>
      </c>
      <c r="C325" s="46">
        <v>281.87356794228361</v>
      </c>
      <c r="D325" s="1">
        <v>9</v>
      </c>
      <c r="E325" s="1">
        <v>11</v>
      </c>
      <c r="F325" s="1">
        <v>16</v>
      </c>
      <c r="G325" s="1">
        <v>7</v>
      </c>
      <c r="H325" s="1" t="s">
        <v>50</v>
      </c>
      <c r="I325" s="1" t="s">
        <v>50</v>
      </c>
      <c r="J325" s="1" t="s">
        <v>50</v>
      </c>
      <c r="K325" s="1" t="s">
        <v>50</v>
      </c>
      <c r="L325">
        <f t="shared" si="36"/>
        <v>310</v>
      </c>
      <c r="M325">
        <f t="shared" si="41"/>
        <v>278.99258318037374</v>
      </c>
      <c r="N325">
        <f t="shared" si="37"/>
        <v>172.96798541727486</v>
      </c>
      <c r="O325">
        <f t="shared" si="38"/>
        <v>310</v>
      </c>
      <c r="P325" t="e">
        <f t="shared" si="39"/>
        <v>#N/A</v>
      </c>
      <c r="Q325" t="e">
        <f t="shared" si="40"/>
        <v>#N/A</v>
      </c>
      <c r="U325">
        <f>C325/Navio!$J$4</f>
        <v>15.219968221478139</v>
      </c>
    </row>
    <row r="326" spans="1:21" x14ac:dyDescent="0.3">
      <c r="A326">
        <v>324</v>
      </c>
      <c r="B326" s="47">
        <v>893.38826095671652</v>
      </c>
      <c r="C326" s="46">
        <v>279.79530102609766</v>
      </c>
      <c r="D326" s="1">
        <v>9</v>
      </c>
      <c r="E326" s="1">
        <v>11</v>
      </c>
      <c r="F326" s="1">
        <v>17</v>
      </c>
      <c r="G326" s="1">
        <v>7</v>
      </c>
      <c r="H326" s="1" t="s">
        <v>50</v>
      </c>
      <c r="I326" s="1" t="s">
        <v>50</v>
      </c>
      <c r="J326" s="1" t="s">
        <v>50</v>
      </c>
      <c r="K326" s="1" t="s">
        <v>50</v>
      </c>
      <c r="L326">
        <f t="shared" si="36"/>
        <v>310</v>
      </c>
      <c r="M326">
        <f t="shared" si="41"/>
        <v>278.99258318037374</v>
      </c>
      <c r="N326">
        <f t="shared" si="37"/>
        <v>304.39567777634272</v>
      </c>
      <c r="O326">
        <f t="shared" si="38"/>
        <v>310</v>
      </c>
      <c r="P326" t="e">
        <f t="shared" si="39"/>
        <v>#N/A</v>
      </c>
      <c r="Q326" t="e">
        <f t="shared" si="40"/>
        <v>#N/A</v>
      </c>
      <c r="U326">
        <f>C326/Navio!$J$4</f>
        <v>15.107750688450793</v>
      </c>
    </row>
    <row r="327" spans="1:21" x14ac:dyDescent="0.3">
      <c r="A327">
        <v>325</v>
      </c>
      <c r="B327" s="47">
        <v>522.92333925796538</v>
      </c>
      <c r="C327" s="46">
        <v>254.06730451769454</v>
      </c>
      <c r="D327" s="1">
        <v>9</v>
      </c>
      <c r="E327" s="1">
        <v>13</v>
      </c>
      <c r="F327" s="1">
        <v>12</v>
      </c>
      <c r="G327" s="1">
        <v>7</v>
      </c>
      <c r="H327" s="1" t="s">
        <v>50</v>
      </c>
      <c r="I327" s="1" t="s">
        <v>50</v>
      </c>
      <c r="J327" s="1" t="s">
        <v>50</v>
      </c>
      <c r="K327" s="1" t="s">
        <v>50</v>
      </c>
      <c r="L327">
        <f t="shared" si="36"/>
        <v>310</v>
      </c>
      <c r="M327">
        <f t="shared" si="41"/>
        <v>185.56448544286178</v>
      </c>
      <c r="N327">
        <f t="shared" si="37"/>
        <v>82.076561445310972</v>
      </c>
      <c r="O327">
        <f t="shared" si="38"/>
        <v>310</v>
      </c>
      <c r="P327" t="e">
        <f t="shared" si="39"/>
        <v>#N/A</v>
      </c>
      <c r="Q327" t="e">
        <f t="shared" si="40"/>
        <v>#N/A</v>
      </c>
      <c r="U327">
        <f>C327/Navio!$J$4</f>
        <v>13.718548812876648</v>
      </c>
    </row>
    <row r="328" spans="1:21" x14ac:dyDescent="0.3">
      <c r="A328">
        <v>326</v>
      </c>
      <c r="B328" s="47">
        <v>433.5562680713017</v>
      </c>
      <c r="C328" s="46">
        <v>264.97589441944388</v>
      </c>
      <c r="D328" s="1">
        <v>9</v>
      </c>
      <c r="E328" s="1">
        <v>12</v>
      </c>
      <c r="F328" s="1">
        <v>14</v>
      </c>
      <c r="G328" s="1">
        <v>7</v>
      </c>
      <c r="H328" s="1" t="s">
        <v>50</v>
      </c>
      <c r="I328" s="1" t="s">
        <v>50</v>
      </c>
      <c r="J328" s="1" t="s">
        <v>50</v>
      </c>
      <c r="K328" s="1" t="s">
        <v>50</v>
      </c>
      <c r="L328">
        <f t="shared" si="36"/>
        <v>310</v>
      </c>
      <c r="M328">
        <f t="shared" si="41"/>
        <v>82.076561445310972</v>
      </c>
      <c r="N328">
        <f t="shared" si="37"/>
        <v>96.197414256198073</v>
      </c>
      <c r="O328">
        <f t="shared" si="38"/>
        <v>310</v>
      </c>
      <c r="P328" t="e">
        <f t="shared" si="39"/>
        <v>#N/A</v>
      </c>
      <c r="Q328" t="e">
        <f t="shared" si="40"/>
        <v>#N/A</v>
      </c>
      <c r="U328">
        <f>C328/Navio!$J$4</f>
        <v>14.307566055102631</v>
      </c>
    </row>
    <row r="329" spans="1:21" x14ac:dyDescent="0.3">
      <c r="A329">
        <v>327</v>
      </c>
      <c r="B329" s="47">
        <v>547.50628048899739</v>
      </c>
      <c r="C329" s="46">
        <v>269.33165560996906</v>
      </c>
      <c r="D329" s="1">
        <v>9</v>
      </c>
      <c r="E329" s="1">
        <v>15</v>
      </c>
      <c r="F329" s="1">
        <v>12</v>
      </c>
      <c r="G329" s="1">
        <v>7</v>
      </c>
      <c r="H329" s="1" t="s">
        <v>50</v>
      </c>
      <c r="I329" s="1" t="s">
        <v>50</v>
      </c>
      <c r="J329" s="1" t="s">
        <v>50</v>
      </c>
      <c r="K329" s="1" t="s">
        <v>50</v>
      </c>
      <c r="L329">
        <f t="shared" si="36"/>
        <v>310</v>
      </c>
      <c r="M329">
        <f t="shared" si="41"/>
        <v>210.14742667389368</v>
      </c>
      <c r="N329">
        <f t="shared" si="37"/>
        <v>82.076561445310972</v>
      </c>
      <c r="O329">
        <f t="shared" si="38"/>
        <v>310</v>
      </c>
      <c r="P329" t="e">
        <f t="shared" si="39"/>
        <v>#N/A</v>
      </c>
      <c r="Q329" t="e">
        <f t="shared" si="40"/>
        <v>#N/A</v>
      </c>
      <c r="U329">
        <f>C329/Navio!$J$4</f>
        <v>14.542758547197938</v>
      </c>
    </row>
    <row r="330" spans="1:21" x14ac:dyDescent="0.3">
      <c r="A330">
        <v>328</v>
      </c>
      <c r="B330" s="47">
        <v>395.01484895419526</v>
      </c>
      <c r="C330" s="46">
        <v>281.19148559113353</v>
      </c>
      <c r="D330" s="1">
        <v>9</v>
      </c>
      <c r="E330" s="1">
        <v>16</v>
      </c>
      <c r="F330" s="1">
        <v>12</v>
      </c>
      <c r="G330" s="1">
        <v>7</v>
      </c>
      <c r="H330" s="1" t="s">
        <v>50</v>
      </c>
      <c r="I330" s="1" t="s">
        <v>50</v>
      </c>
      <c r="J330" s="1" t="s">
        <v>50</v>
      </c>
      <c r="K330" s="1" t="s">
        <v>50</v>
      </c>
      <c r="L330">
        <f t="shared" si="36"/>
        <v>310</v>
      </c>
      <c r="M330">
        <f t="shared" si="41"/>
        <v>172.96798541727486</v>
      </c>
      <c r="N330">
        <f t="shared" si="37"/>
        <v>82.076561445310972</v>
      </c>
      <c r="O330">
        <f t="shared" si="38"/>
        <v>310</v>
      </c>
      <c r="P330" t="e">
        <f t="shared" si="39"/>
        <v>#N/A</v>
      </c>
      <c r="Q330" t="e">
        <f t="shared" si="40"/>
        <v>#N/A</v>
      </c>
      <c r="U330">
        <f>C330/Navio!$J$4</f>
        <v>15.183138689057913</v>
      </c>
    </row>
    <row r="331" spans="1:21" x14ac:dyDescent="0.3">
      <c r="A331">
        <v>329</v>
      </c>
      <c r="B331" s="47">
        <v>641.75453159144638</v>
      </c>
      <c r="C331" s="46">
        <v>280.28085120727781</v>
      </c>
      <c r="D331" s="1">
        <v>9</v>
      </c>
      <c r="E331" s="1">
        <v>17</v>
      </c>
      <c r="F331" s="1">
        <v>12</v>
      </c>
      <c r="G331" s="1">
        <v>7</v>
      </c>
      <c r="H331" s="1" t="s">
        <v>50</v>
      </c>
      <c r="I331" s="1" t="s">
        <v>50</v>
      </c>
      <c r="J331" s="1" t="s">
        <v>50</v>
      </c>
      <c r="K331" s="1" t="s">
        <v>50</v>
      </c>
      <c r="L331">
        <f t="shared" si="36"/>
        <v>310</v>
      </c>
      <c r="M331">
        <f t="shared" si="41"/>
        <v>304.39567777634272</v>
      </c>
      <c r="N331">
        <f t="shared" si="37"/>
        <v>82.076561445310972</v>
      </c>
      <c r="O331">
        <f t="shared" si="38"/>
        <v>310</v>
      </c>
      <c r="P331" t="e">
        <f t="shared" si="39"/>
        <v>#N/A</v>
      </c>
      <c r="Q331" t="e">
        <f t="shared" si="40"/>
        <v>#N/A</v>
      </c>
      <c r="U331">
        <f>C331/Navio!$J$4</f>
        <v>15.133968323475754</v>
      </c>
    </row>
    <row r="332" spans="1:21" x14ac:dyDescent="0.3">
      <c r="A332">
        <v>330</v>
      </c>
      <c r="B332" s="47">
        <v>591.76189969905988</v>
      </c>
      <c r="C332" s="46">
        <v>272.42739259534505</v>
      </c>
      <c r="D332" s="1">
        <v>9</v>
      </c>
      <c r="E332" s="1">
        <v>13</v>
      </c>
      <c r="F332" s="1">
        <v>14</v>
      </c>
      <c r="G332" s="1">
        <v>7</v>
      </c>
      <c r="H332" s="1" t="s">
        <v>50</v>
      </c>
      <c r="I332" s="1" t="s">
        <v>50</v>
      </c>
      <c r="J332" s="1" t="s">
        <v>50</v>
      </c>
      <c r="K332" s="1" t="s">
        <v>50</v>
      </c>
      <c r="L332">
        <f t="shared" si="36"/>
        <v>310</v>
      </c>
      <c r="M332">
        <f t="shared" si="41"/>
        <v>185.56448544286178</v>
      </c>
      <c r="N332">
        <f t="shared" si="37"/>
        <v>96.197414256198073</v>
      </c>
      <c r="O332">
        <f t="shared" si="38"/>
        <v>310</v>
      </c>
      <c r="P332" t="e">
        <f t="shared" si="39"/>
        <v>#N/A</v>
      </c>
      <c r="Q332" t="e">
        <f t="shared" si="40"/>
        <v>#N/A</v>
      </c>
      <c r="U332">
        <f>C332/Navio!$J$4</f>
        <v>14.709915116305988</v>
      </c>
    </row>
    <row r="333" spans="1:21" x14ac:dyDescent="0.3">
      <c r="A333">
        <v>331</v>
      </c>
      <c r="B333" s="47">
        <v>705.71191211675546</v>
      </c>
      <c r="C333" s="46">
        <v>271.12798707937577</v>
      </c>
      <c r="D333" s="1">
        <v>9</v>
      </c>
      <c r="E333" s="1">
        <v>13</v>
      </c>
      <c r="F333" s="1">
        <v>15</v>
      </c>
      <c r="G333" s="1">
        <v>7</v>
      </c>
      <c r="H333" s="1" t="s">
        <v>50</v>
      </c>
      <c r="I333" s="1" t="s">
        <v>50</v>
      </c>
      <c r="J333" s="1" t="s">
        <v>50</v>
      </c>
      <c r="K333" s="1" t="s">
        <v>50</v>
      </c>
      <c r="L333">
        <f t="shared" ref="L333:L396" si="42">VLOOKUP(D333,$Y$2:$Z$80,2)</f>
        <v>310</v>
      </c>
      <c r="M333">
        <f t="shared" si="41"/>
        <v>185.56448544286178</v>
      </c>
      <c r="N333">
        <f t="shared" ref="N333:N396" si="43">VLOOKUP(F333,$Y$2:$Z$80,2)</f>
        <v>210.14742667389368</v>
      </c>
      <c r="O333">
        <f t="shared" ref="O333:O396" si="44">VLOOKUP(G333,$Y$2:$Z$80,2)</f>
        <v>310</v>
      </c>
      <c r="P333" t="e">
        <f t="shared" ref="P333:P396" si="45">VLOOKUP(H333,$Y$2:$Z$80,2)</f>
        <v>#N/A</v>
      </c>
      <c r="Q333" t="e">
        <f t="shared" ref="Q333:Q396" si="46">VLOOKUP(I333,$Y$2:$Z$80,2)</f>
        <v>#N/A</v>
      </c>
      <c r="U333">
        <f>C333/Navio!$J$4</f>
        <v>14.63975277081102</v>
      </c>
    </row>
    <row r="334" spans="1:21" x14ac:dyDescent="0.3">
      <c r="A334">
        <v>332</v>
      </c>
      <c r="B334" s="47">
        <v>553.22048058195344</v>
      </c>
      <c r="C334" s="46">
        <v>281.95322056293162</v>
      </c>
      <c r="D334" s="1">
        <v>9</v>
      </c>
      <c r="E334" s="1">
        <v>13</v>
      </c>
      <c r="F334" s="1">
        <v>16</v>
      </c>
      <c r="G334" s="1">
        <v>7</v>
      </c>
      <c r="H334" s="1" t="s">
        <v>50</v>
      </c>
      <c r="I334" s="1" t="s">
        <v>50</v>
      </c>
      <c r="J334" s="1" t="s">
        <v>50</v>
      </c>
      <c r="K334" s="1" t="s">
        <v>50</v>
      </c>
      <c r="L334">
        <f t="shared" si="42"/>
        <v>310</v>
      </c>
      <c r="M334">
        <f t="shared" si="41"/>
        <v>185.56448544286178</v>
      </c>
      <c r="N334">
        <f t="shared" si="43"/>
        <v>172.96798541727486</v>
      </c>
      <c r="O334">
        <f t="shared" si="44"/>
        <v>310</v>
      </c>
      <c r="P334" t="e">
        <f t="shared" si="45"/>
        <v>#N/A</v>
      </c>
      <c r="Q334" t="e">
        <f t="shared" si="46"/>
        <v>#N/A</v>
      </c>
      <c r="U334">
        <f>C334/Navio!$J$4</f>
        <v>15.224269122637018</v>
      </c>
    </row>
    <row r="335" spans="1:21" x14ac:dyDescent="0.3">
      <c r="A335">
        <v>333</v>
      </c>
      <c r="B335" s="47">
        <v>799.96016321920456</v>
      </c>
      <c r="C335" s="46">
        <v>279.75186835866521</v>
      </c>
      <c r="D335" s="1">
        <v>9</v>
      </c>
      <c r="E335" s="1">
        <v>13</v>
      </c>
      <c r="F335" s="1">
        <v>17</v>
      </c>
      <c r="G335" s="1">
        <v>7</v>
      </c>
      <c r="H335" s="1" t="s">
        <v>50</v>
      </c>
      <c r="I335" s="1" t="s">
        <v>50</v>
      </c>
      <c r="J335" s="1" t="s">
        <v>50</v>
      </c>
      <c r="K335" s="1" t="s">
        <v>50</v>
      </c>
      <c r="L335">
        <f t="shared" si="42"/>
        <v>310</v>
      </c>
      <c r="M335">
        <f t="shared" si="41"/>
        <v>185.56448544286178</v>
      </c>
      <c r="N335">
        <f t="shared" si="43"/>
        <v>304.39567777634272</v>
      </c>
      <c r="O335">
        <f t="shared" si="44"/>
        <v>310</v>
      </c>
      <c r="P335" t="e">
        <f t="shared" si="45"/>
        <v>#N/A</v>
      </c>
      <c r="Q335" t="e">
        <f t="shared" si="46"/>
        <v>#N/A</v>
      </c>
      <c r="U335">
        <f>C335/Navio!$J$4</f>
        <v>15.105405509997482</v>
      </c>
    </row>
    <row r="336" spans="1:21" x14ac:dyDescent="0.3">
      <c r="A336">
        <v>334</v>
      </c>
      <c r="B336" s="47">
        <v>616.34484093009178</v>
      </c>
      <c r="C336" s="46">
        <v>275.33522328813922</v>
      </c>
      <c r="D336" s="1">
        <v>9</v>
      </c>
      <c r="E336" s="1">
        <v>15</v>
      </c>
      <c r="F336" s="1">
        <v>14</v>
      </c>
      <c r="G336" s="1">
        <v>7</v>
      </c>
      <c r="H336" s="1" t="s">
        <v>50</v>
      </c>
      <c r="I336" s="1" t="s">
        <v>50</v>
      </c>
      <c r="J336" s="1" t="s">
        <v>50</v>
      </c>
      <c r="K336" s="1" t="s">
        <v>50</v>
      </c>
      <c r="L336">
        <f t="shared" si="42"/>
        <v>310</v>
      </c>
      <c r="M336">
        <f t="shared" si="41"/>
        <v>210.14742667389368</v>
      </c>
      <c r="N336">
        <f t="shared" si="43"/>
        <v>96.197414256198073</v>
      </c>
      <c r="O336">
        <f t="shared" si="44"/>
        <v>310</v>
      </c>
      <c r="P336" t="e">
        <f t="shared" si="45"/>
        <v>#N/A</v>
      </c>
      <c r="Q336" t="e">
        <f t="shared" si="46"/>
        <v>#N/A</v>
      </c>
      <c r="U336">
        <f>C336/Navio!$J$4</f>
        <v>14.866925548539308</v>
      </c>
    </row>
    <row r="337" spans="1:21" x14ac:dyDescent="0.3">
      <c r="A337">
        <v>335</v>
      </c>
      <c r="B337" s="47">
        <v>463.8534093952897</v>
      </c>
      <c r="C337" s="46">
        <v>285.32551858782642</v>
      </c>
      <c r="D337" s="1">
        <v>9</v>
      </c>
      <c r="E337" s="1">
        <v>16</v>
      </c>
      <c r="F337" s="1">
        <v>14</v>
      </c>
      <c r="G337" s="1">
        <v>7</v>
      </c>
      <c r="H337" s="1" t="s">
        <v>50</v>
      </c>
      <c r="I337" s="1" t="s">
        <v>50</v>
      </c>
      <c r="J337" s="1" t="s">
        <v>50</v>
      </c>
      <c r="K337" s="1" t="s">
        <v>50</v>
      </c>
      <c r="L337">
        <f t="shared" si="42"/>
        <v>310</v>
      </c>
      <c r="M337">
        <f t="shared" si="41"/>
        <v>172.96798541727486</v>
      </c>
      <c r="N337">
        <f t="shared" si="43"/>
        <v>96.197414256198073</v>
      </c>
      <c r="O337">
        <f t="shared" si="44"/>
        <v>310</v>
      </c>
      <c r="P337" t="e">
        <f t="shared" si="45"/>
        <v>#N/A</v>
      </c>
      <c r="Q337" t="e">
        <f t="shared" si="46"/>
        <v>#N/A</v>
      </c>
      <c r="U337">
        <f>C337/Navio!$J$4</f>
        <v>15.406358806132143</v>
      </c>
    </row>
    <row r="338" spans="1:21" x14ac:dyDescent="0.3">
      <c r="A338">
        <v>336</v>
      </c>
      <c r="B338" s="47">
        <v>710.59309203254077</v>
      </c>
      <c r="C338" s="46">
        <v>288.64163450375361</v>
      </c>
      <c r="D338" s="1">
        <v>9</v>
      </c>
      <c r="E338" s="1">
        <v>17</v>
      </c>
      <c r="F338" s="1">
        <v>14</v>
      </c>
      <c r="G338" s="1">
        <v>7</v>
      </c>
      <c r="H338" s="1" t="s">
        <v>50</v>
      </c>
      <c r="I338" s="1" t="s">
        <v>50</v>
      </c>
      <c r="J338" s="1" t="s">
        <v>50</v>
      </c>
      <c r="K338" s="1" t="s">
        <v>50</v>
      </c>
      <c r="L338">
        <f t="shared" si="42"/>
        <v>310</v>
      </c>
      <c r="M338">
        <f t="shared" si="41"/>
        <v>304.39567777634272</v>
      </c>
      <c r="N338">
        <f t="shared" si="43"/>
        <v>96.197414256198073</v>
      </c>
      <c r="O338">
        <f t="shared" si="44"/>
        <v>310</v>
      </c>
      <c r="P338" t="e">
        <f t="shared" si="45"/>
        <v>#N/A</v>
      </c>
      <c r="Q338" t="e">
        <f t="shared" si="46"/>
        <v>#N/A</v>
      </c>
      <c r="U338">
        <f>C338/Navio!$J$4</f>
        <v>15.5854148958095</v>
      </c>
    </row>
    <row r="339" spans="1:21" x14ac:dyDescent="0.3">
      <c r="A339">
        <v>337</v>
      </c>
      <c r="B339" s="47">
        <v>577.80342181298533</v>
      </c>
      <c r="C339" s="46">
        <v>281.18679334557055</v>
      </c>
      <c r="D339" s="1">
        <v>9</v>
      </c>
      <c r="E339" s="1">
        <v>16</v>
      </c>
      <c r="F339" s="1">
        <v>15</v>
      </c>
      <c r="G339" s="1">
        <v>7</v>
      </c>
      <c r="H339" s="1" t="s">
        <v>50</v>
      </c>
      <c r="I339" s="1" t="s">
        <v>50</v>
      </c>
      <c r="J339" s="1" t="s">
        <v>50</v>
      </c>
      <c r="K339" s="1" t="s">
        <v>50</v>
      </c>
      <c r="L339">
        <f t="shared" si="42"/>
        <v>310</v>
      </c>
      <c r="M339">
        <f t="shared" si="41"/>
        <v>172.96798541727486</v>
      </c>
      <c r="N339">
        <f t="shared" si="43"/>
        <v>210.14742667389368</v>
      </c>
      <c r="O339">
        <f t="shared" si="44"/>
        <v>310</v>
      </c>
      <c r="P339" t="e">
        <f t="shared" si="45"/>
        <v>#N/A</v>
      </c>
      <c r="Q339" t="e">
        <f t="shared" si="46"/>
        <v>#N/A</v>
      </c>
      <c r="U339">
        <f>C339/Navio!$J$4</f>
        <v>15.182885327847504</v>
      </c>
    </row>
    <row r="340" spans="1:21" x14ac:dyDescent="0.3">
      <c r="A340">
        <v>338</v>
      </c>
      <c r="B340" s="47">
        <v>824.54310445023634</v>
      </c>
      <c r="C340" s="46">
        <v>282.66628176681581</v>
      </c>
      <c r="D340" s="1">
        <v>9</v>
      </c>
      <c r="E340" s="1">
        <v>17</v>
      </c>
      <c r="F340" s="1">
        <v>15</v>
      </c>
      <c r="G340" s="1">
        <v>7</v>
      </c>
      <c r="H340" s="1" t="s">
        <v>50</v>
      </c>
      <c r="I340" s="1" t="s">
        <v>50</v>
      </c>
      <c r="J340" s="1" t="s">
        <v>50</v>
      </c>
      <c r="K340" s="1" t="s">
        <v>50</v>
      </c>
      <c r="L340">
        <f t="shared" si="42"/>
        <v>310</v>
      </c>
      <c r="M340">
        <f t="shared" si="41"/>
        <v>304.39567777634272</v>
      </c>
      <c r="N340">
        <f t="shared" si="43"/>
        <v>210.14742667389368</v>
      </c>
      <c r="O340">
        <f t="shared" si="44"/>
        <v>310</v>
      </c>
      <c r="P340" t="e">
        <f t="shared" si="45"/>
        <v>#N/A</v>
      </c>
      <c r="Q340" t="e">
        <f t="shared" si="46"/>
        <v>#N/A</v>
      </c>
      <c r="U340">
        <f>C340/Navio!$J$4</f>
        <v>15.262771380732067</v>
      </c>
    </row>
    <row r="341" spans="1:21" x14ac:dyDescent="0.3">
      <c r="A341">
        <v>339</v>
      </c>
      <c r="B341" s="47">
        <v>672.05167291543432</v>
      </c>
      <c r="C341" s="46">
        <v>286.59250666909611</v>
      </c>
      <c r="D341" s="1">
        <v>9</v>
      </c>
      <c r="E341" s="1">
        <v>17</v>
      </c>
      <c r="F341" s="1">
        <v>16</v>
      </c>
      <c r="G341" s="1">
        <v>7</v>
      </c>
      <c r="H341" s="1" t="s">
        <v>50</v>
      </c>
      <c r="I341" s="1" t="s">
        <v>50</v>
      </c>
      <c r="J341" s="1" t="s">
        <v>50</v>
      </c>
      <c r="K341" s="1" t="s">
        <v>50</v>
      </c>
      <c r="L341">
        <f t="shared" si="42"/>
        <v>310</v>
      </c>
      <c r="M341">
        <f t="shared" si="41"/>
        <v>304.39567777634272</v>
      </c>
      <c r="N341">
        <f t="shared" si="43"/>
        <v>172.96798541727486</v>
      </c>
      <c r="O341">
        <f t="shared" si="44"/>
        <v>310</v>
      </c>
      <c r="P341" t="e">
        <f t="shared" si="45"/>
        <v>#N/A</v>
      </c>
      <c r="Q341" t="e">
        <f t="shared" si="46"/>
        <v>#N/A</v>
      </c>
      <c r="U341">
        <f>C341/Navio!$J$4</f>
        <v>15.474770748673222</v>
      </c>
    </row>
    <row r="342" spans="1:21" x14ac:dyDescent="0.3">
      <c r="A342">
        <v>340</v>
      </c>
      <c r="B342" s="47">
        <v>751.71883227868352</v>
      </c>
      <c r="C342" s="46">
        <v>248.46268913932775</v>
      </c>
      <c r="D342" s="1">
        <v>10</v>
      </c>
      <c r="E342" s="1">
        <v>11</v>
      </c>
      <c r="F342" s="1">
        <v>12</v>
      </c>
      <c r="G342" s="1">
        <v>7</v>
      </c>
      <c r="H342" s="1" t="s">
        <v>50</v>
      </c>
      <c r="I342" s="1" t="s">
        <v>50</v>
      </c>
      <c r="J342" s="1" t="s">
        <v>50</v>
      </c>
      <c r="K342" s="1" t="s">
        <v>50</v>
      </c>
      <c r="L342">
        <f t="shared" si="42"/>
        <v>290.36739528320618</v>
      </c>
      <c r="M342">
        <f t="shared" si="41"/>
        <v>278.99258318037374</v>
      </c>
      <c r="N342">
        <f t="shared" si="43"/>
        <v>82.076561445310972</v>
      </c>
      <c r="O342">
        <f t="shared" si="44"/>
        <v>310</v>
      </c>
      <c r="P342" t="e">
        <f t="shared" si="45"/>
        <v>#N/A</v>
      </c>
      <c r="Q342" t="e">
        <f t="shared" si="46"/>
        <v>#N/A</v>
      </c>
      <c r="U342">
        <f>C342/Navio!$J$4</f>
        <v>13.415923530999148</v>
      </c>
    </row>
    <row r="343" spans="1:21" x14ac:dyDescent="0.3">
      <c r="A343">
        <v>341</v>
      </c>
      <c r="B343" s="47">
        <v>820.55739271977802</v>
      </c>
      <c r="C343" s="46">
        <v>271.07903571998077</v>
      </c>
      <c r="D343" s="1">
        <v>10</v>
      </c>
      <c r="E343" s="1">
        <v>11</v>
      </c>
      <c r="F343" s="1">
        <v>14</v>
      </c>
      <c r="G343" s="1">
        <v>7</v>
      </c>
      <c r="H343" s="1" t="s">
        <v>50</v>
      </c>
      <c r="I343" s="1" t="s">
        <v>50</v>
      </c>
      <c r="J343" s="1" t="s">
        <v>50</v>
      </c>
      <c r="K343" s="1" t="s">
        <v>50</v>
      </c>
      <c r="L343">
        <f t="shared" si="42"/>
        <v>290.36739528320618</v>
      </c>
      <c r="M343">
        <f t="shared" si="41"/>
        <v>278.99258318037374</v>
      </c>
      <c r="N343">
        <f t="shared" si="43"/>
        <v>96.197414256198073</v>
      </c>
      <c r="O343">
        <f t="shared" si="44"/>
        <v>310</v>
      </c>
      <c r="P343" t="e">
        <f t="shared" si="45"/>
        <v>#N/A</v>
      </c>
      <c r="Q343" t="e">
        <f t="shared" si="46"/>
        <v>#N/A</v>
      </c>
      <c r="U343">
        <f>C343/Navio!$J$4</f>
        <v>14.637109606573135</v>
      </c>
    </row>
    <row r="344" spans="1:21" x14ac:dyDescent="0.3">
      <c r="A344">
        <v>342</v>
      </c>
      <c r="B344" s="47">
        <v>782.01597360267158</v>
      </c>
      <c r="C344" s="46">
        <v>284.06419055652111</v>
      </c>
      <c r="D344" s="1">
        <v>10</v>
      </c>
      <c r="E344" s="1">
        <v>11</v>
      </c>
      <c r="F344" s="1">
        <v>16</v>
      </c>
      <c r="G344" s="1">
        <v>7</v>
      </c>
      <c r="H344" s="1" t="s">
        <v>50</v>
      </c>
      <c r="I344" s="1" t="s">
        <v>50</v>
      </c>
      <c r="J344" s="1" t="s">
        <v>50</v>
      </c>
      <c r="K344" s="1" t="s">
        <v>50</v>
      </c>
      <c r="L344">
        <f t="shared" si="42"/>
        <v>290.36739528320618</v>
      </c>
      <c r="M344">
        <f t="shared" si="41"/>
        <v>278.99258318037374</v>
      </c>
      <c r="N344">
        <f t="shared" si="43"/>
        <v>172.96798541727486</v>
      </c>
      <c r="O344">
        <f t="shared" si="44"/>
        <v>310</v>
      </c>
      <c r="P344" t="e">
        <f t="shared" si="45"/>
        <v>#N/A</v>
      </c>
      <c r="Q344" t="e">
        <f t="shared" si="46"/>
        <v>#N/A</v>
      </c>
      <c r="U344">
        <f>C344/Navio!$J$4</f>
        <v>15.338252482103716</v>
      </c>
    </row>
    <row r="345" spans="1:21" x14ac:dyDescent="0.3">
      <c r="A345">
        <v>343</v>
      </c>
      <c r="B345" s="47">
        <v>658.29073454117156</v>
      </c>
      <c r="C345" s="46">
        <v>256.1594019508596</v>
      </c>
      <c r="D345" s="1">
        <v>10</v>
      </c>
      <c r="E345" s="1">
        <v>13</v>
      </c>
      <c r="F345" s="1">
        <v>12</v>
      </c>
      <c r="G345" s="1">
        <v>7</v>
      </c>
      <c r="H345" s="1" t="s">
        <v>50</v>
      </c>
      <c r="I345" s="1" t="s">
        <v>50</v>
      </c>
      <c r="J345" s="1" t="s">
        <v>50</v>
      </c>
      <c r="K345" s="1" t="s">
        <v>50</v>
      </c>
      <c r="L345">
        <f t="shared" si="42"/>
        <v>290.36739528320618</v>
      </c>
      <c r="M345">
        <f t="shared" si="41"/>
        <v>185.56448544286178</v>
      </c>
      <c r="N345">
        <f t="shared" si="43"/>
        <v>82.076561445310972</v>
      </c>
      <c r="O345">
        <f t="shared" si="44"/>
        <v>310</v>
      </c>
      <c r="P345" t="e">
        <f t="shared" si="45"/>
        <v>#N/A</v>
      </c>
      <c r="Q345" t="e">
        <f t="shared" si="46"/>
        <v>#N/A</v>
      </c>
      <c r="U345">
        <f>C345/Navio!$J$4</f>
        <v>13.831513134722988</v>
      </c>
    </row>
    <row r="346" spans="1:21" x14ac:dyDescent="0.3">
      <c r="A346">
        <v>344</v>
      </c>
      <c r="B346" s="47">
        <v>568.92366335450788</v>
      </c>
      <c r="C346" s="46">
        <v>270.74308979123947</v>
      </c>
      <c r="D346" s="1">
        <v>10</v>
      </c>
      <c r="E346" s="1">
        <v>12</v>
      </c>
      <c r="F346" s="1">
        <v>14</v>
      </c>
      <c r="G346" s="1">
        <v>7</v>
      </c>
      <c r="H346" s="1" t="s">
        <v>50</v>
      </c>
      <c r="I346" s="1" t="s">
        <v>50</v>
      </c>
      <c r="J346" s="1" t="s">
        <v>50</v>
      </c>
      <c r="K346" s="1" t="s">
        <v>50</v>
      </c>
      <c r="L346">
        <f t="shared" si="42"/>
        <v>290.36739528320618</v>
      </c>
      <c r="M346">
        <f t="shared" si="41"/>
        <v>82.076561445310972</v>
      </c>
      <c r="N346">
        <f t="shared" si="43"/>
        <v>96.197414256198073</v>
      </c>
      <c r="O346">
        <f t="shared" si="44"/>
        <v>310</v>
      </c>
      <c r="P346" t="e">
        <f t="shared" si="45"/>
        <v>#N/A</v>
      </c>
      <c r="Q346" t="e">
        <f t="shared" si="46"/>
        <v>#N/A</v>
      </c>
      <c r="U346">
        <f>C346/Navio!$J$4</f>
        <v>14.618969961920024</v>
      </c>
    </row>
    <row r="347" spans="1:21" x14ac:dyDescent="0.3">
      <c r="A347">
        <v>345</v>
      </c>
      <c r="B347" s="47">
        <v>682.87367577220357</v>
      </c>
      <c r="C347" s="46">
        <v>272.68597896628268</v>
      </c>
      <c r="D347" s="1">
        <v>10</v>
      </c>
      <c r="E347" s="1">
        <v>15</v>
      </c>
      <c r="F347" s="1">
        <v>12</v>
      </c>
      <c r="G347" s="1">
        <v>7</v>
      </c>
      <c r="H347" s="1" t="s">
        <v>50</v>
      </c>
      <c r="I347" s="1" t="s">
        <v>50</v>
      </c>
      <c r="J347" s="1" t="s">
        <v>50</v>
      </c>
      <c r="K347" s="1" t="s">
        <v>50</v>
      </c>
      <c r="L347">
        <f t="shared" si="42"/>
        <v>290.36739528320618</v>
      </c>
      <c r="M347">
        <f t="shared" si="41"/>
        <v>210.14742667389368</v>
      </c>
      <c r="N347">
        <f t="shared" si="43"/>
        <v>82.076561445310972</v>
      </c>
      <c r="O347">
        <f t="shared" si="44"/>
        <v>310</v>
      </c>
      <c r="P347" t="e">
        <f t="shared" si="45"/>
        <v>#N/A</v>
      </c>
      <c r="Q347" t="e">
        <f t="shared" si="46"/>
        <v>#N/A</v>
      </c>
      <c r="U347">
        <f>C347/Navio!$J$4</f>
        <v>14.723877675395544</v>
      </c>
    </row>
    <row r="348" spans="1:21" x14ac:dyDescent="0.3">
      <c r="A348">
        <v>346</v>
      </c>
      <c r="B348" s="47">
        <v>530.38224423740144</v>
      </c>
      <c r="C348" s="46">
        <v>283.99536898072535</v>
      </c>
      <c r="D348" s="1">
        <v>10</v>
      </c>
      <c r="E348" s="1">
        <v>16</v>
      </c>
      <c r="F348" s="1">
        <v>12</v>
      </c>
      <c r="G348" s="1">
        <v>7</v>
      </c>
      <c r="H348" s="1" t="s">
        <v>50</v>
      </c>
      <c r="I348" s="1" t="s">
        <v>50</v>
      </c>
      <c r="J348" s="1" t="s">
        <v>50</v>
      </c>
      <c r="K348" s="1" t="s">
        <v>50</v>
      </c>
      <c r="L348">
        <f t="shared" si="42"/>
        <v>290.36739528320618</v>
      </c>
      <c r="M348">
        <f t="shared" si="41"/>
        <v>172.96798541727486</v>
      </c>
      <c r="N348">
        <f t="shared" si="43"/>
        <v>82.076561445310972</v>
      </c>
      <c r="O348">
        <f t="shared" si="44"/>
        <v>310</v>
      </c>
      <c r="P348" t="e">
        <f t="shared" si="45"/>
        <v>#N/A</v>
      </c>
      <c r="Q348" t="e">
        <f t="shared" si="46"/>
        <v>#N/A</v>
      </c>
      <c r="U348">
        <f>C348/Navio!$J$4</f>
        <v>15.33453641108574</v>
      </c>
    </row>
    <row r="349" spans="1:21" x14ac:dyDescent="0.3">
      <c r="A349">
        <v>347</v>
      </c>
      <c r="B349" s="47">
        <v>777.12192687465256</v>
      </c>
      <c r="C349" s="46">
        <v>281.96045010817107</v>
      </c>
      <c r="D349" s="1">
        <v>10</v>
      </c>
      <c r="E349" s="1">
        <v>17</v>
      </c>
      <c r="F349" s="1">
        <v>12</v>
      </c>
      <c r="G349" s="1">
        <v>7</v>
      </c>
      <c r="H349" s="1" t="s">
        <v>50</v>
      </c>
      <c r="I349" s="1" t="s">
        <v>50</v>
      </c>
      <c r="J349" s="1" t="s">
        <v>50</v>
      </c>
      <c r="K349" s="1" t="s">
        <v>50</v>
      </c>
      <c r="L349">
        <f t="shared" si="42"/>
        <v>290.36739528320618</v>
      </c>
      <c r="M349">
        <f t="shared" si="41"/>
        <v>304.39567777634272</v>
      </c>
      <c r="N349">
        <f t="shared" si="43"/>
        <v>82.076561445310972</v>
      </c>
      <c r="O349">
        <f t="shared" si="44"/>
        <v>310</v>
      </c>
      <c r="P349" t="e">
        <f t="shared" si="45"/>
        <v>#N/A</v>
      </c>
      <c r="Q349" t="e">
        <f t="shared" si="46"/>
        <v>#N/A</v>
      </c>
      <c r="U349">
        <f>C349/Navio!$J$4</f>
        <v>15.22465948718806</v>
      </c>
    </row>
    <row r="350" spans="1:21" x14ac:dyDescent="0.3">
      <c r="A350">
        <v>348</v>
      </c>
      <c r="B350" s="47">
        <v>727.12929498226606</v>
      </c>
      <c r="C350" s="46">
        <v>274.51949002851006</v>
      </c>
      <c r="D350" s="1">
        <v>10</v>
      </c>
      <c r="E350" s="1">
        <v>13</v>
      </c>
      <c r="F350" s="1">
        <v>14</v>
      </c>
      <c r="G350" s="1">
        <v>7</v>
      </c>
      <c r="H350" s="1" t="s">
        <v>50</v>
      </c>
      <c r="I350" s="1" t="s">
        <v>50</v>
      </c>
      <c r="J350" s="1" t="s">
        <v>50</v>
      </c>
      <c r="K350" s="1" t="s">
        <v>50</v>
      </c>
      <c r="L350">
        <f t="shared" si="42"/>
        <v>290.36739528320618</v>
      </c>
      <c r="M350">
        <f t="shared" si="41"/>
        <v>185.56448544286178</v>
      </c>
      <c r="N350">
        <f t="shared" si="43"/>
        <v>96.197414256198073</v>
      </c>
      <c r="O350">
        <f t="shared" si="44"/>
        <v>310</v>
      </c>
      <c r="P350" t="e">
        <f t="shared" si="45"/>
        <v>#N/A</v>
      </c>
      <c r="Q350" t="e">
        <f t="shared" si="46"/>
        <v>#N/A</v>
      </c>
      <c r="U350">
        <f>C350/Navio!$J$4</f>
        <v>14.822879438152325</v>
      </c>
    </row>
    <row r="351" spans="1:21" x14ac:dyDescent="0.3">
      <c r="A351">
        <v>349</v>
      </c>
      <c r="B351" s="47">
        <v>841.07930739996164</v>
      </c>
      <c r="C351" s="46">
        <v>273.22008451254089</v>
      </c>
      <c r="D351" s="1">
        <v>10</v>
      </c>
      <c r="E351" s="1">
        <v>13</v>
      </c>
      <c r="F351" s="1">
        <v>15</v>
      </c>
      <c r="G351" s="1">
        <v>7</v>
      </c>
      <c r="H351" s="1" t="s">
        <v>50</v>
      </c>
      <c r="I351" s="1" t="s">
        <v>50</v>
      </c>
      <c r="J351" s="1" t="s">
        <v>50</v>
      </c>
      <c r="K351" s="1" t="s">
        <v>50</v>
      </c>
      <c r="L351">
        <f t="shared" si="42"/>
        <v>290.36739528320618</v>
      </c>
      <c r="M351">
        <f t="shared" si="41"/>
        <v>185.56448544286178</v>
      </c>
      <c r="N351">
        <f t="shared" si="43"/>
        <v>210.14742667389368</v>
      </c>
      <c r="O351">
        <f t="shared" si="44"/>
        <v>310</v>
      </c>
      <c r="P351" t="e">
        <f t="shared" si="45"/>
        <v>#N/A</v>
      </c>
      <c r="Q351" t="e">
        <f t="shared" si="46"/>
        <v>#N/A</v>
      </c>
      <c r="U351">
        <f>C351/Navio!$J$4</f>
        <v>14.752717092657363</v>
      </c>
    </row>
    <row r="352" spans="1:21" x14ac:dyDescent="0.3">
      <c r="A352">
        <v>350</v>
      </c>
      <c r="B352" s="47">
        <v>688.58787586515962</v>
      </c>
      <c r="C352" s="46">
        <v>284.04531799609663</v>
      </c>
      <c r="D352" s="1">
        <v>10</v>
      </c>
      <c r="E352" s="1">
        <v>13</v>
      </c>
      <c r="F352" s="1">
        <v>16</v>
      </c>
      <c r="G352" s="1">
        <v>7</v>
      </c>
      <c r="H352" s="1" t="s">
        <v>50</v>
      </c>
      <c r="I352" s="1" t="s">
        <v>50</v>
      </c>
      <c r="J352" s="1" t="s">
        <v>50</v>
      </c>
      <c r="K352" s="1" t="s">
        <v>50</v>
      </c>
      <c r="L352">
        <f t="shared" si="42"/>
        <v>290.36739528320618</v>
      </c>
      <c r="M352">
        <f t="shared" si="41"/>
        <v>185.56448544286178</v>
      </c>
      <c r="N352">
        <f t="shared" si="43"/>
        <v>172.96798541727486</v>
      </c>
      <c r="O352">
        <f t="shared" si="44"/>
        <v>310</v>
      </c>
      <c r="P352" t="e">
        <f t="shared" si="45"/>
        <v>#N/A</v>
      </c>
      <c r="Q352" t="e">
        <f t="shared" si="46"/>
        <v>#N/A</v>
      </c>
      <c r="U352">
        <f>C352/Navio!$J$4</f>
        <v>15.337233444483354</v>
      </c>
    </row>
    <row r="353" spans="1:21" x14ac:dyDescent="0.3">
      <c r="A353">
        <v>351</v>
      </c>
      <c r="B353" s="47">
        <v>751.71223621329796</v>
      </c>
      <c r="C353" s="46">
        <v>278.68954664445283</v>
      </c>
      <c r="D353" s="1">
        <v>10</v>
      </c>
      <c r="E353" s="1">
        <v>15</v>
      </c>
      <c r="F353" s="1">
        <v>14</v>
      </c>
      <c r="G353" s="1">
        <v>7</v>
      </c>
      <c r="H353" s="1" t="s">
        <v>50</v>
      </c>
      <c r="I353" s="1" t="s">
        <v>50</v>
      </c>
      <c r="J353" s="1" t="s">
        <v>50</v>
      </c>
      <c r="K353" s="1" t="s">
        <v>50</v>
      </c>
      <c r="L353">
        <f t="shared" si="42"/>
        <v>290.36739528320618</v>
      </c>
      <c r="M353">
        <f t="shared" si="41"/>
        <v>210.14742667389368</v>
      </c>
      <c r="N353">
        <f t="shared" si="43"/>
        <v>96.197414256198073</v>
      </c>
      <c r="O353">
        <f t="shared" si="44"/>
        <v>310</v>
      </c>
      <c r="P353" t="e">
        <f t="shared" si="45"/>
        <v>#N/A</v>
      </c>
      <c r="Q353" t="e">
        <f t="shared" si="46"/>
        <v>#N/A</v>
      </c>
      <c r="U353">
        <f>C353/Navio!$J$4</f>
        <v>15.048044676736914</v>
      </c>
    </row>
    <row r="354" spans="1:21" x14ac:dyDescent="0.3">
      <c r="A354">
        <v>352</v>
      </c>
      <c r="B354" s="47">
        <v>599.22080467849582</v>
      </c>
      <c r="C354" s="46">
        <v>288.12940197741824</v>
      </c>
      <c r="D354" s="1">
        <v>10</v>
      </c>
      <c r="E354" s="1">
        <v>16</v>
      </c>
      <c r="F354" s="1">
        <v>14</v>
      </c>
      <c r="G354" s="1">
        <v>7</v>
      </c>
      <c r="H354" s="1" t="s">
        <v>50</v>
      </c>
      <c r="I354" s="1" t="s">
        <v>50</v>
      </c>
      <c r="J354" s="1" t="s">
        <v>50</v>
      </c>
      <c r="K354" s="1" t="s">
        <v>50</v>
      </c>
      <c r="L354">
        <f t="shared" si="42"/>
        <v>290.36739528320618</v>
      </c>
      <c r="M354">
        <f t="shared" si="41"/>
        <v>172.96798541727486</v>
      </c>
      <c r="N354">
        <f t="shared" si="43"/>
        <v>96.197414256198073</v>
      </c>
      <c r="O354">
        <f t="shared" si="44"/>
        <v>310</v>
      </c>
      <c r="P354" t="e">
        <f t="shared" si="45"/>
        <v>#N/A</v>
      </c>
      <c r="Q354" t="e">
        <f t="shared" si="46"/>
        <v>#N/A</v>
      </c>
      <c r="U354">
        <f>C354/Navio!$J$4</f>
        <v>15.557756528159972</v>
      </c>
    </row>
    <row r="355" spans="1:21" x14ac:dyDescent="0.3">
      <c r="A355">
        <v>353</v>
      </c>
      <c r="B355" s="47">
        <v>845.96048731574695</v>
      </c>
      <c r="C355" s="46">
        <v>290.32123340464693</v>
      </c>
      <c r="D355" s="1">
        <v>10</v>
      </c>
      <c r="E355" s="1">
        <v>17</v>
      </c>
      <c r="F355" s="1">
        <v>14</v>
      </c>
      <c r="G355" s="1">
        <v>7</v>
      </c>
      <c r="H355" s="1" t="s">
        <v>50</v>
      </c>
      <c r="I355" s="1" t="s">
        <v>50</v>
      </c>
      <c r="J355" s="1" t="s">
        <v>50</v>
      </c>
      <c r="K355" s="1" t="s">
        <v>50</v>
      </c>
      <c r="L355">
        <f t="shared" si="42"/>
        <v>290.36739528320618</v>
      </c>
      <c r="M355">
        <f t="shared" si="41"/>
        <v>304.39567777634272</v>
      </c>
      <c r="N355">
        <f t="shared" si="43"/>
        <v>96.197414256198073</v>
      </c>
      <c r="O355">
        <f t="shared" si="44"/>
        <v>310</v>
      </c>
      <c r="P355" t="e">
        <f t="shared" si="45"/>
        <v>#N/A</v>
      </c>
      <c r="Q355" t="e">
        <f t="shared" si="46"/>
        <v>#N/A</v>
      </c>
      <c r="U355">
        <f>C355/Navio!$J$4</f>
        <v>15.676106059521807</v>
      </c>
    </row>
    <row r="356" spans="1:21" x14ac:dyDescent="0.3">
      <c r="A356">
        <v>354</v>
      </c>
      <c r="B356" s="47">
        <v>713.17081709619151</v>
      </c>
      <c r="C356" s="46">
        <v>283.99067673516237</v>
      </c>
      <c r="D356" s="1">
        <v>10</v>
      </c>
      <c r="E356" s="1">
        <v>16</v>
      </c>
      <c r="F356" s="1">
        <v>15</v>
      </c>
      <c r="G356" s="1">
        <v>7</v>
      </c>
      <c r="H356" s="1" t="s">
        <v>50</v>
      </c>
      <c r="I356" s="1" t="s">
        <v>50</v>
      </c>
      <c r="J356" s="1" t="s">
        <v>50</v>
      </c>
      <c r="K356" s="1" t="s">
        <v>50</v>
      </c>
      <c r="L356">
        <f t="shared" si="42"/>
        <v>290.36739528320618</v>
      </c>
      <c r="M356">
        <f t="shared" si="41"/>
        <v>172.96798541727486</v>
      </c>
      <c r="N356">
        <f t="shared" si="43"/>
        <v>210.14742667389368</v>
      </c>
      <c r="O356">
        <f t="shared" si="44"/>
        <v>310</v>
      </c>
      <c r="P356" t="e">
        <f t="shared" si="45"/>
        <v>#N/A</v>
      </c>
      <c r="Q356" t="e">
        <f t="shared" si="46"/>
        <v>#N/A</v>
      </c>
      <c r="U356">
        <f>C356/Navio!$J$4</f>
        <v>15.334283049875332</v>
      </c>
    </row>
    <row r="357" spans="1:21" x14ac:dyDescent="0.3">
      <c r="A357">
        <v>355</v>
      </c>
      <c r="B357" s="47">
        <v>807.4190681986405</v>
      </c>
      <c r="C357" s="46">
        <v>288.27210556998938</v>
      </c>
      <c r="D357" s="1">
        <v>10</v>
      </c>
      <c r="E357" s="1">
        <v>17</v>
      </c>
      <c r="F357" s="1">
        <v>16</v>
      </c>
      <c r="G357" s="1">
        <v>7</v>
      </c>
      <c r="H357" s="1" t="s">
        <v>50</v>
      </c>
      <c r="I357" s="1" t="s">
        <v>50</v>
      </c>
      <c r="J357" s="1" t="s">
        <v>50</v>
      </c>
      <c r="K357" s="1" t="s">
        <v>50</v>
      </c>
      <c r="L357">
        <f t="shared" si="42"/>
        <v>290.36739528320618</v>
      </c>
      <c r="M357">
        <f t="shared" si="41"/>
        <v>304.39567777634272</v>
      </c>
      <c r="N357">
        <f t="shared" si="43"/>
        <v>172.96798541727486</v>
      </c>
      <c r="O357">
        <f t="shared" si="44"/>
        <v>310</v>
      </c>
      <c r="P357" t="e">
        <f t="shared" si="45"/>
        <v>#N/A</v>
      </c>
      <c r="Q357" t="e">
        <f t="shared" si="46"/>
        <v>#N/A</v>
      </c>
      <c r="U357">
        <f>C357/Navio!$J$4</f>
        <v>15.565461912385528</v>
      </c>
    </row>
    <row r="358" spans="1:21" x14ac:dyDescent="0.3">
      <c r="A358">
        <v>356</v>
      </c>
      <c r="B358" s="47">
        <v>646.91592243833918</v>
      </c>
      <c r="C358" s="46">
        <v>253.66172067637245</v>
      </c>
      <c r="D358" s="1">
        <v>11</v>
      </c>
      <c r="E358" s="1">
        <v>13</v>
      </c>
      <c r="F358" s="1">
        <v>12</v>
      </c>
      <c r="G358" s="1">
        <v>7</v>
      </c>
      <c r="H358" s="1" t="s">
        <v>50</v>
      </c>
      <c r="I358" s="1" t="s">
        <v>50</v>
      </c>
      <c r="J358" s="1" t="s">
        <v>50</v>
      </c>
      <c r="K358" s="1" t="s">
        <v>50</v>
      </c>
      <c r="L358">
        <f t="shared" si="42"/>
        <v>278.99258318037374</v>
      </c>
      <c r="M358">
        <f t="shared" si="41"/>
        <v>185.56448544286178</v>
      </c>
      <c r="N358">
        <f t="shared" si="43"/>
        <v>82.076561445310972</v>
      </c>
      <c r="O358">
        <f t="shared" si="44"/>
        <v>310</v>
      </c>
      <c r="P358" t="e">
        <f t="shared" si="45"/>
        <v>#N/A</v>
      </c>
      <c r="Q358" t="e">
        <f t="shared" si="46"/>
        <v>#N/A</v>
      </c>
      <c r="U358">
        <f>C358/Navio!$J$4</f>
        <v>13.696649018507383</v>
      </c>
    </row>
    <row r="359" spans="1:21" x14ac:dyDescent="0.3">
      <c r="A359">
        <v>357</v>
      </c>
      <c r="B359" s="47">
        <v>557.5488512516755</v>
      </c>
      <c r="C359" s="46">
        <v>269.07824109617286</v>
      </c>
      <c r="D359" s="1">
        <v>11</v>
      </c>
      <c r="E359" s="1">
        <v>12</v>
      </c>
      <c r="F359" s="1">
        <v>14</v>
      </c>
      <c r="G359" s="1">
        <v>7</v>
      </c>
      <c r="H359" s="1" t="s">
        <v>50</v>
      </c>
      <c r="I359" s="1" t="s">
        <v>50</v>
      </c>
      <c r="J359" s="1" t="s">
        <v>50</v>
      </c>
      <c r="K359" s="1" t="s">
        <v>50</v>
      </c>
      <c r="L359">
        <f t="shared" si="42"/>
        <v>278.99258318037374</v>
      </c>
      <c r="M359">
        <f t="shared" si="41"/>
        <v>82.076561445310972</v>
      </c>
      <c r="N359">
        <f t="shared" si="43"/>
        <v>96.197414256198073</v>
      </c>
      <c r="O359">
        <f t="shared" si="44"/>
        <v>310</v>
      </c>
      <c r="P359" t="e">
        <f t="shared" si="45"/>
        <v>#N/A</v>
      </c>
      <c r="Q359" t="e">
        <f t="shared" si="46"/>
        <v>#N/A</v>
      </c>
      <c r="U359">
        <f>C359/Navio!$J$4</f>
        <v>14.529075246294642</v>
      </c>
    </row>
    <row r="360" spans="1:21" x14ac:dyDescent="0.3">
      <c r="A360">
        <v>358</v>
      </c>
      <c r="B360" s="47">
        <v>671.49886366937108</v>
      </c>
      <c r="C360" s="46">
        <v>269.95890007132562</v>
      </c>
      <c r="D360" s="1">
        <v>11</v>
      </c>
      <c r="E360" s="1">
        <v>15</v>
      </c>
      <c r="F360" s="1">
        <v>12</v>
      </c>
      <c r="G360" s="1">
        <v>7</v>
      </c>
      <c r="H360" s="1" t="s">
        <v>50</v>
      </c>
      <c r="I360" s="1" t="s">
        <v>50</v>
      </c>
      <c r="J360" s="1" t="s">
        <v>50</v>
      </c>
      <c r="K360" s="1" t="s">
        <v>50</v>
      </c>
      <c r="L360">
        <f t="shared" si="42"/>
        <v>278.99258318037374</v>
      </c>
      <c r="M360">
        <f t="shared" si="41"/>
        <v>210.14742667389368</v>
      </c>
      <c r="N360">
        <f t="shared" si="43"/>
        <v>82.076561445310972</v>
      </c>
      <c r="O360">
        <f t="shared" si="44"/>
        <v>310</v>
      </c>
      <c r="P360" t="e">
        <f t="shared" si="45"/>
        <v>#N/A</v>
      </c>
      <c r="Q360" t="e">
        <f t="shared" si="46"/>
        <v>#N/A</v>
      </c>
      <c r="U360">
        <f>C360/Navio!$J$4</f>
        <v>14.576627067891938</v>
      </c>
    </row>
    <row r="361" spans="1:21" x14ac:dyDescent="0.3">
      <c r="A361">
        <v>359</v>
      </c>
      <c r="B361" s="47">
        <v>519.00743213456906</v>
      </c>
      <c r="C361" s="46">
        <v>281.341274215309</v>
      </c>
      <c r="D361" s="1">
        <v>11</v>
      </c>
      <c r="E361" s="1">
        <v>16</v>
      </c>
      <c r="F361" s="1">
        <v>12</v>
      </c>
      <c r="G361" s="1">
        <v>7</v>
      </c>
      <c r="H361" s="1" t="s">
        <v>50</v>
      </c>
      <c r="I361" s="1" t="s">
        <v>50</v>
      </c>
      <c r="J361" s="1" t="s">
        <v>50</v>
      </c>
      <c r="K361" s="1" t="s">
        <v>50</v>
      </c>
      <c r="L361">
        <f t="shared" si="42"/>
        <v>278.99258318037374</v>
      </c>
      <c r="M361">
        <f t="shared" si="41"/>
        <v>172.96798541727486</v>
      </c>
      <c r="N361">
        <f t="shared" si="43"/>
        <v>82.076561445310972</v>
      </c>
      <c r="O361">
        <f t="shared" si="44"/>
        <v>310</v>
      </c>
      <c r="P361" t="e">
        <f t="shared" si="45"/>
        <v>#N/A</v>
      </c>
      <c r="Q361" t="e">
        <f t="shared" si="46"/>
        <v>#N/A</v>
      </c>
      <c r="U361">
        <f>C361/Navio!$J$4</f>
        <v>15.19122663471572</v>
      </c>
    </row>
    <row r="362" spans="1:21" x14ac:dyDescent="0.3">
      <c r="A362">
        <v>360</v>
      </c>
      <c r="B362" s="47">
        <v>765.74711477182018</v>
      </c>
      <c r="C362" s="46">
        <v>279.79666073609428</v>
      </c>
      <c r="D362" s="1">
        <v>11</v>
      </c>
      <c r="E362" s="1">
        <v>17</v>
      </c>
      <c r="F362" s="1">
        <v>12</v>
      </c>
      <c r="G362" s="1">
        <v>7</v>
      </c>
      <c r="H362" s="1" t="s">
        <v>50</v>
      </c>
      <c r="I362" s="1" t="s">
        <v>50</v>
      </c>
      <c r="J362" s="1" t="s">
        <v>50</v>
      </c>
      <c r="K362" s="1" t="s">
        <v>50</v>
      </c>
      <c r="L362">
        <f t="shared" si="42"/>
        <v>278.99258318037374</v>
      </c>
      <c r="M362">
        <f t="shared" si="41"/>
        <v>304.39567777634272</v>
      </c>
      <c r="N362">
        <f t="shared" si="43"/>
        <v>82.076561445310972</v>
      </c>
      <c r="O362">
        <f t="shared" si="44"/>
        <v>310</v>
      </c>
      <c r="P362" t="e">
        <f t="shared" si="45"/>
        <v>#N/A</v>
      </c>
      <c r="Q362" t="e">
        <f t="shared" si="46"/>
        <v>#N/A</v>
      </c>
      <c r="U362">
        <f>C362/Navio!$J$4</f>
        <v>15.10782410698056</v>
      </c>
    </row>
    <row r="363" spans="1:21" x14ac:dyDescent="0.3">
      <c r="A363">
        <v>361</v>
      </c>
      <c r="B363" s="47">
        <v>715.75448287943357</v>
      </c>
      <c r="C363" s="46">
        <v>272.02180875402297</v>
      </c>
      <c r="D363" s="1">
        <v>11</v>
      </c>
      <c r="E363" s="1">
        <v>13</v>
      </c>
      <c r="F363" s="1">
        <v>14</v>
      </c>
      <c r="G363" s="1">
        <v>7</v>
      </c>
      <c r="H363" s="1" t="s">
        <v>50</v>
      </c>
      <c r="I363" s="1" t="s">
        <v>50</v>
      </c>
      <c r="J363" s="1" t="s">
        <v>50</v>
      </c>
      <c r="K363" s="1" t="s">
        <v>50</v>
      </c>
      <c r="L363">
        <f t="shared" si="42"/>
        <v>278.99258318037374</v>
      </c>
      <c r="M363">
        <f t="shared" si="41"/>
        <v>185.56448544286178</v>
      </c>
      <c r="N363">
        <f t="shared" si="43"/>
        <v>96.197414256198073</v>
      </c>
      <c r="O363">
        <f t="shared" si="44"/>
        <v>310</v>
      </c>
      <c r="P363" t="e">
        <f t="shared" si="45"/>
        <v>#N/A</v>
      </c>
      <c r="Q363" t="e">
        <f t="shared" si="46"/>
        <v>#N/A</v>
      </c>
      <c r="U363">
        <f>C363/Navio!$J$4</f>
        <v>14.688015321936723</v>
      </c>
    </row>
    <row r="364" spans="1:21" x14ac:dyDescent="0.3">
      <c r="A364">
        <v>362</v>
      </c>
      <c r="B364" s="47">
        <v>829.70449529712914</v>
      </c>
      <c r="C364" s="46">
        <v>270.72240323805374</v>
      </c>
      <c r="D364" s="1">
        <v>11</v>
      </c>
      <c r="E364" s="1">
        <v>13</v>
      </c>
      <c r="F364" s="1">
        <v>15</v>
      </c>
      <c r="G364" s="1">
        <v>7</v>
      </c>
      <c r="H364" s="1" t="s">
        <v>50</v>
      </c>
      <c r="I364" s="1" t="s">
        <v>50</v>
      </c>
      <c r="J364" s="1" t="s">
        <v>50</v>
      </c>
      <c r="K364" s="1" t="s">
        <v>50</v>
      </c>
      <c r="L364">
        <f t="shared" si="42"/>
        <v>278.99258318037374</v>
      </c>
      <c r="M364">
        <f t="shared" si="41"/>
        <v>185.56448544286178</v>
      </c>
      <c r="N364">
        <f t="shared" si="43"/>
        <v>210.14742667389368</v>
      </c>
      <c r="O364">
        <f t="shared" si="44"/>
        <v>310</v>
      </c>
      <c r="P364" t="e">
        <f t="shared" si="45"/>
        <v>#N/A</v>
      </c>
      <c r="Q364" t="e">
        <f t="shared" si="46"/>
        <v>#N/A</v>
      </c>
      <c r="U364">
        <f>C364/Navio!$J$4</f>
        <v>14.617852976441759</v>
      </c>
    </row>
    <row r="365" spans="1:21" x14ac:dyDescent="0.3">
      <c r="A365">
        <v>363</v>
      </c>
      <c r="B365" s="47">
        <v>677.21306376232712</v>
      </c>
      <c r="C365" s="46">
        <v>281.54763672160948</v>
      </c>
      <c r="D365" s="1">
        <v>11</v>
      </c>
      <c r="E365" s="1">
        <v>13</v>
      </c>
      <c r="F365" s="1">
        <v>16</v>
      </c>
      <c r="G365" s="1">
        <v>7</v>
      </c>
      <c r="H365" s="1" t="s">
        <v>50</v>
      </c>
      <c r="I365" s="1" t="s">
        <v>50</v>
      </c>
      <c r="J365" s="1" t="s">
        <v>50</v>
      </c>
      <c r="K365" s="1" t="s">
        <v>50</v>
      </c>
      <c r="L365">
        <f t="shared" si="42"/>
        <v>278.99258318037374</v>
      </c>
      <c r="M365">
        <f t="shared" si="41"/>
        <v>185.56448544286178</v>
      </c>
      <c r="N365">
        <f t="shared" si="43"/>
        <v>172.96798541727486</v>
      </c>
      <c r="O365">
        <f t="shared" si="44"/>
        <v>310</v>
      </c>
      <c r="P365" t="e">
        <f t="shared" si="45"/>
        <v>#N/A</v>
      </c>
      <c r="Q365" t="e">
        <f t="shared" si="46"/>
        <v>#N/A</v>
      </c>
      <c r="U365">
        <f>C365/Navio!$J$4</f>
        <v>15.20236932826775</v>
      </c>
    </row>
    <row r="366" spans="1:21" x14ac:dyDescent="0.3">
      <c r="A366">
        <v>364</v>
      </c>
      <c r="B366" s="47">
        <v>740.33742411046546</v>
      </c>
      <c r="C366" s="46">
        <v>275.96246774949577</v>
      </c>
      <c r="D366" s="1">
        <v>11</v>
      </c>
      <c r="E366" s="1">
        <v>15</v>
      </c>
      <c r="F366" s="1">
        <v>14</v>
      </c>
      <c r="G366" s="1">
        <v>7</v>
      </c>
      <c r="H366" s="1" t="s">
        <v>50</v>
      </c>
      <c r="I366" s="1" t="s">
        <v>50</v>
      </c>
      <c r="J366" s="1" t="s">
        <v>50</v>
      </c>
      <c r="K366" s="1" t="s">
        <v>50</v>
      </c>
      <c r="L366">
        <f t="shared" si="42"/>
        <v>278.99258318037374</v>
      </c>
      <c r="M366">
        <f t="shared" si="41"/>
        <v>210.14742667389368</v>
      </c>
      <c r="N366">
        <f t="shared" si="43"/>
        <v>96.197414256198073</v>
      </c>
      <c r="O366">
        <f t="shared" si="44"/>
        <v>310</v>
      </c>
      <c r="P366" t="e">
        <f t="shared" si="45"/>
        <v>#N/A</v>
      </c>
      <c r="Q366" t="e">
        <f t="shared" si="46"/>
        <v>#N/A</v>
      </c>
      <c r="U366">
        <f>C366/Navio!$J$4</f>
        <v>14.900794069233308</v>
      </c>
    </row>
    <row r="367" spans="1:21" x14ac:dyDescent="0.3">
      <c r="A367">
        <v>365</v>
      </c>
      <c r="B367" s="47">
        <v>587.84599257566344</v>
      </c>
      <c r="C367" s="46">
        <v>285.47530721200189</v>
      </c>
      <c r="D367" s="1">
        <v>11</v>
      </c>
      <c r="E367" s="1">
        <v>16</v>
      </c>
      <c r="F367" s="1">
        <v>14</v>
      </c>
      <c r="G367" s="1">
        <v>7</v>
      </c>
      <c r="H367" s="1" t="s">
        <v>50</v>
      </c>
      <c r="I367" s="1" t="s">
        <v>50</v>
      </c>
      <c r="J367" s="1" t="s">
        <v>50</v>
      </c>
      <c r="K367" s="1" t="s">
        <v>50</v>
      </c>
      <c r="L367">
        <f t="shared" si="42"/>
        <v>278.99258318037374</v>
      </c>
      <c r="M367">
        <f t="shared" si="41"/>
        <v>172.96798541727486</v>
      </c>
      <c r="N367">
        <f t="shared" si="43"/>
        <v>96.197414256198073</v>
      </c>
      <c r="O367">
        <f t="shared" si="44"/>
        <v>310</v>
      </c>
      <c r="P367" t="e">
        <f t="shared" si="45"/>
        <v>#N/A</v>
      </c>
      <c r="Q367" t="e">
        <f t="shared" si="46"/>
        <v>#N/A</v>
      </c>
      <c r="U367">
        <f>C367/Navio!$J$4</f>
        <v>15.414446751789951</v>
      </c>
    </row>
    <row r="368" spans="1:21" x14ac:dyDescent="0.3">
      <c r="A368">
        <v>366</v>
      </c>
      <c r="B368" s="47">
        <v>834.58567521291457</v>
      </c>
      <c r="C368" s="46">
        <v>288.15744403257014</v>
      </c>
      <c r="D368" s="1">
        <v>11</v>
      </c>
      <c r="E368" s="1">
        <v>17</v>
      </c>
      <c r="F368" s="1">
        <v>14</v>
      </c>
      <c r="G368" s="1">
        <v>7</v>
      </c>
      <c r="H368" s="1" t="s">
        <v>50</v>
      </c>
      <c r="I368" s="1" t="s">
        <v>50</v>
      </c>
      <c r="J368" s="1" t="s">
        <v>50</v>
      </c>
      <c r="K368" s="1" t="s">
        <v>50</v>
      </c>
      <c r="L368">
        <f t="shared" si="42"/>
        <v>278.99258318037374</v>
      </c>
      <c r="M368">
        <f t="shared" si="41"/>
        <v>304.39567777634272</v>
      </c>
      <c r="N368">
        <f t="shared" si="43"/>
        <v>96.197414256198073</v>
      </c>
      <c r="O368">
        <f t="shared" si="44"/>
        <v>310</v>
      </c>
      <c r="P368" t="e">
        <f t="shared" si="45"/>
        <v>#N/A</v>
      </c>
      <c r="Q368" t="e">
        <f t="shared" si="46"/>
        <v>#N/A</v>
      </c>
      <c r="U368">
        <f>C368/Navio!$J$4</f>
        <v>15.559270679314309</v>
      </c>
    </row>
    <row r="369" spans="1:21" x14ac:dyDescent="0.3">
      <c r="A369">
        <v>367</v>
      </c>
      <c r="B369" s="47">
        <v>701.79600499335902</v>
      </c>
      <c r="C369" s="46">
        <v>281.33658196974602</v>
      </c>
      <c r="D369" s="1">
        <v>11</v>
      </c>
      <c r="E369" s="1">
        <v>16</v>
      </c>
      <c r="F369" s="1">
        <v>15</v>
      </c>
      <c r="G369" s="1">
        <v>7</v>
      </c>
      <c r="H369" s="1" t="s">
        <v>50</v>
      </c>
      <c r="I369" s="1" t="s">
        <v>50</v>
      </c>
      <c r="J369" s="1" t="s">
        <v>50</v>
      </c>
      <c r="K369" s="1" t="s">
        <v>50</v>
      </c>
      <c r="L369">
        <f t="shared" si="42"/>
        <v>278.99258318037374</v>
      </c>
      <c r="M369">
        <f t="shared" si="41"/>
        <v>172.96798541727486</v>
      </c>
      <c r="N369">
        <f t="shared" si="43"/>
        <v>210.14742667389368</v>
      </c>
      <c r="O369">
        <f t="shared" si="44"/>
        <v>310</v>
      </c>
      <c r="P369" t="e">
        <f t="shared" si="45"/>
        <v>#N/A</v>
      </c>
      <c r="Q369" t="e">
        <f t="shared" si="46"/>
        <v>#N/A</v>
      </c>
      <c r="U369">
        <f>C369/Navio!$J$4</f>
        <v>15.190973273505312</v>
      </c>
    </row>
    <row r="370" spans="1:21" x14ac:dyDescent="0.3">
      <c r="A370">
        <v>368</v>
      </c>
      <c r="B370" s="47">
        <v>796.04425609580812</v>
      </c>
      <c r="C370" s="46">
        <v>286.10831619791259</v>
      </c>
      <c r="D370" s="1">
        <v>11</v>
      </c>
      <c r="E370" s="1">
        <v>17</v>
      </c>
      <c r="F370" s="1">
        <v>16</v>
      </c>
      <c r="G370" s="1">
        <v>7</v>
      </c>
      <c r="H370" s="1" t="s">
        <v>50</v>
      </c>
      <c r="I370" s="1" t="s">
        <v>50</v>
      </c>
      <c r="J370" s="1" t="s">
        <v>50</v>
      </c>
      <c r="K370" s="1" t="s">
        <v>50</v>
      </c>
      <c r="L370">
        <f t="shared" si="42"/>
        <v>278.99258318037374</v>
      </c>
      <c r="M370">
        <f t="shared" si="41"/>
        <v>304.39567777634272</v>
      </c>
      <c r="N370">
        <f t="shared" si="43"/>
        <v>172.96798541727486</v>
      </c>
      <c r="O370">
        <f t="shared" si="44"/>
        <v>310</v>
      </c>
      <c r="P370" t="e">
        <f t="shared" si="45"/>
        <v>#N/A</v>
      </c>
      <c r="Q370" t="e">
        <f t="shared" si="46"/>
        <v>#N/A</v>
      </c>
      <c r="U370">
        <f>C370/Navio!$J$4</f>
        <v>15.448626532178029</v>
      </c>
    </row>
    <row r="371" spans="1:21" x14ac:dyDescent="0.3">
      <c r="A371">
        <v>369</v>
      </c>
      <c r="B371" s="47">
        <v>464.12075351416354</v>
      </c>
      <c r="C371" s="46">
        <v>273.60112559876319</v>
      </c>
      <c r="D371" s="1">
        <v>13</v>
      </c>
      <c r="E371" s="1">
        <v>14</v>
      </c>
      <c r="F371" s="1">
        <v>12</v>
      </c>
      <c r="G371" s="1">
        <v>7</v>
      </c>
      <c r="H371" s="1" t="s">
        <v>50</v>
      </c>
      <c r="I371" s="1" t="s">
        <v>50</v>
      </c>
      <c r="J371" s="1" t="s">
        <v>50</v>
      </c>
      <c r="K371" s="1" t="s">
        <v>50</v>
      </c>
      <c r="L371">
        <f t="shared" si="42"/>
        <v>185.56448544286178</v>
      </c>
      <c r="M371">
        <f t="shared" si="41"/>
        <v>96.197414256198073</v>
      </c>
      <c r="N371">
        <f t="shared" si="43"/>
        <v>82.076561445310972</v>
      </c>
      <c r="O371">
        <f t="shared" si="44"/>
        <v>310</v>
      </c>
      <c r="P371" t="e">
        <f t="shared" si="45"/>
        <v>#N/A</v>
      </c>
      <c r="Q371" t="e">
        <f t="shared" si="46"/>
        <v>#N/A</v>
      </c>
      <c r="U371">
        <f>C371/Navio!$J$4</f>
        <v>14.773291683122576</v>
      </c>
    </row>
    <row r="372" spans="1:21" x14ac:dyDescent="0.3">
      <c r="A372">
        <v>370</v>
      </c>
      <c r="B372" s="47">
        <v>578.07076593185911</v>
      </c>
      <c r="C372" s="46">
        <v>269.84412201402552</v>
      </c>
      <c r="D372" s="1">
        <v>13</v>
      </c>
      <c r="E372" s="1">
        <v>15</v>
      </c>
      <c r="F372" s="1">
        <v>12</v>
      </c>
      <c r="G372" s="1">
        <v>7</v>
      </c>
      <c r="H372" s="1" t="s">
        <v>50</v>
      </c>
      <c r="I372" s="1" t="s">
        <v>50</v>
      </c>
      <c r="J372" s="1" t="s">
        <v>50</v>
      </c>
      <c r="K372" s="1" t="s">
        <v>50</v>
      </c>
      <c r="L372">
        <f t="shared" si="42"/>
        <v>185.56448544286178</v>
      </c>
      <c r="M372">
        <f t="shared" si="41"/>
        <v>210.14742667389368</v>
      </c>
      <c r="N372">
        <f t="shared" si="43"/>
        <v>82.076561445310972</v>
      </c>
      <c r="O372">
        <f t="shared" si="44"/>
        <v>310</v>
      </c>
      <c r="P372" t="e">
        <f t="shared" si="45"/>
        <v>#N/A</v>
      </c>
      <c r="Q372" t="e">
        <f t="shared" si="46"/>
        <v>#N/A</v>
      </c>
      <c r="U372">
        <f>C372/Navio!$J$4</f>
        <v>14.570429543245043</v>
      </c>
    </row>
    <row r="373" spans="1:21" x14ac:dyDescent="0.3">
      <c r="A373">
        <v>371</v>
      </c>
      <c r="B373" s="47">
        <v>425.57933439705704</v>
      </c>
      <c r="C373" s="46">
        <v>280.66729404831017</v>
      </c>
      <c r="D373" s="1">
        <v>13</v>
      </c>
      <c r="E373" s="1">
        <v>16</v>
      </c>
      <c r="F373" s="1">
        <v>12</v>
      </c>
      <c r="G373" s="1">
        <v>7</v>
      </c>
      <c r="H373" s="1" t="s">
        <v>50</v>
      </c>
      <c r="I373" s="1" t="s">
        <v>50</v>
      </c>
      <c r="J373" s="1" t="s">
        <v>50</v>
      </c>
      <c r="K373" s="1" t="s">
        <v>50</v>
      </c>
      <c r="L373">
        <f t="shared" si="42"/>
        <v>185.56448544286178</v>
      </c>
      <c r="M373">
        <f t="shared" si="41"/>
        <v>172.96798541727486</v>
      </c>
      <c r="N373">
        <f t="shared" si="43"/>
        <v>82.076561445310972</v>
      </c>
      <c r="O373">
        <f t="shared" si="44"/>
        <v>310</v>
      </c>
      <c r="P373" t="e">
        <f t="shared" si="45"/>
        <v>#N/A</v>
      </c>
      <c r="Q373" t="e">
        <f t="shared" si="46"/>
        <v>#N/A</v>
      </c>
      <c r="U373">
        <f>C373/Navio!$J$4</f>
        <v>15.15483458561898</v>
      </c>
    </row>
    <row r="374" spans="1:21" x14ac:dyDescent="0.3">
      <c r="A374">
        <v>372</v>
      </c>
      <c r="B374" s="47">
        <v>672.31901703430822</v>
      </c>
      <c r="C374" s="46">
        <v>278.99959528101505</v>
      </c>
      <c r="D374" s="1">
        <v>13</v>
      </c>
      <c r="E374" s="1">
        <v>17</v>
      </c>
      <c r="F374" s="1">
        <v>12</v>
      </c>
      <c r="G374" s="1">
        <v>7</v>
      </c>
      <c r="H374" s="1" t="s">
        <v>50</v>
      </c>
      <c r="I374" s="1" t="s">
        <v>50</v>
      </c>
      <c r="J374" s="1" t="s">
        <v>50</v>
      </c>
      <c r="K374" s="1" t="s">
        <v>50</v>
      </c>
      <c r="L374">
        <f t="shared" si="42"/>
        <v>185.56448544286178</v>
      </c>
      <c r="M374">
        <f t="shared" si="41"/>
        <v>304.39567777634272</v>
      </c>
      <c r="N374">
        <f t="shared" si="43"/>
        <v>82.076561445310972</v>
      </c>
      <c r="O374">
        <f t="shared" si="44"/>
        <v>310</v>
      </c>
      <c r="P374" t="e">
        <f t="shared" si="45"/>
        <v>#N/A</v>
      </c>
      <c r="Q374" t="e">
        <f t="shared" si="46"/>
        <v>#N/A</v>
      </c>
      <c r="U374">
        <f>C374/Navio!$J$4</f>
        <v>15.064785978271635</v>
      </c>
    </row>
    <row r="375" spans="1:21" x14ac:dyDescent="0.3">
      <c r="A375">
        <v>373</v>
      </c>
      <c r="B375" s="47">
        <v>488.70369474519543</v>
      </c>
      <c r="C375" s="46">
        <v>270.57110466261992</v>
      </c>
      <c r="D375" s="1">
        <v>14</v>
      </c>
      <c r="E375" s="1">
        <v>15</v>
      </c>
      <c r="F375" s="1">
        <v>12</v>
      </c>
      <c r="G375" s="1">
        <v>7</v>
      </c>
      <c r="H375" s="1" t="s">
        <v>50</v>
      </c>
      <c r="I375" s="1" t="s">
        <v>50</v>
      </c>
      <c r="J375" s="1" t="s">
        <v>50</v>
      </c>
      <c r="K375" s="1" t="s">
        <v>50</v>
      </c>
      <c r="L375">
        <f t="shared" si="42"/>
        <v>96.197414256198073</v>
      </c>
      <c r="M375">
        <f t="shared" si="41"/>
        <v>210.14742667389368</v>
      </c>
      <c r="N375">
        <f t="shared" si="43"/>
        <v>82.076561445310972</v>
      </c>
      <c r="O375">
        <f t="shared" si="44"/>
        <v>310</v>
      </c>
      <c r="P375" t="e">
        <f t="shared" si="45"/>
        <v>#N/A</v>
      </c>
      <c r="Q375" t="e">
        <f t="shared" si="46"/>
        <v>#N/A</v>
      </c>
      <c r="U375">
        <f>C375/Navio!$J$4</f>
        <v>14.60968349986803</v>
      </c>
    </row>
    <row r="376" spans="1:21" x14ac:dyDescent="0.3">
      <c r="A376">
        <v>374</v>
      </c>
      <c r="B376" s="47">
        <v>336.21226321039336</v>
      </c>
      <c r="C376" s="46">
        <v>281.04981908993364</v>
      </c>
      <c r="D376" s="1">
        <v>14</v>
      </c>
      <c r="E376" s="1">
        <v>16</v>
      </c>
      <c r="F376" s="1">
        <v>12</v>
      </c>
      <c r="G376" s="1">
        <v>7</v>
      </c>
      <c r="H376" s="1" t="s">
        <v>50</v>
      </c>
      <c r="I376" s="1" t="s">
        <v>50</v>
      </c>
      <c r="J376" s="1" t="s">
        <v>50</v>
      </c>
      <c r="K376" s="1" t="s">
        <v>50</v>
      </c>
      <c r="L376">
        <f t="shared" si="42"/>
        <v>96.197414256198073</v>
      </c>
      <c r="M376">
        <f t="shared" si="41"/>
        <v>172.96798541727486</v>
      </c>
      <c r="N376">
        <f t="shared" si="43"/>
        <v>82.076561445310972</v>
      </c>
      <c r="O376">
        <f t="shared" si="44"/>
        <v>310</v>
      </c>
      <c r="P376" t="e">
        <f t="shared" si="45"/>
        <v>#N/A</v>
      </c>
      <c r="Q376" t="e">
        <f t="shared" si="46"/>
        <v>#N/A</v>
      </c>
      <c r="U376">
        <f>C376/Navio!$J$4</f>
        <v>15.175489303334906</v>
      </c>
    </row>
    <row r="377" spans="1:21" x14ac:dyDescent="0.3">
      <c r="A377">
        <v>375</v>
      </c>
      <c r="B377" s="47">
        <v>582.95194584764442</v>
      </c>
      <c r="C377" s="46">
        <v>287.71314689724431</v>
      </c>
      <c r="D377" s="1">
        <v>14</v>
      </c>
      <c r="E377" s="1">
        <v>17</v>
      </c>
      <c r="F377" s="1">
        <v>12</v>
      </c>
      <c r="G377" s="1">
        <v>7</v>
      </c>
      <c r="H377" s="1" t="s">
        <v>50</v>
      </c>
      <c r="I377" s="1" t="s">
        <v>50</v>
      </c>
      <c r="J377" s="1" t="s">
        <v>50</v>
      </c>
      <c r="K377" s="1" t="s">
        <v>50</v>
      </c>
      <c r="L377">
        <f t="shared" si="42"/>
        <v>96.197414256198073</v>
      </c>
      <c r="M377">
        <f t="shared" si="41"/>
        <v>304.39567777634272</v>
      </c>
      <c r="N377">
        <f t="shared" si="43"/>
        <v>82.076561445310972</v>
      </c>
      <c r="O377">
        <f t="shared" si="44"/>
        <v>310</v>
      </c>
      <c r="P377" t="e">
        <f t="shared" si="45"/>
        <v>#N/A</v>
      </c>
      <c r="Q377" t="e">
        <f t="shared" si="46"/>
        <v>#N/A</v>
      </c>
      <c r="U377">
        <f>C377/Navio!$J$4</f>
        <v>15.535280532490972</v>
      </c>
    </row>
    <row r="378" spans="1:21" x14ac:dyDescent="0.3">
      <c r="A378">
        <v>376</v>
      </c>
      <c r="B378" s="47">
        <v>450.16227562808893</v>
      </c>
      <c r="C378" s="46">
        <v>277.50143245700042</v>
      </c>
      <c r="D378" s="1">
        <v>12</v>
      </c>
      <c r="E378" s="1">
        <v>16</v>
      </c>
      <c r="F378" s="1">
        <v>15</v>
      </c>
      <c r="G378" s="1">
        <v>7</v>
      </c>
      <c r="H378" s="1" t="s">
        <v>50</v>
      </c>
      <c r="I378" s="1" t="s">
        <v>50</v>
      </c>
      <c r="J378" s="1" t="s">
        <v>50</v>
      </c>
      <c r="K378" s="1" t="s">
        <v>50</v>
      </c>
      <c r="L378">
        <f t="shared" si="42"/>
        <v>82.076561445310972</v>
      </c>
      <c r="M378">
        <f t="shared" si="41"/>
        <v>172.96798541727486</v>
      </c>
      <c r="N378">
        <f t="shared" si="43"/>
        <v>210.14742667389368</v>
      </c>
      <c r="O378">
        <f t="shared" si="44"/>
        <v>310</v>
      </c>
      <c r="P378" t="e">
        <f t="shared" si="45"/>
        <v>#N/A</v>
      </c>
      <c r="Q378" t="e">
        <f t="shared" si="46"/>
        <v>#N/A</v>
      </c>
      <c r="U378">
        <f>C378/Navio!$J$4</f>
        <v>14.983891587433359</v>
      </c>
    </row>
    <row r="379" spans="1:21" x14ac:dyDescent="0.3">
      <c r="A379">
        <v>377</v>
      </c>
      <c r="B379" s="47">
        <v>696.90195826534</v>
      </c>
      <c r="C379" s="46">
        <v>281.0543042094032</v>
      </c>
      <c r="D379" s="1">
        <v>17</v>
      </c>
      <c r="E379" s="1">
        <v>15</v>
      </c>
      <c r="F379" s="1">
        <v>12</v>
      </c>
      <c r="G379" s="1">
        <v>7</v>
      </c>
      <c r="H379" s="1" t="s">
        <v>50</v>
      </c>
      <c r="I379" s="1" t="s">
        <v>50</v>
      </c>
      <c r="J379" s="1" t="s">
        <v>50</v>
      </c>
      <c r="K379" s="1" t="s">
        <v>50</v>
      </c>
      <c r="L379">
        <f t="shared" si="42"/>
        <v>304.39567777634272</v>
      </c>
      <c r="M379">
        <f t="shared" si="41"/>
        <v>210.14742667389368</v>
      </c>
      <c r="N379">
        <f t="shared" si="43"/>
        <v>82.076561445310972</v>
      </c>
      <c r="O379">
        <f t="shared" si="44"/>
        <v>310</v>
      </c>
      <c r="P379" t="e">
        <f t="shared" si="45"/>
        <v>#N/A</v>
      </c>
      <c r="Q379" t="e">
        <f t="shared" si="46"/>
        <v>#N/A</v>
      </c>
      <c r="U379">
        <f>C379/Navio!$J$4</f>
        <v>15.175731480621321</v>
      </c>
    </row>
    <row r="380" spans="1:21" x14ac:dyDescent="0.3">
      <c r="A380">
        <v>378</v>
      </c>
      <c r="B380" s="47">
        <v>544.41052673053798</v>
      </c>
      <c r="C380" s="46">
        <v>284.97846766241241</v>
      </c>
      <c r="D380" s="1">
        <v>17</v>
      </c>
      <c r="E380" s="1">
        <v>16</v>
      </c>
      <c r="F380" s="1">
        <v>12</v>
      </c>
      <c r="G380" s="1">
        <v>7</v>
      </c>
      <c r="H380" s="1" t="s">
        <v>50</v>
      </c>
      <c r="I380" s="1" t="s">
        <v>50</v>
      </c>
      <c r="J380" s="1" t="s">
        <v>50</v>
      </c>
      <c r="K380" s="1" t="s">
        <v>50</v>
      </c>
      <c r="L380">
        <f t="shared" si="42"/>
        <v>304.39567777634272</v>
      </c>
      <c r="M380">
        <f t="shared" si="41"/>
        <v>172.96798541727486</v>
      </c>
      <c r="N380">
        <f t="shared" si="43"/>
        <v>82.076561445310972</v>
      </c>
      <c r="O380">
        <f t="shared" si="44"/>
        <v>310</v>
      </c>
      <c r="P380" t="e">
        <f t="shared" si="45"/>
        <v>#N/A</v>
      </c>
      <c r="Q380" t="e">
        <f t="shared" si="46"/>
        <v>#N/A</v>
      </c>
      <c r="U380">
        <f>C380/Navio!$J$4</f>
        <v>15.387619539110423</v>
      </c>
    </row>
    <row r="381" spans="1:21" x14ac:dyDescent="0.3">
      <c r="A381">
        <v>379</v>
      </c>
      <c r="B381" s="47">
        <v>646.9093263729535</v>
      </c>
      <c r="C381" s="46">
        <v>275.84768969219567</v>
      </c>
      <c r="D381" s="1">
        <v>13</v>
      </c>
      <c r="E381" s="1">
        <v>15</v>
      </c>
      <c r="F381" s="1">
        <v>14</v>
      </c>
      <c r="G381" s="1">
        <v>7</v>
      </c>
      <c r="H381" s="1" t="s">
        <v>50</v>
      </c>
      <c r="I381" s="1" t="s">
        <v>50</v>
      </c>
      <c r="J381" s="1" t="s">
        <v>50</v>
      </c>
      <c r="K381" s="1" t="s">
        <v>50</v>
      </c>
      <c r="L381">
        <f t="shared" si="42"/>
        <v>185.56448544286178</v>
      </c>
      <c r="M381">
        <f t="shared" si="41"/>
        <v>210.14742667389368</v>
      </c>
      <c r="N381">
        <f t="shared" si="43"/>
        <v>96.197414256198073</v>
      </c>
      <c r="O381">
        <f t="shared" si="44"/>
        <v>310</v>
      </c>
      <c r="P381" t="e">
        <f t="shared" si="45"/>
        <v>#N/A</v>
      </c>
      <c r="Q381" t="e">
        <f t="shared" si="46"/>
        <v>#N/A</v>
      </c>
      <c r="U381">
        <f>C381/Navio!$J$4</f>
        <v>14.894596544586413</v>
      </c>
    </row>
    <row r="382" spans="1:21" x14ac:dyDescent="0.3">
      <c r="A382">
        <v>380</v>
      </c>
      <c r="B382" s="47">
        <v>494.41789483815148</v>
      </c>
      <c r="C382" s="46">
        <v>284.80132704500306</v>
      </c>
      <c r="D382" s="1">
        <v>13</v>
      </c>
      <c r="E382" s="1">
        <v>16</v>
      </c>
      <c r="F382" s="1">
        <v>14</v>
      </c>
      <c r="G382" s="1">
        <v>7</v>
      </c>
      <c r="H382" s="1" t="s">
        <v>50</v>
      </c>
      <c r="I382" s="1" t="s">
        <v>50</v>
      </c>
      <c r="J382" s="1" t="s">
        <v>50</v>
      </c>
      <c r="K382" s="1" t="s">
        <v>50</v>
      </c>
      <c r="L382">
        <f t="shared" si="42"/>
        <v>185.56448544286178</v>
      </c>
      <c r="M382">
        <f t="shared" si="41"/>
        <v>172.96798541727486</v>
      </c>
      <c r="N382">
        <f t="shared" si="43"/>
        <v>96.197414256198073</v>
      </c>
      <c r="O382">
        <f t="shared" si="44"/>
        <v>310</v>
      </c>
      <c r="P382" t="e">
        <f t="shared" si="45"/>
        <v>#N/A</v>
      </c>
      <c r="Q382" t="e">
        <f t="shared" si="46"/>
        <v>#N/A</v>
      </c>
      <c r="U382">
        <f>C382/Navio!$J$4</f>
        <v>15.378054702693213</v>
      </c>
    </row>
    <row r="383" spans="1:21" x14ac:dyDescent="0.3">
      <c r="A383">
        <v>381</v>
      </c>
      <c r="B383" s="47">
        <v>741.1575774754026</v>
      </c>
      <c r="C383" s="46">
        <v>287.36037857749091</v>
      </c>
      <c r="D383" s="1">
        <v>13</v>
      </c>
      <c r="E383" s="1">
        <v>17</v>
      </c>
      <c r="F383" s="1">
        <v>14</v>
      </c>
      <c r="G383" s="1">
        <v>7</v>
      </c>
      <c r="H383" s="1" t="s">
        <v>50</v>
      </c>
      <c r="I383" s="1" t="s">
        <v>50</v>
      </c>
      <c r="J383" s="1" t="s">
        <v>50</v>
      </c>
      <c r="K383" s="1" t="s">
        <v>50</v>
      </c>
      <c r="L383">
        <f t="shared" si="42"/>
        <v>185.56448544286178</v>
      </c>
      <c r="M383">
        <f t="shared" si="41"/>
        <v>304.39567777634272</v>
      </c>
      <c r="N383">
        <f t="shared" si="43"/>
        <v>96.197414256198073</v>
      </c>
      <c r="O383">
        <f t="shared" si="44"/>
        <v>310</v>
      </c>
      <c r="P383" t="e">
        <f t="shared" si="45"/>
        <v>#N/A</v>
      </c>
      <c r="Q383" t="e">
        <f t="shared" si="46"/>
        <v>#N/A</v>
      </c>
      <c r="U383">
        <f>C383/Navio!$J$4</f>
        <v>15.516232550605384</v>
      </c>
    </row>
    <row r="384" spans="1:21" x14ac:dyDescent="0.3">
      <c r="A384">
        <v>382</v>
      </c>
      <c r="B384" s="47">
        <v>608.36790725584706</v>
      </c>
      <c r="C384" s="46">
        <v>280.66260180274719</v>
      </c>
      <c r="D384" s="1">
        <v>13</v>
      </c>
      <c r="E384" s="1">
        <v>16</v>
      </c>
      <c r="F384" s="1">
        <v>15</v>
      </c>
      <c r="G384" s="1">
        <v>7</v>
      </c>
      <c r="H384" s="1" t="s">
        <v>50</v>
      </c>
      <c r="I384" s="1" t="s">
        <v>50</v>
      </c>
      <c r="J384" s="1" t="s">
        <v>50</v>
      </c>
      <c r="K384" s="1" t="s">
        <v>50</v>
      </c>
      <c r="L384">
        <f t="shared" si="42"/>
        <v>185.56448544286178</v>
      </c>
      <c r="M384">
        <f t="shared" si="41"/>
        <v>172.96798541727486</v>
      </c>
      <c r="N384">
        <f t="shared" si="43"/>
        <v>210.14742667389368</v>
      </c>
      <c r="O384">
        <f t="shared" si="44"/>
        <v>310</v>
      </c>
      <c r="P384" t="e">
        <f t="shared" si="45"/>
        <v>#N/A</v>
      </c>
      <c r="Q384" t="e">
        <f t="shared" si="46"/>
        <v>#N/A</v>
      </c>
      <c r="U384">
        <f>C384/Navio!$J$4</f>
        <v>15.154581224408572</v>
      </c>
    </row>
    <row r="385" spans="1:21" x14ac:dyDescent="0.3">
      <c r="A385">
        <v>383</v>
      </c>
      <c r="B385" s="47">
        <v>855.10758989309818</v>
      </c>
      <c r="C385" s="46">
        <v>281.385025840553</v>
      </c>
      <c r="D385" s="1">
        <v>13</v>
      </c>
      <c r="E385" s="1">
        <v>17</v>
      </c>
      <c r="F385" s="1">
        <v>15</v>
      </c>
      <c r="G385" s="1">
        <v>7</v>
      </c>
      <c r="H385" s="1" t="s">
        <v>50</v>
      </c>
      <c r="I385" s="1" t="s">
        <v>50</v>
      </c>
      <c r="J385" s="1" t="s">
        <v>50</v>
      </c>
      <c r="K385" s="1" t="s">
        <v>50</v>
      </c>
      <c r="L385">
        <f t="shared" si="42"/>
        <v>185.56448544286178</v>
      </c>
      <c r="M385">
        <f t="shared" si="41"/>
        <v>304.39567777634272</v>
      </c>
      <c r="N385">
        <f t="shared" si="43"/>
        <v>210.14742667389368</v>
      </c>
      <c r="O385">
        <f t="shared" si="44"/>
        <v>310</v>
      </c>
      <c r="P385" t="e">
        <f t="shared" si="45"/>
        <v>#N/A</v>
      </c>
      <c r="Q385" t="e">
        <f t="shared" si="46"/>
        <v>#N/A</v>
      </c>
      <c r="U385">
        <f>C385/Navio!$J$4</f>
        <v>15.193589035527946</v>
      </c>
    </row>
    <row r="386" spans="1:21" x14ac:dyDescent="0.3">
      <c r="A386">
        <v>384</v>
      </c>
      <c r="B386" s="47">
        <v>702.61615835829616</v>
      </c>
      <c r="C386" s="46">
        <v>285.31125074283335</v>
      </c>
      <c r="D386" s="1">
        <v>13</v>
      </c>
      <c r="E386" s="1">
        <v>17</v>
      </c>
      <c r="F386" s="1">
        <v>16</v>
      </c>
      <c r="G386" s="1">
        <v>7</v>
      </c>
      <c r="H386" s="1" t="s">
        <v>50</v>
      </c>
      <c r="I386" s="1" t="s">
        <v>50</v>
      </c>
      <c r="J386" s="1" t="s">
        <v>50</v>
      </c>
      <c r="K386" s="1" t="s">
        <v>50</v>
      </c>
      <c r="L386">
        <f t="shared" si="42"/>
        <v>185.56448544286178</v>
      </c>
      <c r="M386">
        <f t="shared" si="41"/>
        <v>304.39567777634272</v>
      </c>
      <c r="N386">
        <f t="shared" si="43"/>
        <v>172.96798541727486</v>
      </c>
      <c r="O386">
        <f t="shared" si="44"/>
        <v>310</v>
      </c>
      <c r="P386" t="e">
        <f t="shared" si="45"/>
        <v>#N/A</v>
      </c>
      <c r="Q386" t="e">
        <f t="shared" si="46"/>
        <v>#N/A</v>
      </c>
      <c r="U386">
        <f>C386/Navio!$J$4</f>
        <v>15.405588403469103</v>
      </c>
    </row>
    <row r="387" spans="1:21" x14ac:dyDescent="0.3">
      <c r="A387">
        <v>385</v>
      </c>
      <c r="B387" s="47">
        <v>519.00083606918338</v>
      </c>
      <c r="C387" s="46">
        <v>281.04512684437066</v>
      </c>
      <c r="D387" s="1">
        <v>14</v>
      </c>
      <c r="E387" s="1">
        <v>16</v>
      </c>
      <c r="F387" s="1">
        <v>15</v>
      </c>
      <c r="G387" s="1">
        <v>7</v>
      </c>
      <c r="H387" s="1" t="s">
        <v>50</v>
      </c>
      <c r="I387" s="1" t="s">
        <v>50</v>
      </c>
      <c r="J387" s="1" t="s">
        <v>50</v>
      </c>
      <c r="K387" s="1" t="s">
        <v>50</v>
      </c>
      <c r="L387">
        <f t="shared" si="42"/>
        <v>96.197414256198073</v>
      </c>
      <c r="M387">
        <f t="shared" ref="M387:M450" si="47">VLOOKUP(E387,$Y$2:$Z$80,2)</f>
        <v>172.96798541727486</v>
      </c>
      <c r="N387">
        <f t="shared" si="43"/>
        <v>210.14742667389368</v>
      </c>
      <c r="O387">
        <f t="shared" si="44"/>
        <v>310</v>
      </c>
      <c r="P387" t="e">
        <f t="shared" si="45"/>
        <v>#N/A</v>
      </c>
      <c r="Q387" t="e">
        <f t="shared" si="46"/>
        <v>#N/A</v>
      </c>
      <c r="U387">
        <f>C387/Navio!$J$4</f>
        <v>15.175235942124498</v>
      </c>
    </row>
    <row r="388" spans="1:21" x14ac:dyDescent="0.3">
      <c r="A388">
        <v>386</v>
      </c>
      <c r="B388" s="47">
        <v>765.7405187064345</v>
      </c>
      <c r="C388" s="46">
        <v>287.05787188757336</v>
      </c>
      <c r="D388" s="1">
        <v>17</v>
      </c>
      <c r="E388" s="1">
        <v>15</v>
      </c>
      <c r="F388" s="1">
        <v>14</v>
      </c>
      <c r="G388" s="1">
        <v>7</v>
      </c>
      <c r="H388" s="1" t="s">
        <v>50</v>
      </c>
      <c r="I388" s="1" t="s">
        <v>50</v>
      </c>
      <c r="J388" s="1" t="s">
        <v>50</v>
      </c>
      <c r="K388" s="1" t="s">
        <v>50</v>
      </c>
      <c r="L388">
        <f t="shared" si="42"/>
        <v>304.39567777634272</v>
      </c>
      <c r="M388">
        <f t="shared" si="47"/>
        <v>210.14742667389368</v>
      </c>
      <c r="N388">
        <f t="shared" si="43"/>
        <v>96.197414256198073</v>
      </c>
      <c r="O388">
        <f t="shared" si="44"/>
        <v>310</v>
      </c>
      <c r="P388" t="e">
        <f t="shared" si="45"/>
        <v>#N/A</v>
      </c>
      <c r="Q388" t="e">
        <f t="shared" si="46"/>
        <v>#N/A</v>
      </c>
      <c r="U388">
        <f>C388/Navio!$J$4</f>
        <v>15.499898481962692</v>
      </c>
    </row>
    <row r="389" spans="1:21" x14ac:dyDescent="0.3">
      <c r="A389">
        <v>387</v>
      </c>
      <c r="B389" s="47">
        <v>613.24908717163237</v>
      </c>
      <c r="C389" s="46">
        <v>289.11250065910531</v>
      </c>
      <c r="D389" s="1">
        <v>17</v>
      </c>
      <c r="E389" s="1">
        <v>16</v>
      </c>
      <c r="F389" s="1">
        <v>14</v>
      </c>
      <c r="G389" s="1">
        <v>7</v>
      </c>
      <c r="H389" s="1" t="s">
        <v>50</v>
      </c>
      <c r="I389" s="1" t="s">
        <v>50</v>
      </c>
      <c r="J389" s="1" t="s">
        <v>50</v>
      </c>
      <c r="K389" s="1" t="s">
        <v>50</v>
      </c>
      <c r="L389">
        <f t="shared" si="42"/>
        <v>304.39567777634272</v>
      </c>
      <c r="M389">
        <f t="shared" si="47"/>
        <v>172.96798541727486</v>
      </c>
      <c r="N389">
        <f t="shared" si="43"/>
        <v>96.197414256198073</v>
      </c>
      <c r="O389">
        <f t="shared" si="44"/>
        <v>310</v>
      </c>
      <c r="P389" t="e">
        <f t="shared" si="45"/>
        <v>#N/A</v>
      </c>
      <c r="Q389" t="e">
        <f t="shared" si="46"/>
        <v>#N/A</v>
      </c>
      <c r="U389">
        <f>C389/Navio!$J$4</f>
        <v>15.610839656184654</v>
      </c>
    </row>
    <row r="390" spans="1:21" x14ac:dyDescent="0.3">
      <c r="A390">
        <v>388</v>
      </c>
      <c r="B390" s="47">
        <v>727.19909958932806</v>
      </c>
      <c r="C390" s="46">
        <v>284.97377541684943</v>
      </c>
      <c r="D390" s="1">
        <v>17</v>
      </c>
      <c r="E390" s="1">
        <v>16</v>
      </c>
      <c r="F390" s="1">
        <v>15</v>
      </c>
      <c r="G390" s="1">
        <v>7</v>
      </c>
      <c r="H390" s="1" t="s">
        <v>50</v>
      </c>
      <c r="I390" s="1" t="s">
        <v>50</v>
      </c>
      <c r="J390" s="1" t="s">
        <v>50</v>
      </c>
      <c r="K390" s="1" t="s">
        <v>50</v>
      </c>
      <c r="L390">
        <f t="shared" si="42"/>
        <v>304.39567777634272</v>
      </c>
      <c r="M390">
        <f t="shared" si="47"/>
        <v>172.96798541727486</v>
      </c>
      <c r="N390">
        <f t="shared" si="43"/>
        <v>210.14742667389368</v>
      </c>
      <c r="O390">
        <f t="shared" si="44"/>
        <v>310</v>
      </c>
      <c r="P390" t="e">
        <f t="shared" si="45"/>
        <v>#N/A</v>
      </c>
      <c r="Q390" t="e">
        <f t="shared" si="46"/>
        <v>#N/A</v>
      </c>
      <c r="U390">
        <f>C390/Navio!$J$4</f>
        <v>15.387366177900015</v>
      </c>
    </row>
    <row r="391" spans="1:21" x14ac:dyDescent="0.3">
      <c r="A391">
        <v>389</v>
      </c>
      <c r="B391" s="47">
        <v>879.35997846357986</v>
      </c>
      <c r="C391" s="46">
        <v>232.47658212827088</v>
      </c>
      <c r="D391" s="1">
        <v>9</v>
      </c>
      <c r="E391" s="1">
        <v>10</v>
      </c>
      <c r="F391" s="1">
        <v>11</v>
      </c>
      <c r="G391" s="1">
        <v>8</v>
      </c>
      <c r="H391" s="1" t="s">
        <v>50</v>
      </c>
      <c r="I391" s="1" t="s">
        <v>50</v>
      </c>
      <c r="J391" s="1" t="s">
        <v>50</v>
      </c>
      <c r="K391" s="1" t="s">
        <v>50</v>
      </c>
      <c r="L391">
        <f t="shared" si="42"/>
        <v>310</v>
      </c>
      <c r="M391">
        <f t="shared" si="47"/>
        <v>290.36739528320618</v>
      </c>
      <c r="N391">
        <f t="shared" si="43"/>
        <v>278.99258318037374</v>
      </c>
      <c r="O391">
        <f t="shared" si="44"/>
        <v>310</v>
      </c>
      <c r="P391" t="e">
        <f t="shared" si="45"/>
        <v>#N/A</v>
      </c>
      <c r="Q391" t="e">
        <f t="shared" si="46"/>
        <v>#N/A</v>
      </c>
      <c r="U391">
        <f>C391/Navio!$J$4</f>
        <v>12.552742061130877</v>
      </c>
    </row>
    <row r="392" spans="1:21" x14ac:dyDescent="0.3">
      <c r="A392">
        <v>390</v>
      </c>
      <c r="B392" s="47">
        <v>627.72624909830984</v>
      </c>
      <c r="C392" s="46">
        <v>247.75681748843664</v>
      </c>
      <c r="D392" s="1">
        <v>9</v>
      </c>
      <c r="E392" s="1">
        <v>10</v>
      </c>
      <c r="F392" s="1">
        <v>12</v>
      </c>
      <c r="G392" s="1">
        <v>8</v>
      </c>
      <c r="H392" s="1" t="s">
        <v>50</v>
      </c>
      <c r="I392" s="1" t="s">
        <v>50</v>
      </c>
      <c r="J392" s="1" t="s">
        <v>50</v>
      </c>
      <c r="K392" s="1" t="s">
        <v>50</v>
      </c>
      <c r="L392">
        <f t="shared" si="42"/>
        <v>310</v>
      </c>
      <c r="M392">
        <f t="shared" si="47"/>
        <v>290.36739528320618</v>
      </c>
      <c r="N392">
        <f t="shared" si="43"/>
        <v>82.076561445310972</v>
      </c>
      <c r="O392">
        <f t="shared" si="44"/>
        <v>310</v>
      </c>
      <c r="P392" t="e">
        <f t="shared" si="45"/>
        <v>#N/A</v>
      </c>
      <c r="Q392" t="e">
        <f t="shared" si="46"/>
        <v>#N/A</v>
      </c>
      <c r="U392">
        <f>C392/Navio!$J$4</f>
        <v>13.377809478044723</v>
      </c>
    </row>
    <row r="393" spans="1:21" x14ac:dyDescent="0.3">
      <c r="A393">
        <v>391</v>
      </c>
      <c r="B393" s="47">
        <v>785.9318807260679</v>
      </c>
      <c r="C393" s="46">
        <v>251.28329587469972</v>
      </c>
      <c r="D393" s="1">
        <v>9</v>
      </c>
      <c r="E393" s="1">
        <v>10</v>
      </c>
      <c r="F393" s="1">
        <v>13</v>
      </c>
      <c r="G393" s="1">
        <v>8</v>
      </c>
      <c r="H393" s="1" t="s">
        <v>50</v>
      </c>
      <c r="I393" s="1" t="s">
        <v>50</v>
      </c>
      <c r="J393" s="1" t="s">
        <v>50</v>
      </c>
      <c r="K393" s="1" t="s">
        <v>50</v>
      </c>
      <c r="L393">
        <f t="shared" si="42"/>
        <v>310</v>
      </c>
      <c r="M393">
        <f t="shared" si="47"/>
        <v>290.36739528320618</v>
      </c>
      <c r="N393">
        <f t="shared" si="43"/>
        <v>185.56448544286178</v>
      </c>
      <c r="O393">
        <f t="shared" si="44"/>
        <v>310</v>
      </c>
      <c r="P393" t="e">
        <f t="shared" si="45"/>
        <v>#N/A</v>
      </c>
      <c r="Q393" t="e">
        <f t="shared" si="46"/>
        <v>#N/A</v>
      </c>
      <c r="U393">
        <f>C393/Navio!$J$4</f>
        <v>13.56822424224015</v>
      </c>
    </row>
    <row r="394" spans="1:21" x14ac:dyDescent="0.3">
      <c r="A394">
        <v>392</v>
      </c>
      <c r="B394" s="47">
        <v>696.56480953940422</v>
      </c>
      <c r="C394" s="46">
        <v>271.79714586697327</v>
      </c>
      <c r="D394" s="1">
        <v>9</v>
      </c>
      <c r="E394" s="1">
        <v>10</v>
      </c>
      <c r="F394" s="1">
        <v>14</v>
      </c>
      <c r="G394" s="1">
        <v>8</v>
      </c>
      <c r="H394" s="1" t="s">
        <v>50</v>
      </c>
      <c r="I394" s="1" t="s">
        <v>50</v>
      </c>
      <c r="J394" s="1" t="s">
        <v>50</v>
      </c>
      <c r="K394" s="1" t="s">
        <v>50</v>
      </c>
      <c r="L394">
        <f t="shared" si="42"/>
        <v>310</v>
      </c>
      <c r="M394">
        <f t="shared" si="47"/>
        <v>290.36739528320618</v>
      </c>
      <c r="N394">
        <f t="shared" si="43"/>
        <v>96.197414256198073</v>
      </c>
      <c r="O394">
        <f t="shared" si="44"/>
        <v>310</v>
      </c>
      <c r="P394" t="e">
        <f t="shared" si="45"/>
        <v>#N/A</v>
      </c>
      <c r="Q394" t="e">
        <f t="shared" si="46"/>
        <v>#N/A</v>
      </c>
      <c r="U394">
        <f>C394/Navio!$J$4</f>
        <v>14.67588448602187</v>
      </c>
    </row>
    <row r="395" spans="1:21" x14ac:dyDescent="0.3">
      <c r="A395">
        <v>393</v>
      </c>
      <c r="B395" s="47">
        <v>810.51482195709991</v>
      </c>
      <c r="C395" s="46">
        <v>272.97551829810504</v>
      </c>
      <c r="D395" s="1">
        <v>9</v>
      </c>
      <c r="E395" s="1">
        <v>10</v>
      </c>
      <c r="F395" s="1">
        <v>15</v>
      </c>
      <c r="G395" s="1">
        <v>8</v>
      </c>
      <c r="H395" s="1" t="s">
        <v>50</v>
      </c>
      <c r="I395" s="1" t="s">
        <v>50</v>
      </c>
      <c r="J395" s="1" t="s">
        <v>50</v>
      </c>
      <c r="K395" s="1" t="s">
        <v>50</v>
      </c>
      <c r="L395">
        <f t="shared" si="42"/>
        <v>310</v>
      </c>
      <c r="M395">
        <f t="shared" si="47"/>
        <v>290.36739528320618</v>
      </c>
      <c r="N395">
        <f t="shared" si="43"/>
        <v>210.14742667389368</v>
      </c>
      <c r="O395">
        <f t="shared" si="44"/>
        <v>310</v>
      </c>
      <c r="P395" t="e">
        <f t="shared" si="45"/>
        <v>#N/A</v>
      </c>
      <c r="Q395" t="e">
        <f t="shared" si="46"/>
        <v>#N/A</v>
      </c>
      <c r="U395">
        <f>C395/Navio!$J$4</f>
        <v>14.739511562110692</v>
      </c>
    </row>
    <row r="396" spans="1:21" x14ac:dyDescent="0.3">
      <c r="A396">
        <v>394</v>
      </c>
      <c r="B396" s="47">
        <v>658.02339042229778</v>
      </c>
      <c r="C396" s="46">
        <v>284.25754796941317</v>
      </c>
      <c r="D396" s="1">
        <v>9</v>
      </c>
      <c r="E396" s="1">
        <v>10</v>
      </c>
      <c r="F396" s="1">
        <v>16</v>
      </c>
      <c r="G396" s="1">
        <v>8</v>
      </c>
      <c r="H396" s="1" t="s">
        <v>50</v>
      </c>
      <c r="I396" s="1" t="s">
        <v>50</v>
      </c>
      <c r="J396" s="1" t="s">
        <v>50</v>
      </c>
      <c r="K396" s="1" t="s">
        <v>50</v>
      </c>
      <c r="L396">
        <f t="shared" si="42"/>
        <v>310</v>
      </c>
      <c r="M396">
        <f t="shared" si="47"/>
        <v>290.36739528320618</v>
      </c>
      <c r="N396">
        <f t="shared" si="43"/>
        <v>172.96798541727486</v>
      </c>
      <c r="O396">
        <f t="shared" si="44"/>
        <v>310</v>
      </c>
      <c r="P396" t="e">
        <f t="shared" si="45"/>
        <v>#N/A</v>
      </c>
      <c r="Q396" t="e">
        <f t="shared" si="46"/>
        <v>#N/A</v>
      </c>
      <c r="U396">
        <f>C396/Navio!$J$4</f>
        <v>15.34869295618253</v>
      </c>
    </row>
    <row r="397" spans="1:21" x14ac:dyDescent="0.3">
      <c r="A397">
        <v>395</v>
      </c>
      <c r="B397" s="47">
        <v>616.35143699547734</v>
      </c>
      <c r="C397" s="46">
        <v>246.39001374306156</v>
      </c>
      <c r="D397" s="1">
        <v>9</v>
      </c>
      <c r="E397" s="1">
        <v>11</v>
      </c>
      <c r="F397" s="1">
        <v>12</v>
      </c>
      <c r="G397" s="1">
        <v>8</v>
      </c>
      <c r="H397" s="1" t="s">
        <v>50</v>
      </c>
      <c r="I397" s="1" t="s">
        <v>50</v>
      </c>
      <c r="J397" s="1" t="s">
        <v>50</v>
      </c>
      <c r="K397" s="1" t="s">
        <v>50</v>
      </c>
      <c r="L397">
        <f t="shared" ref="L397:L460" si="48">VLOOKUP(D397,$Y$2:$Z$80,2)</f>
        <v>310</v>
      </c>
      <c r="M397">
        <f t="shared" si="47"/>
        <v>278.99258318037374</v>
      </c>
      <c r="N397">
        <f t="shared" ref="N397:N460" si="49">VLOOKUP(F397,$Y$2:$Z$80,2)</f>
        <v>82.076561445310972</v>
      </c>
      <c r="O397">
        <f t="shared" ref="O397:O460" si="50">VLOOKUP(G397,$Y$2:$Z$80,2)</f>
        <v>310</v>
      </c>
      <c r="P397" t="e">
        <f t="shared" ref="P397:P460" si="51">VLOOKUP(H397,$Y$2:$Z$80,2)</f>
        <v>#N/A</v>
      </c>
      <c r="Q397" t="e">
        <f t="shared" ref="Q397:Q460" si="52">VLOOKUP(I397,$Y$2:$Z$80,2)</f>
        <v>#N/A</v>
      </c>
      <c r="U397">
        <f>C397/Navio!$J$4</f>
        <v>13.304007916154871</v>
      </c>
    </row>
    <row r="398" spans="1:21" x14ac:dyDescent="0.3">
      <c r="A398">
        <v>396</v>
      </c>
      <c r="B398" s="47">
        <v>774.55706862323552</v>
      </c>
      <c r="C398" s="46">
        <v>249.0836595499041</v>
      </c>
      <c r="D398" s="1">
        <v>9</v>
      </c>
      <c r="E398" s="1">
        <v>11</v>
      </c>
      <c r="F398" s="1">
        <v>13</v>
      </c>
      <c r="G398" s="1">
        <v>8</v>
      </c>
      <c r="H398" s="1" t="s">
        <v>50</v>
      </c>
      <c r="I398" s="1" t="s">
        <v>50</v>
      </c>
      <c r="J398" s="1" t="s">
        <v>50</v>
      </c>
      <c r="K398" s="1" t="s">
        <v>50</v>
      </c>
      <c r="L398">
        <f t="shared" si="48"/>
        <v>310</v>
      </c>
      <c r="M398">
        <f t="shared" si="47"/>
        <v>278.99258318037374</v>
      </c>
      <c r="N398">
        <f t="shared" si="49"/>
        <v>185.56448544286178</v>
      </c>
      <c r="O398">
        <f t="shared" si="50"/>
        <v>310</v>
      </c>
      <c r="P398" t="e">
        <f t="shared" si="51"/>
        <v>#N/A</v>
      </c>
      <c r="Q398" t="e">
        <f t="shared" si="52"/>
        <v>#N/A</v>
      </c>
      <c r="U398">
        <f>C398/Navio!$J$4</f>
        <v>13.449453279760073</v>
      </c>
    </row>
    <row r="399" spans="1:21" x14ac:dyDescent="0.3">
      <c r="A399">
        <v>397</v>
      </c>
      <c r="B399" s="47">
        <v>685.18999743657184</v>
      </c>
      <c r="C399" s="46">
        <v>269.89954536098691</v>
      </c>
      <c r="D399" s="1">
        <v>9</v>
      </c>
      <c r="E399" s="1">
        <v>11</v>
      </c>
      <c r="F399" s="1">
        <v>14</v>
      </c>
      <c r="G399" s="1">
        <v>8</v>
      </c>
      <c r="H399" s="1" t="s">
        <v>50</v>
      </c>
      <c r="I399" s="1" t="s">
        <v>50</v>
      </c>
      <c r="J399" s="1" t="s">
        <v>50</v>
      </c>
      <c r="K399" s="1" t="s">
        <v>50</v>
      </c>
      <c r="L399">
        <f t="shared" si="48"/>
        <v>310</v>
      </c>
      <c r="M399">
        <f t="shared" si="47"/>
        <v>278.99258318037374</v>
      </c>
      <c r="N399">
        <f t="shared" si="49"/>
        <v>96.197414256198073</v>
      </c>
      <c r="O399">
        <f t="shared" si="50"/>
        <v>310</v>
      </c>
      <c r="P399" t="e">
        <f t="shared" si="51"/>
        <v>#N/A</v>
      </c>
      <c r="Q399" t="e">
        <f t="shared" si="52"/>
        <v>#N/A</v>
      </c>
      <c r="U399">
        <f>C399/Navio!$J$4</f>
        <v>14.573422167156671</v>
      </c>
    </row>
    <row r="400" spans="1:21" x14ac:dyDescent="0.3">
      <c r="A400">
        <v>398</v>
      </c>
      <c r="B400" s="47">
        <v>799.14000985426742</v>
      </c>
      <c r="C400" s="46">
        <v>270.54648435283946</v>
      </c>
      <c r="D400" s="1">
        <v>9</v>
      </c>
      <c r="E400" s="1">
        <v>11</v>
      </c>
      <c r="F400" s="1">
        <v>15</v>
      </c>
      <c r="G400" s="1">
        <v>8</v>
      </c>
      <c r="H400" s="1" t="s">
        <v>50</v>
      </c>
      <c r="I400" s="1" t="s">
        <v>50</v>
      </c>
      <c r="J400" s="1" t="s">
        <v>50</v>
      </c>
      <c r="K400" s="1" t="s">
        <v>50</v>
      </c>
      <c r="L400">
        <f t="shared" si="48"/>
        <v>310</v>
      </c>
      <c r="M400">
        <f t="shared" si="47"/>
        <v>278.99258318037374</v>
      </c>
      <c r="N400">
        <f t="shared" si="49"/>
        <v>210.14742667389368</v>
      </c>
      <c r="O400">
        <f t="shared" si="50"/>
        <v>310</v>
      </c>
      <c r="P400" t="e">
        <f t="shared" si="51"/>
        <v>#N/A</v>
      </c>
      <c r="Q400" t="e">
        <f t="shared" si="52"/>
        <v>#N/A</v>
      </c>
      <c r="U400">
        <f>C400/Navio!$J$4</f>
        <v>14.608354108342612</v>
      </c>
    </row>
    <row r="401" spans="1:21" x14ac:dyDescent="0.3">
      <c r="A401">
        <v>399</v>
      </c>
      <c r="B401" s="47">
        <v>646.6485783194654</v>
      </c>
      <c r="C401" s="46">
        <v>281.90149815368829</v>
      </c>
      <c r="D401" s="1">
        <v>9</v>
      </c>
      <c r="E401" s="1">
        <v>11</v>
      </c>
      <c r="F401" s="1">
        <v>16</v>
      </c>
      <c r="G401" s="1">
        <v>8</v>
      </c>
      <c r="H401" s="1" t="s">
        <v>50</v>
      </c>
      <c r="I401" s="1" t="s">
        <v>50</v>
      </c>
      <c r="J401" s="1" t="s">
        <v>50</v>
      </c>
      <c r="K401" s="1" t="s">
        <v>50</v>
      </c>
      <c r="L401">
        <f t="shared" si="48"/>
        <v>310</v>
      </c>
      <c r="M401">
        <f t="shared" si="47"/>
        <v>278.99258318037374</v>
      </c>
      <c r="N401">
        <f t="shared" si="49"/>
        <v>172.96798541727486</v>
      </c>
      <c r="O401">
        <f t="shared" si="50"/>
        <v>310</v>
      </c>
      <c r="P401" t="e">
        <f t="shared" si="51"/>
        <v>#N/A</v>
      </c>
      <c r="Q401" t="e">
        <f t="shared" si="52"/>
        <v>#N/A</v>
      </c>
      <c r="U401">
        <f>C401/Navio!$J$4</f>
        <v>15.221476333548036</v>
      </c>
    </row>
    <row r="402" spans="1:21" x14ac:dyDescent="0.3">
      <c r="A402">
        <v>400</v>
      </c>
      <c r="B402" s="47">
        <v>893.38826095671652</v>
      </c>
      <c r="C402" s="46">
        <v>279.19560027204773</v>
      </c>
      <c r="D402" s="1">
        <v>9</v>
      </c>
      <c r="E402" s="1">
        <v>11</v>
      </c>
      <c r="F402" s="1">
        <v>17</v>
      </c>
      <c r="G402" s="1">
        <v>8</v>
      </c>
      <c r="H402" s="1" t="s">
        <v>50</v>
      </c>
      <c r="I402" s="1" t="s">
        <v>50</v>
      </c>
      <c r="J402" s="1" t="s">
        <v>50</v>
      </c>
      <c r="K402" s="1" t="s">
        <v>50</v>
      </c>
      <c r="L402">
        <f t="shared" si="48"/>
        <v>310</v>
      </c>
      <c r="M402">
        <f t="shared" si="47"/>
        <v>278.99258318037374</v>
      </c>
      <c r="N402">
        <f t="shared" si="49"/>
        <v>304.39567777634272</v>
      </c>
      <c r="O402">
        <f t="shared" si="50"/>
        <v>310</v>
      </c>
      <c r="P402" t="e">
        <f t="shared" si="51"/>
        <v>#N/A</v>
      </c>
      <c r="Q402" t="e">
        <f t="shared" si="52"/>
        <v>#N/A</v>
      </c>
      <c r="U402">
        <f>C402/Navio!$J$4</f>
        <v>15.075369410256927</v>
      </c>
    </row>
    <row r="403" spans="1:21" x14ac:dyDescent="0.3">
      <c r="A403">
        <v>401</v>
      </c>
      <c r="B403" s="47">
        <v>522.92333925796538</v>
      </c>
      <c r="C403" s="46">
        <v>254.18525173566587</v>
      </c>
      <c r="D403" s="1">
        <v>9</v>
      </c>
      <c r="E403" s="1">
        <v>13</v>
      </c>
      <c r="F403" s="1">
        <v>12</v>
      </c>
      <c r="G403" s="1">
        <v>8</v>
      </c>
      <c r="H403" s="1" t="s">
        <v>50</v>
      </c>
      <c r="I403" s="1" t="s">
        <v>50</v>
      </c>
      <c r="J403" s="1" t="s">
        <v>50</v>
      </c>
      <c r="K403" s="1" t="s">
        <v>50</v>
      </c>
      <c r="L403">
        <f t="shared" si="48"/>
        <v>310</v>
      </c>
      <c r="M403">
        <f t="shared" si="47"/>
        <v>185.56448544286178</v>
      </c>
      <c r="N403">
        <f t="shared" si="49"/>
        <v>82.076561445310972</v>
      </c>
      <c r="O403">
        <f t="shared" si="50"/>
        <v>310</v>
      </c>
      <c r="P403" t="e">
        <f t="shared" si="51"/>
        <v>#N/A</v>
      </c>
      <c r="Q403" t="e">
        <f t="shared" si="52"/>
        <v>#N/A</v>
      </c>
      <c r="U403">
        <f>C403/Navio!$J$4</f>
        <v>13.724917458657949</v>
      </c>
    </row>
    <row r="404" spans="1:21" x14ac:dyDescent="0.3">
      <c r="A404">
        <v>402</v>
      </c>
      <c r="B404" s="47">
        <v>433.5562680713017</v>
      </c>
      <c r="C404" s="46">
        <v>265.98702667468757</v>
      </c>
      <c r="D404" s="1">
        <v>9</v>
      </c>
      <c r="E404" s="1">
        <v>12</v>
      </c>
      <c r="F404" s="1">
        <v>14</v>
      </c>
      <c r="G404" s="1">
        <v>8</v>
      </c>
      <c r="H404" s="1" t="s">
        <v>50</v>
      </c>
      <c r="I404" s="1" t="s">
        <v>50</v>
      </c>
      <c r="J404" s="1" t="s">
        <v>50</v>
      </c>
      <c r="K404" s="1" t="s">
        <v>50</v>
      </c>
      <c r="L404">
        <f t="shared" si="48"/>
        <v>310</v>
      </c>
      <c r="M404">
        <f t="shared" si="47"/>
        <v>82.076561445310972</v>
      </c>
      <c r="N404">
        <f t="shared" si="49"/>
        <v>96.197414256198073</v>
      </c>
      <c r="O404">
        <f t="shared" si="50"/>
        <v>310</v>
      </c>
      <c r="P404" t="e">
        <f t="shared" si="51"/>
        <v>#N/A</v>
      </c>
      <c r="Q404" t="e">
        <f t="shared" si="52"/>
        <v>#N/A</v>
      </c>
      <c r="U404">
        <f>C404/Navio!$J$4</f>
        <v>14.362162876311748</v>
      </c>
    </row>
    <row r="405" spans="1:21" x14ac:dyDescent="0.3">
      <c r="A405">
        <v>403</v>
      </c>
      <c r="B405" s="47">
        <v>547.50628048899739</v>
      </c>
      <c r="C405" s="46">
        <v>269.4496028279404</v>
      </c>
      <c r="D405" s="1">
        <v>9</v>
      </c>
      <c r="E405" s="1">
        <v>15</v>
      </c>
      <c r="F405" s="1">
        <v>12</v>
      </c>
      <c r="G405" s="1">
        <v>8</v>
      </c>
      <c r="H405" s="1" t="s">
        <v>50</v>
      </c>
      <c r="I405" s="1" t="s">
        <v>50</v>
      </c>
      <c r="J405" s="1" t="s">
        <v>50</v>
      </c>
      <c r="K405" s="1" t="s">
        <v>50</v>
      </c>
      <c r="L405">
        <f t="shared" si="48"/>
        <v>310</v>
      </c>
      <c r="M405">
        <f t="shared" si="47"/>
        <v>210.14742667389368</v>
      </c>
      <c r="N405">
        <f t="shared" si="49"/>
        <v>82.076561445310972</v>
      </c>
      <c r="O405">
        <f t="shared" si="50"/>
        <v>310</v>
      </c>
      <c r="P405" t="e">
        <f t="shared" si="51"/>
        <v>#N/A</v>
      </c>
      <c r="Q405" t="e">
        <f t="shared" si="52"/>
        <v>#N/A</v>
      </c>
      <c r="U405">
        <f>C405/Navio!$J$4</f>
        <v>14.549127192979237</v>
      </c>
    </row>
    <row r="406" spans="1:21" x14ac:dyDescent="0.3">
      <c r="A406">
        <v>404</v>
      </c>
      <c r="B406" s="47">
        <v>395.01484895419526</v>
      </c>
      <c r="C406" s="46">
        <v>281.30943280910486</v>
      </c>
      <c r="D406" s="1">
        <v>9</v>
      </c>
      <c r="E406" s="1">
        <v>16</v>
      </c>
      <c r="F406" s="1">
        <v>12</v>
      </c>
      <c r="G406" s="1">
        <v>8</v>
      </c>
      <c r="H406" s="1" t="s">
        <v>50</v>
      </c>
      <c r="I406" s="1" t="s">
        <v>50</v>
      </c>
      <c r="J406" s="1" t="s">
        <v>50</v>
      </c>
      <c r="K406" s="1" t="s">
        <v>50</v>
      </c>
      <c r="L406">
        <f t="shared" si="48"/>
        <v>310</v>
      </c>
      <c r="M406">
        <f t="shared" si="47"/>
        <v>172.96798541727486</v>
      </c>
      <c r="N406">
        <f t="shared" si="49"/>
        <v>82.076561445310972</v>
      </c>
      <c r="O406">
        <f t="shared" si="50"/>
        <v>310</v>
      </c>
      <c r="P406" t="e">
        <f t="shared" si="51"/>
        <v>#N/A</v>
      </c>
      <c r="Q406" t="e">
        <f t="shared" si="52"/>
        <v>#N/A</v>
      </c>
      <c r="U406">
        <f>C406/Navio!$J$4</f>
        <v>15.189507334839211</v>
      </c>
    </row>
    <row r="407" spans="1:21" x14ac:dyDescent="0.3">
      <c r="A407">
        <v>405</v>
      </c>
      <c r="B407" s="47">
        <v>641.75453159144638</v>
      </c>
      <c r="C407" s="46">
        <v>280.39879842524914</v>
      </c>
      <c r="D407" s="1">
        <v>9</v>
      </c>
      <c r="E407" s="1">
        <v>17</v>
      </c>
      <c r="F407" s="1">
        <v>12</v>
      </c>
      <c r="G407" s="1">
        <v>8</v>
      </c>
      <c r="H407" s="1" t="s">
        <v>50</v>
      </c>
      <c r="I407" s="1" t="s">
        <v>50</v>
      </c>
      <c r="J407" s="1" t="s">
        <v>50</v>
      </c>
      <c r="K407" s="1" t="s">
        <v>50</v>
      </c>
      <c r="L407">
        <f t="shared" si="48"/>
        <v>310</v>
      </c>
      <c r="M407">
        <f t="shared" si="47"/>
        <v>304.39567777634272</v>
      </c>
      <c r="N407">
        <f t="shared" si="49"/>
        <v>82.076561445310972</v>
      </c>
      <c r="O407">
        <f t="shared" si="50"/>
        <v>310</v>
      </c>
      <c r="P407" t="e">
        <f t="shared" si="51"/>
        <v>#N/A</v>
      </c>
      <c r="Q407" t="e">
        <f t="shared" si="52"/>
        <v>#N/A</v>
      </c>
      <c r="U407">
        <f>C407/Navio!$J$4</f>
        <v>15.140336969257053</v>
      </c>
    </row>
    <row r="408" spans="1:21" x14ac:dyDescent="0.3">
      <c r="A408">
        <v>406</v>
      </c>
      <c r="B408" s="47">
        <v>591.76189969905988</v>
      </c>
      <c r="C408" s="46">
        <v>273.43852485058875</v>
      </c>
      <c r="D408" s="1">
        <v>9</v>
      </c>
      <c r="E408" s="1">
        <v>13</v>
      </c>
      <c r="F408" s="1">
        <v>14</v>
      </c>
      <c r="G408" s="1">
        <v>8</v>
      </c>
      <c r="H408" s="1" t="s">
        <v>50</v>
      </c>
      <c r="I408" s="1" t="s">
        <v>50</v>
      </c>
      <c r="J408" s="1" t="s">
        <v>50</v>
      </c>
      <c r="K408" s="1" t="s">
        <v>50</v>
      </c>
      <c r="L408">
        <f t="shared" si="48"/>
        <v>310</v>
      </c>
      <c r="M408">
        <f t="shared" si="47"/>
        <v>185.56448544286178</v>
      </c>
      <c r="N408">
        <f t="shared" si="49"/>
        <v>96.197414256198073</v>
      </c>
      <c r="O408">
        <f t="shared" si="50"/>
        <v>310</v>
      </c>
      <c r="P408" t="e">
        <f t="shared" si="51"/>
        <v>#N/A</v>
      </c>
      <c r="Q408" t="e">
        <f t="shared" si="52"/>
        <v>#N/A</v>
      </c>
      <c r="U408">
        <f>C408/Navio!$J$4</f>
        <v>14.764511937515104</v>
      </c>
    </row>
    <row r="409" spans="1:21" x14ac:dyDescent="0.3">
      <c r="A409">
        <v>407</v>
      </c>
      <c r="B409" s="47">
        <v>705.71191211675546</v>
      </c>
      <c r="C409" s="46">
        <v>271.18533908318619</v>
      </c>
      <c r="D409" s="1">
        <v>9</v>
      </c>
      <c r="E409" s="1">
        <v>13</v>
      </c>
      <c r="F409" s="1">
        <v>15</v>
      </c>
      <c r="G409" s="1">
        <v>8</v>
      </c>
      <c r="H409" s="1" t="s">
        <v>50</v>
      </c>
      <c r="I409" s="1" t="s">
        <v>50</v>
      </c>
      <c r="J409" s="1" t="s">
        <v>50</v>
      </c>
      <c r="K409" s="1" t="s">
        <v>50</v>
      </c>
      <c r="L409">
        <f t="shared" si="48"/>
        <v>310</v>
      </c>
      <c r="M409">
        <f t="shared" si="47"/>
        <v>185.56448544286178</v>
      </c>
      <c r="N409">
        <f t="shared" si="49"/>
        <v>210.14742667389368</v>
      </c>
      <c r="O409">
        <f t="shared" si="50"/>
        <v>310</v>
      </c>
      <c r="P409" t="e">
        <f t="shared" si="51"/>
        <v>#N/A</v>
      </c>
      <c r="Q409" t="e">
        <f t="shared" si="52"/>
        <v>#N/A</v>
      </c>
      <c r="U409">
        <f>C409/Navio!$J$4</f>
        <v>14.642849533951335</v>
      </c>
    </row>
    <row r="410" spans="1:21" x14ac:dyDescent="0.3">
      <c r="A410">
        <v>408</v>
      </c>
      <c r="B410" s="47">
        <v>553.22048058195344</v>
      </c>
      <c r="C410" s="46">
        <v>281.9811507743363</v>
      </c>
      <c r="D410" s="1">
        <v>9</v>
      </c>
      <c r="E410" s="1">
        <v>13</v>
      </c>
      <c r="F410" s="1">
        <v>16</v>
      </c>
      <c r="G410" s="1">
        <v>8</v>
      </c>
      <c r="H410" s="1" t="s">
        <v>50</v>
      </c>
      <c r="I410" s="1" t="s">
        <v>50</v>
      </c>
      <c r="J410" s="1" t="s">
        <v>50</v>
      </c>
      <c r="K410" s="1" t="s">
        <v>50</v>
      </c>
      <c r="L410">
        <f t="shared" si="48"/>
        <v>310</v>
      </c>
      <c r="M410">
        <f t="shared" si="47"/>
        <v>185.56448544286178</v>
      </c>
      <c r="N410">
        <f t="shared" si="49"/>
        <v>172.96798541727486</v>
      </c>
      <c r="O410">
        <f t="shared" si="50"/>
        <v>310</v>
      </c>
      <c r="P410" t="e">
        <f t="shared" si="51"/>
        <v>#N/A</v>
      </c>
      <c r="Q410" t="e">
        <f t="shared" si="52"/>
        <v>#N/A</v>
      </c>
      <c r="U410">
        <f>C410/Navio!$J$4</f>
        <v>15.225777234706914</v>
      </c>
    </row>
    <row r="411" spans="1:21" x14ac:dyDescent="0.3">
      <c r="A411">
        <v>409</v>
      </c>
      <c r="B411" s="47">
        <v>799.96016321920456</v>
      </c>
      <c r="C411" s="46">
        <v>279.15216760461527</v>
      </c>
      <c r="D411" s="1">
        <v>9</v>
      </c>
      <c r="E411" s="1">
        <v>13</v>
      </c>
      <c r="F411" s="1">
        <v>17</v>
      </c>
      <c r="G411" s="1">
        <v>8</v>
      </c>
      <c r="H411" s="1" t="s">
        <v>50</v>
      </c>
      <c r="I411" s="1" t="s">
        <v>50</v>
      </c>
      <c r="J411" s="1" t="s">
        <v>50</v>
      </c>
      <c r="K411" s="1" t="s">
        <v>50</v>
      </c>
      <c r="L411">
        <f t="shared" si="48"/>
        <v>310</v>
      </c>
      <c r="M411">
        <f t="shared" si="47"/>
        <v>185.56448544286178</v>
      </c>
      <c r="N411">
        <f t="shared" si="49"/>
        <v>304.39567777634272</v>
      </c>
      <c r="O411">
        <f t="shared" si="50"/>
        <v>310</v>
      </c>
      <c r="P411" t="e">
        <f t="shared" si="51"/>
        <v>#N/A</v>
      </c>
      <c r="Q411" t="e">
        <f t="shared" si="52"/>
        <v>#N/A</v>
      </c>
      <c r="U411">
        <f>C411/Navio!$J$4</f>
        <v>15.073024231803617</v>
      </c>
    </row>
    <row r="412" spans="1:21" x14ac:dyDescent="0.3">
      <c r="A412">
        <v>410</v>
      </c>
      <c r="B412" s="47">
        <v>616.34484093009178</v>
      </c>
      <c r="C412" s="46">
        <v>276.34635554338291</v>
      </c>
      <c r="D412" s="1">
        <v>9</v>
      </c>
      <c r="E412" s="1">
        <v>15</v>
      </c>
      <c r="F412" s="1">
        <v>14</v>
      </c>
      <c r="G412" s="1">
        <v>8</v>
      </c>
      <c r="H412" s="1" t="s">
        <v>50</v>
      </c>
      <c r="I412" s="1" t="s">
        <v>50</v>
      </c>
      <c r="J412" s="1" t="s">
        <v>50</v>
      </c>
      <c r="K412" s="1" t="s">
        <v>50</v>
      </c>
      <c r="L412">
        <f t="shared" si="48"/>
        <v>310</v>
      </c>
      <c r="M412">
        <f t="shared" si="47"/>
        <v>210.14742667389368</v>
      </c>
      <c r="N412">
        <f t="shared" si="49"/>
        <v>96.197414256198073</v>
      </c>
      <c r="O412">
        <f t="shared" si="50"/>
        <v>310</v>
      </c>
      <c r="P412" t="e">
        <f t="shared" si="51"/>
        <v>#N/A</v>
      </c>
      <c r="Q412" t="e">
        <f t="shared" si="52"/>
        <v>#N/A</v>
      </c>
      <c r="U412">
        <f>C412/Navio!$J$4</f>
        <v>14.921522369748423</v>
      </c>
    </row>
    <row r="413" spans="1:21" x14ac:dyDescent="0.3">
      <c r="A413">
        <v>411</v>
      </c>
      <c r="B413" s="47">
        <v>463.8534093952897</v>
      </c>
      <c r="C413" s="46">
        <v>286.33665084307012</v>
      </c>
      <c r="D413" s="1">
        <v>9</v>
      </c>
      <c r="E413" s="1">
        <v>16</v>
      </c>
      <c r="F413" s="1">
        <v>14</v>
      </c>
      <c r="G413" s="1">
        <v>8</v>
      </c>
      <c r="H413" s="1" t="s">
        <v>50</v>
      </c>
      <c r="I413" s="1" t="s">
        <v>50</v>
      </c>
      <c r="J413" s="1" t="s">
        <v>50</v>
      </c>
      <c r="K413" s="1" t="s">
        <v>50</v>
      </c>
      <c r="L413">
        <f t="shared" si="48"/>
        <v>310</v>
      </c>
      <c r="M413">
        <f t="shared" si="47"/>
        <v>172.96798541727486</v>
      </c>
      <c r="N413">
        <f t="shared" si="49"/>
        <v>96.197414256198073</v>
      </c>
      <c r="O413">
        <f t="shared" si="50"/>
        <v>310</v>
      </c>
      <c r="P413" t="e">
        <f t="shared" si="51"/>
        <v>#N/A</v>
      </c>
      <c r="Q413" t="e">
        <f t="shared" si="52"/>
        <v>#N/A</v>
      </c>
      <c r="U413">
        <f>C413/Navio!$J$4</f>
        <v>15.46095562734126</v>
      </c>
    </row>
    <row r="414" spans="1:21" x14ac:dyDescent="0.3">
      <c r="A414">
        <v>412</v>
      </c>
      <c r="B414" s="47">
        <v>710.59309203254077</v>
      </c>
      <c r="C414" s="46">
        <v>289.6527667589973</v>
      </c>
      <c r="D414" s="1">
        <v>9</v>
      </c>
      <c r="E414" s="1">
        <v>17</v>
      </c>
      <c r="F414" s="1">
        <v>14</v>
      </c>
      <c r="G414" s="1">
        <v>8</v>
      </c>
      <c r="H414" s="1" t="s">
        <v>50</v>
      </c>
      <c r="I414" s="1" t="s">
        <v>50</v>
      </c>
      <c r="J414" s="1" t="s">
        <v>50</v>
      </c>
      <c r="K414" s="1" t="s">
        <v>50</v>
      </c>
      <c r="L414">
        <f t="shared" si="48"/>
        <v>310</v>
      </c>
      <c r="M414">
        <f t="shared" si="47"/>
        <v>304.39567777634272</v>
      </c>
      <c r="N414">
        <f t="shared" si="49"/>
        <v>96.197414256198073</v>
      </c>
      <c r="O414">
        <f t="shared" si="50"/>
        <v>310</v>
      </c>
      <c r="P414" t="e">
        <f t="shared" si="51"/>
        <v>#N/A</v>
      </c>
      <c r="Q414" t="e">
        <f t="shared" si="52"/>
        <v>#N/A</v>
      </c>
      <c r="U414">
        <f>C414/Navio!$J$4</f>
        <v>15.640011717018616</v>
      </c>
    </row>
    <row r="415" spans="1:21" x14ac:dyDescent="0.3">
      <c r="A415">
        <v>413</v>
      </c>
      <c r="B415" s="47">
        <v>577.80342181298533</v>
      </c>
      <c r="C415" s="46">
        <v>281.24414534938091</v>
      </c>
      <c r="D415" s="1">
        <v>9</v>
      </c>
      <c r="E415" s="1">
        <v>16</v>
      </c>
      <c r="F415" s="1">
        <v>15</v>
      </c>
      <c r="G415" s="1">
        <v>8</v>
      </c>
      <c r="H415" s="1" t="s">
        <v>50</v>
      </c>
      <c r="I415" s="1" t="s">
        <v>50</v>
      </c>
      <c r="J415" s="1" t="s">
        <v>50</v>
      </c>
      <c r="K415" s="1" t="s">
        <v>50</v>
      </c>
      <c r="L415">
        <f t="shared" si="48"/>
        <v>310</v>
      </c>
      <c r="M415">
        <f t="shared" si="47"/>
        <v>172.96798541727486</v>
      </c>
      <c r="N415">
        <f t="shared" si="49"/>
        <v>210.14742667389368</v>
      </c>
      <c r="O415">
        <f t="shared" si="50"/>
        <v>310</v>
      </c>
      <c r="P415" t="e">
        <f t="shared" si="51"/>
        <v>#N/A</v>
      </c>
      <c r="Q415" t="e">
        <f t="shared" si="52"/>
        <v>#N/A</v>
      </c>
      <c r="U415">
        <f>C415/Navio!$J$4</f>
        <v>15.185982090987816</v>
      </c>
    </row>
    <row r="416" spans="1:21" x14ac:dyDescent="0.3">
      <c r="A416">
        <v>414</v>
      </c>
      <c r="B416" s="47">
        <v>824.54310445023634</v>
      </c>
      <c r="C416" s="46">
        <v>282.72363377062618</v>
      </c>
      <c r="D416" s="1">
        <v>9</v>
      </c>
      <c r="E416" s="1">
        <v>17</v>
      </c>
      <c r="F416" s="1">
        <v>15</v>
      </c>
      <c r="G416" s="1">
        <v>8</v>
      </c>
      <c r="H416" s="1" t="s">
        <v>50</v>
      </c>
      <c r="I416" s="1" t="s">
        <v>50</v>
      </c>
      <c r="J416" s="1" t="s">
        <v>50</v>
      </c>
      <c r="K416" s="1" t="s">
        <v>50</v>
      </c>
      <c r="L416">
        <f t="shared" si="48"/>
        <v>310</v>
      </c>
      <c r="M416">
        <f t="shared" si="47"/>
        <v>304.39567777634272</v>
      </c>
      <c r="N416">
        <f t="shared" si="49"/>
        <v>210.14742667389368</v>
      </c>
      <c r="O416">
        <f t="shared" si="50"/>
        <v>310</v>
      </c>
      <c r="P416" t="e">
        <f t="shared" si="51"/>
        <v>#N/A</v>
      </c>
      <c r="Q416" t="e">
        <f t="shared" si="52"/>
        <v>#N/A</v>
      </c>
      <c r="U416">
        <f>C416/Navio!$J$4</f>
        <v>15.26586814387238</v>
      </c>
    </row>
    <row r="417" spans="1:21" x14ac:dyDescent="0.3">
      <c r="A417">
        <v>415</v>
      </c>
      <c r="B417" s="47">
        <v>672.05167291543432</v>
      </c>
      <c r="C417" s="46">
        <v>286.62043688050079</v>
      </c>
      <c r="D417" s="1">
        <v>9</v>
      </c>
      <c r="E417" s="1">
        <v>17</v>
      </c>
      <c r="F417" s="1">
        <v>16</v>
      </c>
      <c r="G417" s="1">
        <v>8</v>
      </c>
      <c r="H417" s="1" t="s">
        <v>50</v>
      </c>
      <c r="I417" s="1" t="s">
        <v>50</v>
      </c>
      <c r="J417" s="1" t="s">
        <v>50</v>
      </c>
      <c r="K417" s="1" t="s">
        <v>50</v>
      </c>
      <c r="L417">
        <f t="shared" si="48"/>
        <v>310</v>
      </c>
      <c r="M417">
        <f t="shared" si="47"/>
        <v>304.39567777634272</v>
      </c>
      <c r="N417">
        <f t="shared" si="49"/>
        <v>172.96798541727486</v>
      </c>
      <c r="O417">
        <f t="shared" si="50"/>
        <v>310</v>
      </c>
      <c r="P417" t="e">
        <f t="shared" si="51"/>
        <v>#N/A</v>
      </c>
      <c r="Q417" t="e">
        <f t="shared" si="52"/>
        <v>#N/A</v>
      </c>
      <c r="U417">
        <f>C417/Navio!$J$4</f>
        <v>15.476278860743118</v>
      </c>
    </row>
    <row r="418" spans="1:21" x14ac:dyDescent="0.3">
      <c r="A418">
        <v>416</v>
      </c>
      <c r="B418" s="47">
        <v>751.71883227868352</v>
      </c>
      <c r="C418" s="46">
        <v>248.58063635729906</v>
      </c>
      <c r="D418" s="1">
        <v>10</v>
      </c>
      <c r="E418" s="1">
        <v>11</v>
      </c>
      <c r="F418" s="1">
        <v>12</v>
      </c>
      <c r="G418" s="1">
        <v>8</v>
      </c>
      <c r="H418" s="1" t="s">
        <v>50</v>
      </c>
      <c r="I418" s="1" t="s">
        <v>50</v>
      </c>
      <c r="J418" s="1" t="s">
        <v>50</v>
      </c>
      <c r="K418" s="1" t="s">
        <v>50</v>
      </c>
      <c r="L418">
        <f t="shared" si="48"/>
        <v>290.36739528320618</v>
      </c>
      <c r="M418">
        <f t="shared" si="47"/>
        <v>278.99258318037374</v>
      </c>
      <c r="N418">
        <f t="shared" si="49"/>
        <v>82.076561445310972</v>
      </c>
      <c r="O418">
        <f t="shared" si="50"/>
        <v>310</v>
      </c>
      <c r="P418" t="e">
        <f t="shared" si="51"/>
        <v>#N/A</v>
      </c>
      <c r="Q418" t="e">
        <f t="shared" si="52"/>
        <v>#N/A</v>
      </c>
      <c r="U418">
        <f>C418/Navio!$J$4</f>
        <v>13.422292176780447</v>
      </c>
    </row>
    <row r="419" spans="1:21" x14ac:dyDescent="0.3">
      <c r="A419">
        <v>417</v>
      </c>
      <c r="B419" s="47">
        <v>820.55739271977802</v>
      </c>
      <c r="C419" s="46">
        <v>272.09016797522446</v>
      </c>
      <c r="D419" s="1">
        <v>10</v>
      </c>
      <c r="E419" s="1">
        <v>11</v>
      </c>
      <c r="F419" s="1">
        <v>14</v>
      </c>
      <c r="G419" s="1">
        <v>8</v>
      </c>
      <c r="H419" s="1" t="s">
        <v>50</v>
      </c>
      <c r="I419" s="1" t="s">
        <v>50</v>
      </c>
      <c r="J419" s="1" t="s">
        <v>50</v>
      </c>
      <c r="K419" s="1" t="s">
        <v>50</v>
      </c>
      <c r="L419">
        <f t="shared" si="48"/>
        <v>290.36739528320618</v>
      </c>
      <c r="M419">
        <f t="shared" si="47"/>
        <v>278.99258318037374</v>
      </c>
      <c r="N419">
        <f t="shared" si="49"/>
        <v>96.197414256198073</v>
      </c>
      <c r="O419">
        <f t="shared" si="50"/>
        <v>310</v>
      </c>
      <c r="P419" t="e">
        <f t="shared" si="51"/>
        <v>#N/A</v>
      </c>
      <c r="Q419" t="e">
        <f t="shared" si="52"/>
        <v>#N/A</v>
      </c>
      <c r="U419">
        <f>C419/Navio!$J$4</f>
        <v>14.69170642778225</v>
      </c>
    </row>
    <row r="420" spans="1:21" x14ac:dyDescent="0.3">
      <c r="A420">
        <v>418</v>
      </c>
      <c r="B420" s="47">
        <v>782.01597360267158</v>
      </c>
      <c r="C420" s="46">
        <v>284.09212076792579</v>
      </c>
      <c r="D420" s="1">
        <v>10</v>
      </c>
      <c r="E420" s="1">
        <v>11</v>
      </c>
      <c r="F420" s="1">
        <v>16</v>
      </c>
      <c r="G420" s="1">
        <v>8</v>
      </c>
      <c r="H420" s="1" t="s">
        <v>50</v>
      </c>
      <c r="I420" s="1" t="s">
        <v>50</v>
      </c>
      <c r="J420" s="1" t="s">
        <v>50</v>
      </c>
      <c r="K420" s="1" t="s">
        <v>50</v>
      </c>
      <c r="L420">
        <f t="shared" si="48"/>
        <v>290.36739528320618</v>
      </c>
      <c r="M420">
        <f t="shared" si="47"/>
        <v>278.99258318037374</v>
      </c>
      <c r="N420">
        <f t="shared" si="49"/>
        <v>172.96798541727486</v>
      </c>
      <c r="O420">
        <f t="shared" si="50"/>
        <v>310</v>
      </c>
      <c r="P420" t="e">
        <f t="shared" si="51"/>
        <v>#N/A</v>
      </c>
      <c r="Q420" t="e">
        <f t="shared" si="52"/>
        <v>#N/A</v>
      </c>
      <c r="U420">
        <f>C420/Navio!$J$4</f>
        <v>15.339760594173612</v>
      </c>
    </row>
    <row r="421" spans="1:21" x14ac:dyDescent="0.3">
      <c r="A421">
        <v>419</v>
      </c>
      <c r="B421" s="47">
        <v>658.29073454117156</v>
      </c>
      <c r="C421" s="46">
        <v>256.27734916883094</v>
      </c>
      <c r="D421" s="1">
        <v>10</v>
      </c>
      <c r="E421" s="1">
        <v>13</v>
      </c>
      <c r="F421" s="1">
        <v>12</v>
      </c>
      <c r="G421" s="1">
        <v>8</v>
      </c>
      <c r="H421" s="1" t="s">
        <v>50</v>
      </c>
      <c r="I421" s="1" t="s">
        <v>50</v>
      </c>
      <c r="J421" s="1" t="s">
        <v>50</v>
      </c>
      <c r="K421" s="1" t="s">
        <v>50</v>
      </c>
      <c r="L421">
        <f t="shared" si="48"/>
        <v>290.36739528320618</v>
      </c>
      <c r="M421">
        <f t="shared" si="47"/>
        <v>185.56448544286178</v>
      </c>
      <c r="N421">
        <f t="shared" si="49"/>
        <v>82.076561445310972</v>
      </c>
      <c r="O421">
        <f t="shared" si="50"/>
        <v>310</v>
      </c>
      <c r="P421" t="e">
        <f t="shared" si="51"/>
        <v>#N/A</v>
      </c>
      <c r="Q421" t="e">
        <f t="shared" si="52"/>
        <v>#N/A</v>
      </c>
      <c r="U421">
        <f>C421/Navio!$J$4</f>
        <v>13.837881780504288</v>
      </c>
    </row>
    <row r="422" spans="1:21" x14ac:dyDescent="0.3">
      <c r="A422">
        <v>420</v>
      </c>
      <c r="B422" s="47">
        <v>568.92366335450788</v>
      </c>
      <c r="C422" s="46">
        <v>271.75422204648316</v>
      </c>
      <c r="D422" s="1">
        <v>10</v>
      </c>
      <c r="E422" s="1">
        <v>12</v>
      </c>
      <c r="F422" s="1">
        <v>14</v>
      </c>
      <c r="G422" s="1">
        <v>8</v>
      </c>
      <c r="H422" s="1" t="s">
        <v>50</v>
      </c>
      <c r="I422" s="1" t="s">
        <v>50</v>
      </c>
      <c r="J422" s="1" t="s">
        <v>50</v>
      </c>
      <c r="K422" s="1" t="s">
        <v>50</v>
      </c>
      <c r="L422">
        <f t="shared" si="48"/>
        <v>290.36739528320618</v>
      </c>
      <c r="M422">
        <f t="shared" si="47"/>
        <v>82.076561445310972</v>
      </c>
      <c r="N422">
        <f t="shared" si="49"/>
        <v>96.197414256198073</v>
      </c>
      <c r="O422">
        <f t="shared" si="50"/>
        <v>310</v>
      </c>
      <c r="P422" t="e">
        <f t="shared" si="51"/>
        <v>#N/A</v>
      </c>
      <c r="Q422" t="e">
        <f t="shared" si="52"/>
        <v>#N/A</v>
      </c>
      <c r="U422">
        <f>C422/Navio!$J$4</f>
        <v>14.673566783129141</v>
      </c>
    </row>
    <row r="423" spans="1:21" x14ac:dyDescent="0.3">
      <c r="A423">
        <v>421</v>
      </c>
      <c r="B423" s="47">
        <v>682.87367577220357</v>
      </c>
      <c r="C423" s="46">
        <v>272.80392618425401</v>
      </c>
      <c r="D423" s="1">
        <v>10</v>
      </c>
      <c r="E423" s="1">
        <v>15</v>
      </c>
      <c r="F423" s="1">
        <v>12</v>
      </c>
      <c r="G423" s="1">
        <v>8</v>
      </c>
      <c r="H423" s="1" t="s">
        <v>50</v>
      </c>
      <c r="I423" s="1" t="s">
        <v>50</v>
      </c>
      <c r="J423" s="1" t="s">
        <v>50</v>
      </c>
      <c r="K423" s="1" t="s">
        <v>50</v>
      </c>
      <c r="L423">
        <f t="shared" si="48"/>
        <v>290.36739528320618</v>
      </c>
      <c r="M423">
        <f t="shared" si="47"/>
        <v>210.14742667389368</v>
      </c>
      <c r="N423">
        <f t="shared" si="49"/>
        <v>82.076561445310972</v>
      </c>
      <c r="O423">
        <f t="shared" si="50"/>
        <v>310</v>
      </c>
      <c r="P423" t="e">
        <f t="shared" si="51"/>
        <v>#N/A</v>
      </c>
      <c r="Q423" t="e">
        <f t="shared" si="52"/>
        <v>#N/A</v>
      </c>
      <c r="U423">
        <f>C423/Navio!$J$4</f>
        <v>14.730246321176843</v>
      </c>
    </row>
    <row r="424" spans="1:21" x14ac:dyDescent="0.3">
      <c r="A424">
        <v>422</v>
      </c>
      <c r="B424" s="47">
        <v>530.38224423740144</v>
      </c>
      <c r="C424" s="46">
        <v>284.11331619869668</v>
      </c>
      <c r="D424" s="1">
        <v>10</v>
      </c>
      <c r="E424" s="1">
        <v>16</v>
      </c>
      <c r="F424" s="1">
        <v>12</v>
      </c>
      <c r="G424" s="1">
        <v>8</v>
      </c>
      <c r="H424" s="1" t="s">
        <v>50</v>
      </c>
      <c r="I424" s="1" t="s">
        <v>50</v>
      </c>
      <c r="J424" s="1" t="s">
        <v>50</v>
      </c>
      <c r="K424" s="1" t="s">
        <v>50</v>
      </c>
      <c r="L424">
        <f t="shared" si="48"/>
        <v>290.36739528320618</v>
      </c>
      <c r="M424">
        <f t="shared" si="47"/>
        <v>172.96798541727486</v>
      </c>
      <c r="N424">
        <f t="shared" si="49"/>
        <v>82.076561445310972</v>
      </c>
      <c r="O424">
        <f t="shared" si="50"/>
        <v>310</v>
      </c>
      <c r="P424" t="e">
        <f t="shared" si="51"/>
        <v>#N/A</v>
      </c>
      <c r="Q424" t="e">
        <f t="shared" si="52"/>
        <v>#N/A</v>
      </c>
      <c r="U424">
        <f>C424/Navio!$J$4</f>
        <v>15.34090505686704</v>
      </c>
    </row>
    <row r="425" spans="1:21" x14ac:dyDescent="0.3">
      <c r="A425">
        <v>423</v>
      </c>
      <c r="B425" s="47">
        <v>777.12192687465256</v>
      </c>
      <c r="C425" s="46">
        <v>282.07839732614241</v>
      </c>
      <c r="D425" s="1">
        <v>10</v>
      </c>
      <c r="E425" s="1">
        <v>17</v>
      </c>
      <c r="F425" s="1">
        <v>12</v>
      </c>
      <c r="G425" s="1">
        <v>8</v>
      </c>
      <c r="H425" s="1" t="s">
        <v>50</v>
      </c>
      <c r="I425" s="1" t="s">
        <v>50</v>
      </c>
      <c r="J425" s="1" t="s">
        <v>50</v>
      </c>
      <c r="K425" s="1" t="s">
        <v>50</v>
      </c>
      <c r="L425">
        <f t="shared" si="48"/>
        <v>290.36739528320618</v>
      </c>
      <c r="M425">
        <f t="shared" si="47"/>
        <v>304.39567777634272</v>
      </c>
      <c r="N425">
        <f t="shared" si="49"/>
        <v>82.076561445310972</v>
      </c>
      <c r="O425">
        <f t="shared" si="50"/>
        <v>310</v>
      </c>
      <c r="P425" t="e">
        <f t="shared" si="51"/>
        <v>#N/A</v>
      </c>
      <c r="Q425" t="e">
        <f t="shared" si="52"/>
        <v>#N/A</v>
      </c>
      <c r="U425">
        <f>C425/Navio!$J$4</f>
        <v>15.231028132969358</v>
      </c>
    </row>
    <row r="426" spans="1:21" x14ac:dyDescent="0.3">
      <c r="A426">
        <v>424</v>
      </c>
      <c r="B426" s="47">
        <v>727.12929498226606</v>
      </c>
      <c r="C426" s="46">
        <v>275.53062228375376</v>
      </c>
      <c r="D426" s="1">
        <v>10</v>
      </c>
      <c r="E426" s="1">
        <v>13</v>
      </c>
      <c r="F426" s="1">
        <v>14</v>
      </c>
      <c r="G426" s="1">
        <v>8</v>
      </c>
      <c r="H426" s="1" t="s">
        <v>50</v>
      </c>
      <c r="I426" s="1" t="s">
        <v>50</v>
      </c>
      <c r="J426" s="1" t="s">
        <v>50</v>
      </c>
      <c r="K426" s="1" t="s">
        <v>50</v>
      </c>
      <c r="L426">
        <f t="shared" si="48"/>
        <v>290.36739528320618</v>
      </c>
      <c r="M426">
        <f t="shared" si="47"/>
        <v>185.56448544286178</v>
      </c>
      <c r="N426">
        <f t="shared" si="49"/>
        <v>96.197414256198073</v>
      </c>
      <c r="O426">
        <f t="shared" si="50"/>
        <v>310</v>
      </c>
      <c r="P426" t="e">
        <f t="shared" si="51"/>
        <v>#N/A</v>
      </c>
      <c r="Q426" t="e">
        <f t="shared" si="52"/>
        <v>#N/A</v>
      </c>
      <c r="U426">
        <f>C426/Navio!$J$4</f>
        <v>14.877476259361442</v>
      </c>
    </row>
    <row r="427" spans="1:21" x14ac:dyDescent="0.3">
      <c r="A427">
        <v>425</v>
      </c>
      <c r="B427" s="47">
        <v>841.07930739996164</v>
      </c>
      <c r="C427" s="46">
        <v>273.27743651635126</v>
      </c>
      <c r="D427" s="1">
        <v>10</v>
      </c>
      <c r="E427" s="1">
        <v>13</v>
      </c>
      <c r="F427" s="1">
        <v>15</v>
      </c>
      <c r="G427" s="1">
        <v>8</v>
      </c>
      <c r="H427" s="1" t="s">
        <v>50</v>
      </c>
      <c r="I427" s="1" t="s">
        <v>50</v>
      </c>
      <c r="J427" s="1" t="s">
        <v>50</v>
      </c>
      <c r="K427" s="1" t="s">
        <v>50</v>
      </c>
      <c r="L427">
        <f t="shared" si="48"/>
        <v>290.36739528320618</v>
      </c>
      <c r="M427">
        <f t="shared" si="47"/>
        <v>185.56448544286178</v>
      </c>
      <c r="N427">
        <f t="shared" si="49"/>
        <v>210.14742667389368</v>
      </c>
      <c r="O427">
        <f t="shared" si="50"/>
        <v>310</v>
      </c>
      <c r="P427" t="e">
        <f t="shared" si="51"/>
        <v>#N/A</v>
      </c>
      <c r="Q427" t="e">
        <f t="shared" si="52"/>
        <v>#N/A</v>
      </c>
      <c r="U427">
        <f>C427/Navio!$J$4</f>
        <v>14.755813855797674</v>
      </c>
    </row>
    <row r="428" spans="1:21" x14ac:dyDescent="0.3">
      <c r="A428">
        <v>426</v>
      </c>
      <c r="B428" s="47">
        <v>688.58787586515962</v>
      </c>
      <c r="C428" s="46">
        <v>284.07324820750136</v>
      </c>
      <c r="D428" s="1">
        <v>10</v>
      </c>
      <c r="E428" s="1">
        <v>13</v>
      </c>
      <c r="F428" s="1">
        <v>16</v>
      </c>
      <c r="G428" s="1">
        <v>8</v>
      </c>
      <c r="H428" s="1" t="s">
        <v>50</v>
      </c>
      <c r="I428" s="1" t="s">
        <v>50</v>
      </c>
      <c r="J428" s="1" t="s">
        <v>50</v>
      </c>
      <c r="K428" s="1" t="s">
        <v>50</v>
      </c>
      <c r="L428">
        <f t="shared" si="48"/>
        <v>290.36739528320618</v>
      </c>
      <c r="M428">
        <f t="shared" si="47"/>
        <v>185.56448544286178</v>
      </c>
      <c r="N428">
        <f t="shared" si="49"/>
        <v>172.96798541727486</v>
      </c>
      <c r="O428">
        <f t="shared" si="50"/>
        <v>310</v>
      </c>
      <c r="P428" t="e">
        <f t="shared" si="51"/>
        <v>#N/A</v>
      </c>
      <c r="Q428" t="e">
        <f t="shared" si="52"/>
        <v>#N/A</v>
      </c>
      <c r="U428">
        <f>C428/Navio!$J$4</f>
        <v>15.338741556553254</v>
      </c>
    </row>
    <row r="429" spans="1:21" x14ac:dyDescent="0.3">
      <c r="A429">
        <v>427</v>
      </c>
      <c r="B429" s="47">
        <v>751.71223621329796</v>
      </c>
      <c r="C429" s="46">
        <v>279.70067889969653</v>
      </c>
      <c r="D429" s="1">
        <v>10</v>
      </c>
      <c r="E429" s="1">
        <v>15</v>
      </c>
      <c r="F429" s="1">
        <v>14</v>
      </c>
      <c r="G429" s="1">
        <v>8</v>
      </c>
      <c r="H429" s="1" t="s">
        <v>50</v>
      </c>
      <c r="I429" s="1" t="s">
        <v>50</v>
      </c>
      <c r="J429" s="1" t="s">
        <v>50</v>
      </c>
      <c r="K429" s="1" t="s">
        <v>50</v>
      </c>
      <c r="L429">
        <f t="shared" si="48"/>
        <v>290.36739528320618</v>
      </c>
      <c r="M429">
        <f t="shared" si="47"/>
        <v>210.14742667389368</v>
      </c>
      <c r="N429">
        <f t="shared" si="49"/>
        <v>96.197414256198073</v>
      </c>
      <c r="O429">
        <f t="shared" si="50"/>
        <v>310</v>
      </c>
      <c r="P429" t="e">
        <f t="shared" si="51"/>
        <v>#N/A</v>
      </c>
      <c r="Q429" t="e">
        <f t="shared" si="52"/>
        <v>#N/A</v>
      </c>
      <c r="U429">
        <f>C429/Navio!$J$4</f>
        <v>15.10264149794603</v>
      </c>
    </row>
    <row r="430" spans="1:21" x14ac:dyDescent="0.3">
      <c r="A430">
        <v>428</v>
      </c>
      <c r="B430" s="47">
        <v>599.22080467849582</v>
      </c>
      <c r="C430" s="46">
        <v>289.14053423266193</v>
      </c>
      <c r="D430" s="1">
        <v>10</v>
      </c>
      <c r="E430" s="1">
        <v>16</v>
      </c>
      <c r="F430" s="1">
        <v>14</v>
      </c>
      <c r="G430" s="1">
        <v>8</v>
      </c>
      <c r="H430" s="1" t="s">
        <v>50</v>
      </c>
      <c r="I430" s="1" t="s">
        <v>50</v>
      </c>
      <c r="J430" s="1" t="s">
        <v>50</v>
      </c>
      <c r="K430" s="1" t="s">
        <v>50</v>
      </c>
      <c r="L430">
        <f t="shared" si="48"/>
        <v>290.36739528320618</v>
      </c>
      <c r="M430">
        <f t="shared" si="47"/>
        <v>172.96798541727486</v>
      </c>
      <c r="N430">
        <f t="shared" si="49"/>
        <v>96.197414256198073</v>
      </c>
      <c r="O430">
        <f t="shared" si="50"/>
        <v>310</v>
      </c>
      <c r="P430" t="e">
        <f t="shared" si="51"/>
        <v>#N/A</v>
      </c>
      <c r="Q430" t="e">
        <f t="shared" si="52"/>
        <v>#N/A</v>
      </c>
      <c r="U430">
        <f>C430/Navio!$J$4</f>
        <v>15.612353349369089</v>
      </c>
    </row>
    <row r="431" spans="1:21" x14ac:dyDescent="0.3">
      <c r="A431">
        <v>429</v>
      </c>
      <c r="B431" s="47">
        <v>845.96048731574695</v>
      </c>
      <c r="C431" s="46">
        <v>291.33236565989057</v>
      </c>
      <c r="D431" s="1">
        <v>10</v>
      </c>
      <c r="E431" s="1">
        <v>17</v>
      </c>
      <c r="F431" s="1">
        <v>14</v>
      </c>
      <c r="G431" s="1">
        <v>8</v>
      </c>
      <c r="H431" s="1" t="s">
        <v>50</v>
      </c>
      <c r="I431" s="1" t="s">
        <v>50</v>
      </c>
      <c r="J431" s="1" t="s">
        <v>50</v>
      </c>
      <c r="K431" s="1" t="s">
        <v>50</v>
      </c>
      <c r="L431">
        <f t="shared" si="48"/>
        <v>290.36739528320618</v>
      </c>
      <c r="M431">
        <f t="shared" si="47"/>
        <v>304.39567777634272</v>
      </c>
      <c r="N431">
        <f t="shared" si="49"/>
        <v>96.197414256198073</v>
      </c>
      <c r="O431">
        <f t="shared" si="50"/>
        <v>310</v>
      </c>
      <c r="P431" t="e">
        <f t="shared" si="51"/>
        <v>#N/A</v>
      </c>
      <c r="Q431" t="e">
        <f t="shared" si="52"/>
        <v>#N/A</v>
      </c>
      <c r="U431">
        <f>C431/Navio!$J$4</f>
        <v>15.73070288073092</v>
      </c>
    </row>
    <row r="432" spans="1:21" x14ac:dyDescent="0.3">
      <c r="A432">
        <v>430</v>
      </c>
      <c r="B432" s="47">
        <v>713.17081709619151</v>
      </c>
      <c r="C432" s="46">
        <v>284.04802873897273</v>
      </c>
      <c r="D432" s="1">
        <v>10</v>
      </c>
      <c r="E432" s="1">
        <v>16</v>
      </c>
      <c r="F432" s="1">
        <v>15</v>
      </c>
      <c r="G432" s="1">
        <v>8</v>
      </c>
      <c r="H432" s="1" t="s">
        <v>50</v>
      </c>
      <c r="I432" s="1" t="s">
        <v>50</v>
      </c>
      <c r="J432" s="1" t="s">
        <v>50</v>
      </c>
      <c r="K432" s="1" t="s">
        <v>50</v>
      </c>
      <c r="L432">
        <f t="shared" si="48"/>
        <v>290.36739528320618</v>
      </c>
      <c r="M432">
        <f t="shared" si="47"/>
        <v>172.96798541727486</v>
      </c>
      <c r="N432">
        <f t="shared" si="49"/>
        <v>210.14742667389368</v>
      </c>
      <c r="O432">
        <f t="shared" si="50"/>
        <v>310</v>
      </c>
      <c r="P432" t="e">
        <f t="shared" si="51"/>
        <v>#N/A</v>
      </c>
      <c r="Q432" t="e">
        <f t="shared" si="52"/>
        <v>#N/A</v>
      </c>
      <c r="U432">
        <f>C432/Navio!$J$4</f>
        <v>15.337379813015644</v>
      </c>
    </row>
    <row r="433" spans="1:21" x14ac:dyDescent="0.3">
      <c r="A433">
        <v>431</v>
      </c>
      <c r="B433" s="47">
        <v>807.4190681986405</v>
      </c>
      <c r="C433" s="46">
        <v>288.30003578139406</v>
      </c>
      <c r="D433" s="1">
        <v>10</v>
      </c>
      <c r="E433" s="1">
        <v>17</v>
      </c>
      <c r="F433" s="1">
        <v>16</v>
      </c>
      <c r="G433" s="1">
        <v>8</v>
      </c>
      <c r="H433" s="1" t="s">
        <v>50</v>
      </c>
      <c r="I433" s="1" t="s">
        <v>50</v>
      </c>
      <c r="J433" s="1" t="s">
        <v>50</v>
      </c>
      <c r="K433" s="1" t="s">
        <v>50</v>
      </c>
      <c r="L433">
        <f t="shared" si="48"/>
        <v>290.36739528320618</v>
      </c>
      <c r="M433">
        <f t="shared" si="47"/>
        <v>304.39567777634272</v>
      </c>
      <c r="N433">
        <f t="shared" si="49"/>
        <v>172.96798541727486</v>
      </c>
      <c r="O433">
        <f t="shared" si="50"/>
        <v>310</v>
      </c>
      <c r="P433" t="e">
        <f t="shared" si="51"/>
        <v>#N/A</v>
      </c>
      <c r="Q433" t="e">
        <f t="shared" si="52"/>
        <v>#N/A</v>
      </c>
      <c r="U433">
        <f>C433/Navio!$J$4</f>
        <v>15.566970024455424</v>
      </c>
    </row>
    <row r="434" spans="1:21" x14ac:dyDescent="0.3">
      <c r="A434">
        <v>432</v>
      </c>
      <c r="B434" s="47">
        <v>646.91592243833918</v>
      </c>
      <c r="C434" s="46">
        <v>253.77966789434379</v>
      </c>
      <c r="D434" s="1">
        <v>11</v>
      </c>
      <c r="E434" s="1">
        <v>13</v>
      </c>
      <c r="F434" s="1">
        <v>12</v>
      </c>
      <c r="G434" s="1">
        <v>8</v>
      </c>
      <c r="H434" s="1" t="s">
        <v>50</v>
      </c>
      <c r="I434" s="1" t="s">
        <v>50</v>
      </c>
      <c r="J434" s="1" t="s">
        <v>50</v>
      </c>
      <c r="K434" s="1" t="s">
        <v>50</v>
      </c>
      <c r="L434">
        <f t="shared" si="48"/>
        <v>278.99258318037374</v>
      </c>
      <c r="M434">
        <f t="shared" si="47"/>
        <v>185.56448544286178</v>
      </c>
      <c r="N434">
        <f t="shared" si="49"/>
        <v>82.076561445310972</v>
      </c>
      <c r="O434">
        <f t="shared" si="50"/>
        <v>310</v>
      </c>
      <c r="P434" t="e">
        <f t="shared" si="51"/>
        <v>#N/A</v>
      </c>
      <c r="Q434" t="e">
        <f t="shared" si="52"/>
        <v>#N/A</v>
      </c>
      <c r="U434">
        <f>C434/Navio!$J$4</f>
        <v>13.703017664288684</v>
      </c>
    </row>
    <row r="435" spans="1:21" x14ac:dyDescent="0.3">
      <c r="A435">
        <v>433</v>
      </c>
      <c r="B435" s="47">
        <v>557.5488512516755</v>
      </c>
      <c r="C435" s="46">
        <v>270.08937335141655</v>
      </c>
      <c r="D435" s="1">
        <v>11</v>
      </c>
      <c r="E435" s="1">
        <v>12</v>
      </c>
      <c r="F435" s="1">
        <v>14</v>
      </c>
      <c r="G435" s="1">
        <v>8</v>
      </c>
      <c r="H435" s="1" t="s">
        <v>50</v>
      </c>
      <c r="I435" s="1" t="s">
        <v>50</v>
      </c>
      <c r="J435" s="1" t="s">
        <v>50</v>
      </c>
      <c r="K435" s="1" t="s">
        <v>50</v>
      </c>
      <c r="L435">
        <f t="shared" si="48"/>
        <v>278.99258318037374</v>
      </c>
      <c r="M435">
        <f t="shared" si="47"/>
        <v>82.076561445310972</v>
      </c>
      <c r="N435">
        <f t="shared" si="49"/>
        <v>96.197414256198073</v>
      </c>
      <c r="O435">
        <f t="shared" si="50"/>
        <v>310</v>
      </c>
      <c r="P435" t="e">
        <f t="shared" si="51"/>
        <v>#N/A</v>
      </c>
      <c r="Q435" t="e">
        <f t="shared" si="52"/>
        <v>#N/A</v>
      </c>
      <c r="U435">
        <f>C435/Navio!$J$4</f>
        <v>14.583672067503759</v>
      </c>
    </row>
    <row r="436" spans="1:21" x14ac:dyDescent="0.3">
      <c r="A436">
        <v>434</v>
      </c>
      <c r="B436" s="47">
        <v>671.49886366937108</v>
      </c>
      <c r="C436" s="46">
        <v>270.07684728929689</v>
      </c>
      <c r="D436" s="1">
        <v>11</v>
      </c>
      <c r="E436" s="1">
        <v>15</v>
      </c>
      <c r="F436" s="1">
        <v>12</v>
      </c>
      <c r="G436" s="1">
        <v>8</v>
      </c>
      <c r="H436" s="1" t="s">
        <v>50</v>
      </c>
      <c r="I436" s="1" t="s">
        <v>50</v>
      </c>
      <c r="J436" s="1" t="s">
        <v>50</v>
      </c>
      <c r="K436" s="1" t="s">
        <v>50</v>
      </c>
      <c r="L436">
        <f t="shared" si="48"/>
        <v>278.99258318037374</v>
      </c>
      <c r="M436">
        <f t="shared" si="47"/>
        <v>210.14742667389368</v>
      </c>
      <c r="N436">
        <f t="shared" si="49"/>
        <v>82.076561445310972</v>
      </c>
      <c r="O436">
        <f t="shared" si="50"/>
        <v>310</v>
      </c>
      <c r="P436" t="e">
        <f t="shared" si="51"/>
        <v>#N/A</v>
      </c>
      <c r="Q436" t="e">
        <f t="shared" si="52"/>
        <v>#N/A</v>
      </c>
      <c r="U436">
        <f>C436/Navio!$J$4</f>
        <v>14.582995713673235</v>
      </c>
    </row>
    <row r="437" spans="1:21" x14ac:dyDescent="0.3">
      <c r="A437">
        <v>435</v>
      </c>
      <c r="B437" s="47">
        <v>519.00743213456906</v>
      </c>
      <c r="C437" s="46">
        <v>281.45922143328028</v>
      </c>
      <c r="D437" s="1">
        <v>11</v>
      </c>
      <c r="E437" s="1">
        <v>16</v>
      </c>
      <c r="F437" s="1">
        <v>12</v>
      </c>
      <c r="G437" s="1">
        <v>8</v>
      </c>
      <c r="H437" s="1" t="s">
        <v>50</v>
      </c>
      <c r="I437" s="1" t="s">
        <v>50</v>
      </c>
      <c r="J437" s="1" t="s">
        <v>50</v>
      </c>
      <c r="K437" s="1" t="s">
        <v>50</v>
      </c>
      <c r="L437">
        <f t="shared" si="48"/>
        <v>278.99258318037374</v>
      </c>
      <c r="M437">
        <f t="shared" si="47"/>
        <v>172.96798541727486</v>
      </c>
      <c r="N437">
        <f t="shared" si="49"/>
        <v>82.076561445310972</v>
      </c>
      <c r="O437">
        <f t="shared" si="50"/>
        <v>310</v>
      </c>
      <c r="P437" t="e">
        <f t="shared" si="51"/>
        <v>#N/A</v>
      </c>
      <c r="Q437" t="e">
        <f t="shared" si="52"/>
        <v>#N/A</v>
      </c>
      <c r="U437">
        <f>C437/Navio!$J$4</f>
        <v>15.197595280497017</v>
      </c>
    </row>
    <row r="438" spans="1:21" x14ac:dyDescent="0.3">
      <c r="A438">
        <v>436</v>
      </c>
      <c r="B438" s="47">
        <v>765.74711477182018</v>
      </c>
      <c r="C438" s="46">
        <v>279.91460795406562</v>
      </c>
      <c r="D438" s="1">
        <v>11</v>
      </c>
      <c r="E438" s="1">
        <v>17</v>
      </c>
      <c r="F438" s="1">
        <v>12</v>
      </c>
      <c r="G438" s="1">
        <v>8</v>
      </c>
      <c r="H438" s="1" t="s">
        <v>50</v>
      </c>
      <c r="I438" s="1" t="s">
        <v>50</v>
      </c>
      <c r="J438" s="1" t="s">
        <v>50</v>
      </c>
      <c r="K438" s="1" t="s">
        <v>50</v>
      </c>
      <c r="L438">
        <f t="shared" si="48"/>
        <v>278.99258318037374</v>
      </c>
      <c r="M438">
        <f t="shared" si="47"/>
        <v>304.39567777634272</v>
      </c>
      <c r="N438">
        <f t="shared" si="49"/>
        <v>82.076561445310972</v>
      </c>
      <c r="O438">
        <f t="shared" si="50"/>
        <v>310</v>
      </c>
      <c r="P438" t="e">
        <f t="shared" si="51"/>
        <v>#N/A</v>
      </c>
      <c r="Q438" t="e">
        <f t="shared" si="52"/>
        <v>#N/A</v>
      </c>
      <c r="U438">
        <f>C438/Navio!$J$4</f>
        <v>15.114192752761859</v>
      </c>
    </row>
    <row r="439" spans="1:21" x14ac:dyDescent="0.3">
      <c r="A439">
        <v>437</v>
      </c>
      <c r="B439" s="47">
        <v>715.75448287943357</v>
      </c>
      <c r="C439" s="46">
        <v>273.03294100926666</v>
      </c>
      <c r="D439" s="1">
        <v>11</v>
      </c>
      <c r="E439" s="1">
        <v>13</v>
      </c>
      <c r="F439" s="1">
        <v>14</v>
      </c>
      <c r="G439" s="1">
        <v>8</v>
      </c>
      <c r="H439" s="1" t="s">
        <v>50</v>
      </c>
      <c r="I439" s="1" t="s">
        <v>50</v>
      </c>
      <c r="J439" s="1" t="s">
        <v>50</v>
      </c>
      <c r="K439" s="1" t="s">
        <v>50</v>
      </c>
      <c r="L439">
        <f t="shared" si="48"/>
        <v>278.99258318037374</v>
      </c>
      <c r="M439">
        <f t="shared" si="47"/>
        <v>185.56448544286178</v>
      </c>
      <c r="N439">
        <f t="shared" si="49"/>
        <v>96.197414256198073</v>
      </c>
      <c r="O439">
        <f t="shared" si="50"/>
        <v>310</v>
      </c>
      <c r="P439" t="e">
        <f t="shared" si="51"/>
        <v>#N/A</v>
      </c>
      <c r="Q439" t="e">
        <f t="shared" si="52"/>
        <v>#N/A</v>
      </c>
      <c r="U439">
        <f>C439/Navio!$J$4</f>
        <v>14.742612143145839</v>
      </c>
    </row>
    <row r="440" spans="1:21" x14ac:dyDescent="0.3">
      <c r="A440">
        <v>438</v>
      </c>
      <c r="B440" s="47">
        <v>829.70449529712914</v>
      </c>
      <c r="C440" s="46">
        <v>270.77975524186411</v>
      </c>
      <c r="D440" s="1">
        <v>11</v>
      </c>
      <c r="E440" s="1">
        <v>13</v>
      </c>
      <c r="F440" s="1">
        <v>15</v>
      </c>
      <c r="G440" s="1">
        <v>8</v>
      </c>
      <c r="H440" s="1" t="s">
        <v>50</v>
      </c>
      <c r="I440" s="1" t="s">
        <v>50</v>
      </c>
      <c r="J440" s="1" t="s">
        <v>50</v>
      </c>
      <c r="K440" s="1" t="s">
        <v>50</v>
      </c>
      <c r="L440">
        <f t="shared" si="48"/>
        <v>278.99258318037374</v>
      </c>
      <c r="M440">
        <f t="shared" si="47"/>
        <v>185.56448544286178</v>
      </c>
      <c r="N440">
        <f t="shared" si="49"/>
        <v>210.14742667389368</v>
      </c>
      <c r="O440">
        <f t="shared" si="50"/>
        <v>310</v>
      </c>
      <c r="P440" t="e">
        <f t="shared" si="51"/>
        <v>#N/A</v>
      </c>
      <c r="Q440" t="e">
        <f t="shared" si="52"/>
        <v>#N/A</v>
      </c>
      <c r="U440">
        <f>C440/Navio!$J$4</f>
        <v>14.62094973958207</v>
      </c>
    </row>
    <row r="441" spans="1:21" x14ac:dyDescent="0.3">
      <c r="A441">
        <v>439</v>
      </c>
      <c r="B441" s="47">
        <v>677.21306376232712</v>
      </c>
      <c r="C441" s="46">
        <v>281.57556693301422</v>
      </c>
      <c r="D441" s="1">
        <v>11</v>
      </c>
      <c r="E441" s="1">
        <v>13</v>
      </c>
      <c r="F441" s="1">
        <v>16</v>
      </c>
      <c r="G441" s="1">
        <v>8</v>
      </c>
      <c r="H441" s="1" t="s">
        <v>50</v>
      </c>
      <c r="I441" s="1" t="s">
        <v>50</v>
      </c>
      <c r="J441" s="1" t="s">
        <v>50</v>
      </c>
      <c r="K441" s="1" t="s">
        <v>50</v>
      </c>
      <c r="L441">
        <f t="shared" si="48"/>
        <v>278.99258318037374</v>
      </c>
      <c r="M441">
        <f t="shared" si="47"/>
        <v>185.56448544286178</v>
      </c>
      <c r="N441">
        <f t="shared" si="49"/>
        <v>172.96798541727486</v>
      </c>
      <c r="O441">
        <f t="shared" si="50"/>
        <v>310</v>
      </c>
      <c r="P441" t="e">
        <f t="shared" si="51"/>
        <v>#N/A</v>
      </c>
      <c r="Q441" t="e">
        <f t="shared" si="52"/>
        <v>#N/A</v>
      </c>
      <c r="U441">
        <f>C441/Navio!$J$4</f>
        <v>15.203877440337648</v>
      </c>
    </row>
    <row r="442" spans="1:21" x14ac:dyDescent="0.3">
      <c r="A442">
        <v>440</v>
      </c>
      <c r="B442" s="47">
        <v>740.33742411046546</v>
      </c>
      <c r="C442" s="46">
        <v>276.97360000473941</v>
      </c>
      <c r="D442" s="1">
        <v>11</v>
      </c>
      <c r="E442" s="1">
        <v>15</v>
      </c>
      <c r="F442" s="1">
        <v>14</v>
      </c>
      <c r="G442" s="1">
        <v>8</v>
      </c>
      <c r="H442" s="1" t="s">
        <v>50</v>
      </c>
      <c r="I442" s="1" t="s">
        <v>50</v>
      </c>
      <c r="J442" s="1" t="s">
        <v>50</v>
      </c>
      <c r="K442" s="1" t="s">
        <v>50</v>
      </c>
      <c r="L442">
        <f t="shared" si="48"/>
        <v>278.99258318037374</v>
      </c>
      <c r="M442">
        <f t="shared" si="47"/>
        <v>210.14742667389368</v>
      </c>
      <c r="N442">
        <f t="shared" si="49"/>
        <v>96.197414256198073</v>
      </c>
      <c r="O442">
        <f t="shared" si="50"/>
        <v>310</v>
      </c>
      <c r="P442" t="e">
        <f t="shared" si="51"/>
        <v>#N/A</v>
      </c>
      <c r="Q442" t="e">
        <f t="shared" si="52"/>
        <v>#N/A</v>
      </c>
      <c r="U442">
        <f>C442/Navio!$J$4</f>
        <v>14.955390890442422</v>
      </c>
    </row>
    <row r="443" spans="1:21" x14ac:dyDescent="0.3">
      <c r="A443">
        <v>441</v>
      </c>
      <c r="B443" s="47">
        <v>587.84599257566344</v>
      </c>
      <c r="C443" s="46">
        <v>286.48643946724553</v>
      </c>
      <c r="D443" s="1">
        <v>11</v>
      </c>
      <c r="E443" s="1">
        <v>16</v>
      </c>
      <c r="F443" s="1">
        <v>14</v>
      </c>
      <c r="G443" s="1">
        <v>8</v>
      </c>
      <c r="H443" s="1" t="s">
        <v>50</v>
      </c>
      <c r="I443" s="1" t="s">
        <v>50</v>
      </c>
      <c r="J443" s="1" t="s">
        <v>50</v>
      </c>
      <c r="K443" s="1" t="s">
        <v>50</v>
      </c>
      <c r="L443">
        <f t="shared" si="48"/>
        <v>278.99258318037374</v>
      </c>
      <c r="M443">
        <f t="shared" si="47"/>
        <v>172.96798541727486</v>
      </c>
      <c r="N443">
        <f t="shared" si="49"/>
        <v>96.197414256198073</v>
      </c>
      <c r="O443">
        <f t="shared" si="50"/>
        <v>310</v>
      </c>
      <c r="P443" t="e">
        <f t="shared" si="51"/>
        <v>#N/A</v>
      </c>
      <c r="Q443" t="e">
        <f t="shared" si="52"/>
        <v>#N/A</v>
      </c>
      <c r="U443">
        <f>C443/Navio!$J$4</f>
        <v>15.469043572999064</v>
      </c>
    </row>
    <row r="444" spans="1:21" x14ac:dyDescent="0.3">
      <c r="A444">
        <v>442</v>
      </c>
      <c r="B444" s="47">
        <v>834.58567521291457</v>
      </c>
      <c r="C444" s="46">
        <v>289.16857628781383</v>
      </c>
      <c r="D444" s="1">
        <v>11</v>
      </c>
      <c r="E444" s="1">
        <v>17</v>
      </c>
      <c r="F444" s="1">
        <v>14</v>
      </c>
      <c r="G444" s="1">
        <v>8</v>
      </c>
      <c r="H444" s="1" t="s">
        <v>50</v>
      </c>
      <c r="I444" s="1" t="s">
        <v>50</v>
      </c>
      <c r="J444" s="1" t="s">
        <v>50</v>
      </c>
      <c r="K444" s="1" t="s">
        <v>50</v>
      </c>
      <c r="L444">
        <f t="shared" si="48"/>
        <v>278.99258318037374</v>
      </c>
      <c r="M444">
        <f t="shared" si="47"/>
        <v>304.39567777634272</v>
      </c>
      <c r="N444">
        <f t="shared" si="49"/>
        <v>96.197414256198073</v>
      </c>
      <c r="O444">
        <f t="shared" si="50"/>
        <v>310</v>
      </c>
      <c r="P444" t="e">
        <f t="shared" si="51"/>
        <v>#N/A</v>
      </c>
      <c r="Q444" t="e">
        <f t="shared" si="52"/>
        <v>#N/A</v>
      </c>
      <c r="U444">
        <f>C444/Navio!$J$4</f>
        <v>15.613867500523424</v>
      </c>
    </row>
    <row r="445" spans="1:21" x14ac:dyDescent="0.3">
      <c r="A445">
        <v>443</v>
      </c>
      <c r="B445" s="47">
        <v>701.79600499335902</v>
      </c>
      <c r="C445" s="46">
        <v>281.39393397355639</v>
      </c>
      <c r="D445" s="1">
        <v>11</v>
      </c>
      <c r="E445" s="1">
        <v>16</v>
      </c>
      <c r="F445" s="1">
        <v>15</v>
      </c>
      <c r="G445" s="1">
        <v>8</v>
      </c>
      <c r="H445" s="1" t="s">
        <v>50</v>
      </c>
      <c r="I445" s="1" t="s">
        <v>50</v>
      </c>
      <c r="J445" s="1" t="s">
        <v>50</v>
      </c>
      <c r="K445" s="1" t="s">
        <v>50</v>
      </c>
      <c r="L445">
        <f t="shared" si="48"/>
        <v>278.99258318037374</v>
      </c>
      <c r="M445">
        <f t="shared" si="47"/>
        <v>172.96798541727486</v>
      </c>
      <c r="N445">
        <f t="shared" si="49"/>
        <v>210.14742667389368</v>
      </c>
      <c r="O445">
        <f t="shared" si="50"/>
        <v>310</v>
      </c>
      <c r="P445" t="e">
        <f t="shared" si="51"/>
        <v>#N/A</v>
      </c>
      <c r="Q445" t="e">
        <f t="shared" si="52"/>
        <v>#N/A</v>
      </c>
      <c r="U445">
        <f>C445/Navio!$J$4</f>
        <v>15.194070036645623</v>
      </c>
    </row>
    <row r="446" spans="1:21" x14ac:dyDescent="0.3">
      <c r="A446">
        <v>444</v>
      </c>
      <c r="B446" s="47">
        <v>796.04425609580812</v>
      </c>
      <c r="C446" s="46">
        <v>286.13624640931732</v>
      </c>
      <c r="D446" s="1">
        <v>11</v>
      </c>
      <c r="E446" s="1">
        <v>17</v>
      </c>
      <c r="F446" s="1">
        <v>16</v>
      </c>
      <c r="G446" s="1">
        <v>8</v>
      </c>
      <c r="H446" s="1" t="s">
        <v>50</v>
      </c>
      <c r="I446" s="1" t="s">
        <v>50</v>
      </c>
      <c r="J446" s="1" t="s">
        <v>50</v>
      </c>
      <c r="K446" s="1" t="s">
        <v>50</v>
      </c>
      <c r="L446">
        <f t="shared" si="48"/>
        <v>278.99258318037374</v>
      </c>
      <c r="M446">
        <f t="shared" si="47"/>
        <v>304.39567777634272</v>
      </c>
      <c r="N446">
        <f t="shared" si="49"/>
        <v>172.96798541727486</v>
      </c>
      <c r="O446">
        <f t="shared" si="50"/>
        <v>310</v>
      </c>
      <c r="P446" t="e">
        <f t="shared" si="51"/>
        <v>#N/A</v>
      </c>
      <c r="Q446" t="e">
        <f t="shared" si="52"/>
        <v>#N/A</v>
      </c>
      <c r="U446">
        <f>C446/Navio!$J$4</f>
        <v>15.450134644247928</v>
      </c>
    </row>
    <row r="447" spans="1:21" x14ac:dyDescent="0.3">
      <c r="A447">
        <v>445</v>
      </c>
      <c r="B447" s="47">
        <v>464.12075351416354</v>
      </c>
      <c r="C447" s="46">
        <v>273.71907281673452</v>
      </c>
      <c r="D447" s="1">
        <v>13</v>
      </c>
      <c r="E447" s="1">
        <v>14</v>
      </c>
      <c r="F447" s="1">
        <v>12</v>
      </c>
      <c r="G447" s="1">
        <v>8</v>
      </c>
      <c r="H447" s="1" t="s">
        <v>50</v>
      </c>
      <c r="I447" s="1" t="s">
        <v>50</v>
      </c>
      <c r="J447" s="1" t="s">
        <v>50</v>
      </c>
      <c r="K447" s="1" t="s">
        <v>50</v>
      </c>
      <c r="L447">
        <f t="shared" si="48"/>
        <v>185.56448544286178</v>
      </c>
      <c r="M447">
        <f t="shared" si="47"/>
        <v>96.197414256198073</v>
      </c>
      <c r="N447">
        <f t="shared" si="49"/>
        <v>82.076561445310972</v>
      </c>
      <c r="O447">
        <f t="shared" si="50"/>
        <v>310</v>
      </c>
      <c r="P447" t="e">
        <f t="shared" si="51"/>
        <v>#N/A</v>
      </c>
      <c r="Q447" t="e">
        <f t="shared" si="52"/>
        <v>#N/A</v>
      </c>
      <c r="U447">
        <f>C447/Navio!$J$4</f>
        <v>14.779660328903875</v>
      </c>
    </row>
    <row r="448" spans="1:21" x14ac:dyDescent="0.3">
      <c r="A448">
        <v>446</v>
      </c>
      <c r="B448" s="47">
        <v>578.07076593185911</v>
      </c>
      <c r="C448" s="46">
        <v>269.96206923199679</v>
      </c>
      <c r="D448" s="1">
        <v>13</v>
      </c>
      <c r="E448" s="1">
        <v>15</v>
      </c>
      <c r="F448" s="1">
        <v>12</v>
      </c>
      <c r="G448" s="1">
        <v>8</v>
      </c>
      <c r="H448" s="1" t="s">
        <v>50</v>
      </c>
      <c r="I448" s="1" t="s">
        <v>50</v>
      </c>
      <c r="J448" s="1" t="s">
        <v>50</v>
      </c>
      <c r="K448" s="1" t="s">
        <v>50</v>
      </c>
      <c r="L448">
        <f t="shared" si="48"/>
        <v>185.56448544286178</v>
      </c>
      <c r="M448">
        <f t="shared" si="47"/>
        <v>210.14742667389368</v>
      </c>
      <c r="N448">
        <f t="shared" si="49"/>
        <v>82.076561445310972</v>
      </c>
      <c r="O448">
        <f t="shared" si="50"/>
        <v>310</v>
      </c>
      <c r="P448" t="e">
        <f t="shared" si="51"/>
        <v>#N/A</v>
      </c>
      <c r="Q448" t="e">
        <f t="shared" si="52"/>
        <v>#N/A</v>
      </c>
      <c r="U448">
        <f>C448/Navio!$J$4</f>
        <v>14.57679818902634</v>
      </c>
    </row>
    <row r="449" spans="1:21" x14ac:dyDescent="0.3">
      <c r="A449">
        <v>447</v>
      </c>
      <c r="B449" s="47">
        <v>425.57933439705704</v>
      </c>
      <c r="C449" s="46">
        <v>280.78524126628145</v>
      </c>
      <c r="D449" s="1">
        <v>13</v>
      </c>
      <c r="E449" s="1">
        <v>16</v>
      </c>
      <c r="F449" s="1">
        <v>12</v>
      </c>
      <c r="G449" s="1">
        <v>8</v>
      </c>
      <c r="H449" s="1" t="s">
        <v>50</v>
      </c>
      <c r="I449" s="1" t="s">
        <v>50</v>
      </c>
      <c r="J449" s="1" t="s">
        <v>50</v>
      </c>
      <c r="K449" s="1" t="s">
        <v>50</v>
      </c>
      <c r="L449">
        <f t="shared" si="48"/>
        <v>185.56448544286178</v>
      </c>
      <c r="M449">
        <f t="shared" si="47"/>
        <v>172.96798541727486</v>
      </c>
      <c r="N449">
        <f t="shared" si="49"/>
        <v>82.076561445310972</v>
      </c>
      <c r="O449">
        <f t="shared" si="50"/>
        <v>310</v>
      </c>
      <c r="P449" t="e">
        <f t="shared" si="51"/>
        <v>#N/A</v>
      </c>
      <c r="Q449" t="e">
        <f t="shared" si="52"/>
        <v>#N/A</v>
      </c>
      <c r="U449">
        <f>C449/Navio!$J$4</f>
        <v>15.161203231400277</v>
      </c>
    </row>
    <row r="450" spans="1:21" x14ac:dyDescent="0.3">
      <c r="A450">
        <v>448</v>
      </c>
      <c r="B450" s="47">
        <v>672.31901703430822</v>
      </c>
      <c r="C450" s="46">
        <v>279.11754249898638</v>
      </c>
      <c r="D450" s="1">
        <v>13</v>
      </c>
      <c r="E450" s="1">
        <v>17</v>
      </c>
      <c r="F450" s="1">
        <v>12</v>
      </c>
      <c r="G450" s="1">
        <v>8</v>
      </c>
      <c r="H450" s="1" t="s">
        <v>50</v>
      </c>
      <c r="I450" s="1" t="s">
        <v>50</v>
      </c>
      <c r="J450" s="1" t="s">
        <v>50</v>
      </c>
      <c r="K450" s="1" t="s">
        <v>50</v>
      </c>
      <c r="L450">
        <f t="shared" si="48"/>
        <v>185.56448544286178</v>
      </c>
      <c r="M450">
        <f t="shared" si="47"/>
        <v>304.39567777634272</v>
      </c>
      <c r="N450">
        <f t="shared" si="49"/>
        <v>82.076561445310972</v>
      </c>
      <c r="O450">
        <f t="shared" si="50"/>
        <v>310</v>
      </c>
      <c r="P450" t="e">
        <f t="shared" si="51"/>
        <v>#N/A</v>
      </c>
      <c r="Q450" t="e">
        <f t="shared" si="52"/>
        <v>#N/A</v>
      </c>
      <c r="U450">
        <f>C450/Navio!$J$4</f>
        <v>15.071154624052935</v>
      </c>
    </row>
    <row r="451" spans="1:21" x14ac:dyDescent="0.3">
      <c r="A451">
        <v>449</v>
      </c>
      <c r="B451" s="47">
        <v>488.70369474519543</v>
      </c>
      <c r="C451" s="46">
        <v>270.68905188059125</v>
      </c>
      <c r="D451" s="1">
        <v>14</v>
      </c>
      <c r="E451" s="1">
        <v>15</v>
      </c>
      <c r="F451" s="1">
        <v>12</v>
      </c>
      <c r="G451" s="1">
        <v>8</v>
      </c>
      <c r="H451" s="1" t="s">
        <v>50</v>
      </c>
      <c r="I451" s="1" t="s">
        <v>50</v>
      </c>
      <c r="J451" s="1" t="s">
        <v>50</v>
      </c>
      <c r="K451" s="1" t="s">
        <v>50</v>
      </c>
      <c r="L451">
        <f t="shared" si="48"/>
        <v>96.197414256198073</v>
      </c>
      <c r="M451">
        <f t="shared" ref="M451:M514" si="53">VLOOKUP(E451,$Y$2:$Z$80,2)</f>
        <v>210.14742667389368</v>
      </c>
      <c r="N451">
        <f t="shared" si="49"/>
        <v>82.076561445310972</v>
      </c>
      <c r="O451">
        <f t="shared" si="50"/>
        <v>310</v>
      </c>
      <c r="P451" t="e">
        <f t="shared" si="51"/>
        <v>#N/A</v>
      </c>
      <c r="Q451" t="e">
        <f t="shared" si="52"/>
        <v>#N/A</v>
      </c>
      <c r="U451">
        <f>C451/Navio!$J$4</f>
        <v>14.616052145649329</v>
      </c>
    </row>
    <row r="452" spans="1:21" x14ac:dyDescent="0.3">
      <c r="A452">
        <v>450</v>
      </c>
      <c r="B452" s="47">
        <v>336.21226321039336</v>
      </c>
      <c r="C452" s="46">
        <v>281.16776630790491</v>
      </c>
      <c r="D452" s="1">
        <v>14</v>
      </c>
      <c r="E452" s="1">
        <v>16</v>
      </c>
      <c r="F452" s="1">
        <v>12</v>
      </c>
      <c r="G452" s="1">
        <v>8</v>
      </c>
      <c r="H452" s="1" t="s">
        <v>50</v>
      </c>
      <c r="I452" s="1" t="s">
        <v>50</v>
      </c>
      <c r="J452" s="1" t="s">
        <v>50</v>
      </c>
      <c r="K452" s="1" t="s">
        <v>50</v>
      </c>
      <c r="L452">
        <f t="shared" si="48"/>
        <v>96.197414256198073</v>
      </c>
      <c r="M452">
        <f t="shared" si="53"/>
        <v>172.96798541727486</v>
      </c>
      <c r="N452">
        <f t="shared" si="49"/>
        <v>82.076561445310972</v>
      </c>
      <c r="O452">
        <f t="shared" si="50"/>
        <v>310</v>
      </c>
      <c r="P452" t="e">
        <f t="shared" si="51"/>
        <v>#N/A</v>
      </c>
      <c r="Q452" t="e">
        <f t="shared" si="52"/>
        <v>#N/A</v>
      </c>
      <c r="U452">
        <f>C452/Navio!$J$4</f>
        <v>15.181857949116203</v>
      </c>
    </row>
    <row r="453" spans="1:21" x14ac:dyDescent="0.3">
      <c r="A453">
        <v>451</v>
      </c>
      <c r="B453" s="47">
        <v>582.95194584764442</v>
      </c>
      <c r="C453" s="46">
        <v>287.83109411521565</v>
      </c>
      <c r="D453" s="1">
        <v>14</v>
      </c>
      <c r="E453" s="1">
        <v>17</v>
      </c>
      <c r="F453" s="1">
        <v>12</v>
      </c>
      <c r="G453" s="1">
        <v>8</v>
      </c>
      <c r="H453" s="1" t="s">
        <v>50</v>
      </c>
      <c r="I453" s="1" t="s">
        <v>50</v>
      </c>
      <c r="J453" s="1" t="s">
        <v>50</v>
      </c>
      <c r="K453" s="1" t="s">
        <v>50</v>
      </c>
      <c r="L453">
        <f t="shared" si="48"/>
        <v>96.197414256198073</v>
      </c>
      <c r="M453">
        <f t="shared" si="53"/>
        <v>304.39567777634272</v>
      </c>
      <c r="N453">
        <f t="shared" si="49"/>
        <v>82.076561445310972</v>
      </c>
      <c r="O453">
        <f t="shared" si="50"/>
        <v>310</v>
      </c>
      <c r="P453" t="e">
        <f t="shared" si="51"/>
        <v>#N/A</v>
      </c>
      <c r="Q453" t="e">
        <f t="shared" si="52"/>
        <v>#N/A</v>
      </c>
      <c r="U453">
        <f>C453/Navio!$J$4</f>
        <v>15.541649178272273</v>
      </c>
    </row>
    <row r="454" spans="1:21" x14ac:dyDescent="0.3">
      <c r="A454">
        <v>452</v>
      </c>
      <c r="B454" s="47">
        <v>450.16227562808893</v>
      </c>
      <c r="C454" s="46">
        <v>277.53142411767629</v>
      </c>
      <c r="D454" s="1">
        <v>12</v>
      </c>
      <c r="E454" s="1">
        <v>15</v>
      </c>
      <c r="F454" s="1">
        <v>16</v>
      </c>
      <c r="G454" s="1">
        <v>8</v>
      </c>
      <c r="H454" s="1" t="s">
        <v>50</v>
      </c>
      <c r="I454" s="1" t="s">
        <v>50</v>
      </c>
      <c r="J454" s="1" t="s">
        <v>50</v>
      </c>
      <c r="K454" s="1" t="s">
        <v>50</v>
      </c>
      <c r="L454">
        <f t="shared" si="48"/>
        <v>82.076561445310972</v>
      </c>
      <c r="M454">
        <f t="shared" si="53"/>
        <v>210.14742667389368</v>
      </c>
      <c r="N454">
        <f t="shared" si="49"/>
        <v>172.96798541727486</v>
      </c>
      <c r="O454">
        <f t="shared" si="50"/>
        <v>310</v>
      </c>
      <c r="P454" t="e">
        <f t="shared" si="51"/>
        <v>#N/A</v>
      </c>
      <c r="Q454" t="e">
        <f t="shared" si="52"/>
        <v>#N/A</v>
      </c>
      <c r="U454">
        <f>C454/Navio!$J$4</f>
        <v>14.985511008955314</v>
      </c>
    </row>
    <row r="455" spans="1:21" x14ac:dyDescent="0.3">
      <c r="A455">
        <v>453</v>
      </c>
      <c r="B455" s="47">
        <v>696.90195826534</v>
      </c>
      <c r="C455" s="46">
        <v>281.17225142737453</v>
      </c>
      <c r="D455" s="1">
        <v>17</v>
      </c>
      <c r="E455" s="1">
        <v>15</v>
      </c>
      <c r="F455" s="1">
        <v>12</v>
      </c>
      <c r="G455" s="1">
        <v>8</v>
      </c>
      <c r="H455" s="1" t="s">
        <v>50</v>
      </c>
      <c r="I455" s="1" t="s">
        <v>50</v>
      </c>
      <c r="J455" s="1" t="s">
        <v>50</v>
      </c>
      <c r="K455" s="1" t="s">
        <v>50</v>
      </c>
      <c r="L455">
        <f t="shared" si="48"/>
        <v>304.39567777634272</v>
      </c>
      <c r="M455">
        <f t="shared" si="53"/>
        <v>210.14742667389368</v>
      </c>
      <c r="N455">
        <f t="shared" si="49"/>
        <v>82.076561445310972</v>
      </c>
      <c r="O455">
        <f t="shared" si="50"/>
        <v>310</v>
      </c>
      <c r="P455" t="e">
        <f t="shared" si="51"/>
        <v>#N/A</v>
      </c>
      <c r="Q455" t="e">
        <f t="shared" si="52"/>
        <v>#N/A</v>
      </c>
      <c r="U455">
        <f>C455/Navio!$J$4</f>
        <v>15.182100126402622</v>
      </c>
    </row>
    <row r="456" spans="1:21" x14ac:dyDescent="0.3">
      <c r="A456">
        <v>454</v>
      </c>
      <c r="B456" s="47">
        <v>544.41052673053798</v>
      </c>
      <c r="C456" s="46">
        <v>285.09641488038375</v>
      </c>
      <c r="D456" s="1">
        <v>17</v>
      </c>
      <c r="E456" s="1">
        <v>16</v>
      </c>
      <c r="F456" s="1">
        <v>12</v>
      </c>
      <c r="G456" s="1">
        <v>8</v>
      </c>
      <c r="H456" s="1" t="s">
        <v>50</v>
      </c>
      <c r="I456" s="1" t="s">
        <v>50</v>
      </c>
      <c r="J456" s="1" t="s">
        <v>50</v>
      </c>
      <c r="K456" s="1" t="s">
        <v>50</v>
      </c>
      <c r="L456">
        <f t="shared" si="48"/>
        <v>304.39567777634272</v>
      </c>
      <c r="M456">
        <f t="shared" si="53"/>
        <v>172.96798541727486</v>
      </c>
      <c r="N456">
        <f t="shared" si="49"/>
        <v>82.076561445310972</v>
      </c>
      <c r="O456">
        <f t="shared" si="50"/>
        <v>310</v>
      </c>
      <c r="P456" t="e">
        <f t="shared" si="51"/>
        <v>#N/A</v>
      </c>
      <c r="Q456" t="e">
        <f t="shared" si="52"/>
        <v>#N/A</v>
      </c>
      <c r="U456">
        <f>C456/Navio!$J$4</f>
        <v>15.393988184891722</v>
      </c>
    </row>
    <row r="457" spans="1:21" x14ac:dyDescent="0.3">
      <c r="A457">
        <v>455</v>
      </c>
      <c r="B457" s="47">
        <v>646.9093263729535</v>
      </c>
      <c r="C457" s="46">
        <v>275.96464442912844</v>
      </c>
      <c r="D457" s="1">
        <v>14</v>
      </c>
      <c r="E457" s="1">
        <v>15</v>
      </c>
      <c r="F457" s="1">
        <v>13</v>
      </c>
      <c r="G457" s="1">
        <v>8</v>
      </c>
      <c r="H457" s="1" t="s">
        <v>50</v>
      </c>
      <c r="I457" s="1" t="s">
        <v>50</v>
      </c>
      <c r="J457" s="1" t="s">
        <v>50</v>
      </c>
      <c r="K457" s="1" t="s">
        <v>50</v>
      </c>
      <c r="L457">
        <f t="shared" si="48"/>
        <v>96.197414256198073</v>
      </c>
      <c r="M457">
        <f t="shared" si="53"/>
        <v>210.14742667389368</v>
      </c>
      <c r="N457">
        <f t="shared" si="49"/>
        <v>185.56448544286178</v>
      </c>
      <c r="O457">
        <f t="shared" si="50"/>
        <v>310</v>
      </c>
      <c r="P457" t="e">
        <f t="shared" si="51"/>
        <v>#N/A</v>
      </c>
      <c r="Q457" t="e">
        <f t="shared" si="52"/>
        <v>#N/A</v>
      </c>
      <c r="U457">
        <f>C457/Navio!$J$4</f>
        <v>14.900911600632508</v>
      </c>
    </row>
    <row r="458" spans="1:21" x14ac:dyDescent="0.3">
      <c r="A458">
        <v>456</v>
      </c>
      <c r="B458" s="47">
        <v>494.41789483815148</v>
      </c>
      <c r="C458" s="46">
        <v>284.91828178193578</v>
      </c>
      <c r="D458" s="1">
        <v>14</v>
      </c>
      <c r="E458" s="1">
        <v>16</v>
      </c>
      <c r="F458" s="1">
        <v>13</v>
      </c>
      <c r="G458" s="1">
        <v>8</v>
      </c>
      <c r="H458" s="1" t="s">
        <v>50</v>
      </c>
      <c r="I458" s="1" t="s">
        <v>50</v>
      </c>
      <c r="J458" s="1" t="s">
        <v>50</v>
      </c>
      <c r="K458" s="1" t="s">
        <v>50</v>
      </c>
      <c r="L458">
        <f t="shared" si="48"/>
        <v>96.197414256198073</v>
      </c>
      <c r="M458">
        <f t="shared" si="53"/>
        <v>172.96798541727486</v>
      </c>
      <c r="N458">
        <f t="shared" si="49"/>
        <v>185.56448544286178</v>
      </c>
      <c r="O458">
        <f t="shared" si="50"/>
        <v>310</v>
      </c>
      <c r="P458" t="e">
        <f t="shared" si="51"/>
        <v>#N/A</v>
      </c>
      <c r="Q458" t="e">
        <f t="shared" si="52"/>
        <v>#N/A</v>
      </c>
      <c r="U458">
        <f>C458/Navio!$J$4</f>
        <v>15.384369758739304</v>
      </c>
    </row>
    <row r="459" spans="1:21" x14ac:dyDescent="0.3">
      <c r="A459">
        <v>457</v>
      </c>
      <c r="B459" s="47">
        <v>741.1575774754026</v>
      </c>
      <c r="C459" s="46">
        <v>287.47733331442362</v>
      </c>
      <c r="D459" s="1">
        <v>14</v>
      </c>
      <c r="E459" s="1">
        <v>17</v>
      </c>
      <c r="F459" s="1">
        <v>13</v>
      </c>
      <c r="G459" s="1">
        <v>8</v>
      </c>
      <c r="H459" s="1" t="s">
        <v>50</v>
      </c>
      <c r="I459" s="1" t="s">
        <v>50</v>
      </c>
      <c r="J459" s="1" t="s">
        <v>50</v>
      </c>
      <c r="K459" s="1" t="s">
        <v>50</v>
      </c>
      <c r="L459">
        <f t="shared" si="48"/>
        <v>96.197414256198073</v>
      </c>
      <c r="M459">
        <f t="shared" si="53"/>
        <v>304.39567777634272</v>
      </c>
      <c r="N459">
        <f t="shared" si="49"/>
        <v>185.56448544286178</v>
      </c>
      <c r="O459">
        <f t="shared" si="50"/>
        <v>310</v>
      </c>
      <c r="P459" t="e">
        <f t="shared" si="51"/>
        <v>#N/A</v>
      </c>
      <c r="Q459" t="e">
        <f t="shared" si="52"/>
        <v>#N/A</v>
      </c>
      <c r="U459">
        <f>C459/Navio!$J$4</f>
        <v>15.522547606651475</v>
      </c>
    </row>
    <row r="460" spans="1:21" x14ac:dyDescent="0.3">
      <c r="A460">
        <v>458</v>
      </c>
      <c r="B460" s="47">
        <v>608.36790725584706</v>
      </c>
      <c r="C460" s="46">
        <v>280.71995380655756</v>
      </c>
      <c r="D460" s="1">
        <v>13</v>
      </c>
      <c r="E460" s="1">
        <v>16</v>
      </c>
      <c r="F460" s="1">
        <v>15</v>
      </c>
      <c r="G460" s="1">
        <v>8</v>
      </c>
      <c r="H460" s="1" t="s">
        <v>50</v>
      </c>
      <c r="I460" s="1" t="s">
        <v>50</v>
      </c>
      <c r="J460" s="1" t="s">
        <v>50</v>
      </c>
      <c r="K460" s="1" t="s">
        <v>50</v>
      </c>
      <c r="L460">
        <f t="shared" si="48"/>
        <v>185.56448544286178</v>
      </c>
      <c r="M460">
        <f t="shared" si="53"/>
        <v>172.96798541727486</v>
      </c>
      <c r="N460">
        <f t="shared" si="49"/>
        <v>210.14742667389368</v>
      </c>
      <c r="O460">
        <f t="shared" si="50"/>
        <v>310</v>
      </c>
      <c r="P460" t="e">
        <f t="shared" si="51"/>
        <v>#N/A</v>
      </c>
      <c r="Q460" t="e">
        <f t="shared" si="52"/>
        <v>#N/A</v>
      </c>
      <c r="U460">
        <f>C460/Navio!$J$4</f>
        <v>15.157677987548885</v>
      </c>
    </row>
    <row r="461" spans="1:21" x14ac:dyDescent="0.3">
      <c r="A461">
        <v>459</v>
      </c>
      <c r="B461" s="47">
        <v>855.10758989309818</v>
      </c>
      <c r="C461" s="46">
        <v>281.44237784436342</v>
      </c>
      <c r="D461" s="1">
        <v>13</v>
      </c>
      <c r="E461" s="1">
        <v>17</v>
      </c>
      <c r="F461" s="1">
        <v>15</v>
      </c>
      <c r="G461" s="1">
        <v>8</v>
      </c>
      <c r="H461" s="1" t="s">
        <v>50</v>
      </c>
      <c r="I461" s="1" t="s">
        <v>50</v>
      </c>
      <c r="J461" s="1" t="s">
        <v>50</v>
      </c>
      <c r="K461" s="1" t="s">
        <v>50</v>
      </c>
      <c r="L461">
        <f t="shared" ref="L461:L524" si="54">VLOOKUP(D461,$Y$2:$Z$80,2)</f>
        <v>185.56448544286178</v>
      </c>
      <c r="M461">
        <f t="shared" si="53"/>
        <v>304.39567777634272</v>
      </c>
      <c r="N461">
        <f t="shared" ref="N461:N524" si="55">VLOOKUP(F461,$Y$2:$Z$80,2)</f>
        <v>210.14742667389368</v>
      </c>
      <c r="O461">
        <f t="shared" ref="O461:O524" si="56">VLOOKUP(G461,$Y$2:$Z$80,2)</f>
        <v>310</v>
      </c>
      <c r="P461" t="e">
        <f t="shared" ref="P461:P524" si="57">VLOOKUP(H461,$Y$2:$Z$80,2)</f>
        <v>#N/A</v>
      </c>
      <c r="Q461" t="e">
        <f t="shared" ref="Q461:Q524" si="58">VLOOKUP(I461,$Y$2:$Z$80,2)</f>
        <v>#N/A</v>
      </c>
      <c r="U461">
        <f>C461/Navio!$J$4</f>
        <v>15.196685798668261</v>
      </c>
    </row>
    <row r="462" spans="1:21" x14ac:dyDescent="0.3">
      <c r="A462">
        <v>460</v>
      </c>
      <c r="B462" s="47">
        <v>702.61615835829616</v>
      </c>
      <c r="C462" s="46">
        <v>285.33918095423803</v>
      </c>
      <c r="D462" s="1">
        <v>13</v>
      </c>
      <c r="E462" s="1">
        <v>17</v>
      </c>
      <c r="F462" s="1">
        <v>16</v>
      </c>
      <c r="G462" s="1">
        <v>8</v>
      </c>
      <c r="H462" s="1" t="s">
        <v>50</v>
      </c>
      <c r="I462" s="1" t="s">
        <v>50</v>
      </c>
      <c r="J462" s="1" t="s">
        <v>50</v>
      </c>
      <c r="K462" s="1" t="s">
        <v>50</v>
      </c>
      <c r="L462">
        <f t="shared" si="54"/>
        <v>185.56448544286178</v>
      </c>
      <c r="M462">
        <f t="shared" si="53"/>
        <v>304.39567777634272</v>
      </c>
      <c r="N462">
        <f t="shared" si="55"/>
        <v>172.96798541727486</v>
      </c>
      <c r="O462">
        <f t="shared" si="56"/>
        <v>310</v>
      </c>
      <c r="P462" t="e">
        <f t="shared" si="57"/>
        <v>#N/A</v>
      </c>
      <c r="Q462" t="e">
        <f t="shared" si="58"/>
        <v>#N/A</v>
      </c>
      <c r="U462">
        <f>C462/Navio!$J$4</f>
        <v>15.407096515538999</v>
      </c>
    </row>
    <row r="463" spans="1:21" x14ac:dyDescent="0.3">
      <c r="A463">
        <v>461</v>
      </c>
      <c r="B463" s="47">
        <v>519.00083606918338</v>
      </c>
      <c r="C463" s="46">
        <v>281.10247884818102</v>
      </c>
      <c r="D463" s="1">
        <v>14</v>
      </c>
      <c r="E463" s="1">
        <v>16</v>
      </c>
      <c r="F463" s="1">
        <v>15</v>
      </c>
      <c r="G463" s="1">
        <v>8</v>
      </c>
      <c r="H463" s="1" t="s">
        <v>50</v>
      </c>
      <c r="I463" s="1" t="s">
        <v>50</v>
      </c>
      <c r="J463" s="1" t="s">
        <v>50</v>
      </c>
      <c r="K463" s="1" t="s">
        <v>50</v>
      </c>
      <c r="L463">
        <f t="shared" si="54"/>
        <v>96.197414256198073</v>
      </c>
      <c r="M463">
        <f t="shared" si="53"/>
        <v>172.96798541727486</v>
      </c>
      <c r="N463">
        <f t="shared" si="55"/>
        <v>210.14742667389368</v>
      </c>
      <c r="O463">
        <f t="shared" si="56"/>
        <v>310</v>
      </c>
      <c r="P463" t="e">
        <f t="shared" si="57"/>
        <v>#N/A</v>
      </c>
      <c r="Q463" t="e">
        <f t="shared" si="58"/>
        <v>#N/A</v>
      </c>
      <c r="U463">
        <f>C463/Navio!$J$4</f>
        <v>15.178332705264811</v>
      </c>
    </row>
    <row r="464" spans="1:21" x14ac:dyDescent="0.3">
      <c r="A464">
        <v>462</v>
      </c>
      <c r="B464" s="47">
        <v>765.7405187064345</v>
      </c>
      <c r="C464" s="46">
        <v>286.61006909672653</v>
      </c>
      <c r="D464" s="1">
        <v>14</v>
      </c>
      <c r="E464" s="1">
        <v>15</v>
      </c>
      <c r="F464" s="1">
        <v>17</v>
      </c>
      <c r="G464" s="1">
        <v>8</v>
      </c>
      <c r="H464" s="1" t="s">
        <v>50</v>
      </c>
      <c r="I464" s="1" t="s">
        <v>50</v>
      </c>
      <c r="J464" s="1" t="s">
        <v>50</v>
      </c>
      <c r="K464" s="1" t="s">
        <v>50</v>
      </c>
      <c r="L464">
        <f t="shared" si="54"/>
        <v>96.197414256198073</v>
      </c>
      <c r="M464">
        <f t="shared" si="53"/>
        <v>210.14742667389368</v>
      </c>
      <c r="N464">
        <f t="shared" si="55"/>
        <v>304.39567777634272</v>
      </c>
      <c r="O464">
        <f t="shared" si="56"/>
        <v>310</v>
      </c>
      <c r="P464" t="e">
        <f t="shared" si="57"/>
        <v>#N/A</v>
      </c>
      <c r="Q464" t="e">
        <f t="shared" si="58"/>
        <v>#N/A</v>
      </c>
      <c r="U464">
        <f>C464/Navio!$J$4</f>
        <v>15.475719044720909</v>
      </c>
    </row>
    <row r="465" spans="1:21" x14ac:dyDescent="0.3">
      <c r="A465">
        <v>463</v>
      </c>
      <c r="B465" s="47">
        <v>613.24908717163237</v>
      </c>
      <c r="C465" s="46">
        <v>288.66469786825843</v>
      </c>
      <c r="D465" s="1">
        <v>14</v>
      </c>
      <c r="E465" s="1">
        <v>16</v>
      </c>
      <c r="F465" s="1">
        <v>17</v>
      </c>
      <c r="G465" s="1">
        <v>8</v>
      </c>
      <c r="H465" s="1" t="s">
        <v>50</v>
      </c>
      <c r="I465" s="1" t="s">
        <v>50</v>
      </c>
      <c r="J465" s="1" t="s">
        <v>50</v>
      </c>
      <c r="K465" s="1" t="s">
        <v>50</v>
      </c>
      <c r="L465">
        <f t="shared" si="54"/>
        <v>96.197414256198073</v>
      </c>
      <c r="M465">
        <f t="shared" si="53"/>
        <v>172.96798541727486</v>
      </c>
      <c r="N465">
        <f t="shared" si="55"/>
        <v>304.39567777634272</v>
      </c>
      <c r="O465">
        <f t="shared" si="56"/>
        <v>310</v>
      </c>
      <c r="P465" t="e">
        <f t="shared" si="57"/>
        <v>#N/A</v>
      </c>
      <c r="Q465" t="e">
        <f t="shared" si="58"/>
        <v>#N/A</v>
      </c>
      <c r="U465">
        <f>C465/Navio!$J$4</f>
        <v>15.586660218942868</v>
      </c>
    </row>
    <row r="466" spans="1:21" x14ac:dyDescent="0.3">
      <c r="A466">
        <v>464</v>
      </c>
      <c r="B466" s="47">
        <v>727.19909958932806</v>
      </c>
      <c r="C466" s="46">
        <v>285.0311274206598</v>
      </c>
      <c r="D466" s="1">
        <v>17</v>
      </c>
      <c r="E466" s="1">
        <v>16</v>
      </c>
      <c r="F466" s="1">
        <v>15</v>
      </c>
      <c r="G466" s="1">
        <v>8</v>
      </c>
      <c r="H466" s="1" t="s">
        <v>50</v>
      </c>
      <c r="I466" s="1" t="s">
        <v>50</v>
      </c>
      <c r="J466" s="1" t="s">
        <v>50</v>
      </c>
      <c r="K466" s="1" t="s">
        <v>50</v>
      </c>
      <c r="L466">
        <f t="shared" si="54"/>
        <v>304.39567777634272</v>
      </c>
      <c r="M466">
        <f t="shared" si="53"/>
        <v>172.96798541727486</v>
      </c>
      <c r="N466">
        <f t="shared" si="55"/>
        <v>210.14742667389368</v>
      </c>
      <c r="O466">
        <f t="shared" si="56"/>
        <v>310</v>
      </c>
      <c r="P466" t="e">
        <f t="shared" si="57"/>
        <v>#N/A</v>
      </c>
      <c r="Q466" t="e">
        <f t="shared" si="58"/>
        <v>#N/A</v>
      </c>
      <c r="U466">
        <f>C466/Navio!$J$4</f>
        <v>15.390462941040326</v>
      </c>
    </row>
    <row r="467" spans="1:21" x14ac:dyDescent="0.3">
      <c r="A467">
        <v>465</v>
      </c>
      <c r="B467" s="47">
        <v>751.71883227868352</v>
      </c>
      <c r="C467" s="46">
        <v>248.66325203138979</v>
      </c>
      <c r="D467" s="1">
        <v>12</v>
      </c>
      <c r="E467" s="1">
        <v>11</v>
      </c>
      <c r="F467" s="1">
        <v>10</v>
      </c>
      <c r="G467" s="1">
        <v>9</v>
      </c>
      <c r="H467" s="1" t="s">
        <v>50</v>
      </c>
      <c r="I467" s="1" t="s">
        <v>50</v>
      </c>
      <c r="J467" s="1" t="s">
        <v>50</v>
      </c>
      <c r="K467" s="1" t="s">
        <v>50</v>
      </c>
      <c r="L467">
        <f t="shared" si="54"/>
        <v>82.076561445310972</v>
      </c>
      <c r="M467">
        <f t="shared" si="53"/>
        <v>278.99258318037374</v>
      </c>
      <c r="N467">
        <f t="shared" si="55"/>
        <v>290.36739528320618</v>
      </c>
      <c r="O467">
        <f t="shared" si="56"/>
        <v>310</v>
      </c>
      <c r="P467" t="e">
        <f t="shared" si="57"/>
        <v>#N/A</v>
      </c>
      <c r="Q467" t="e">
        <f t="shared" si="58"/>
        <v>#N/A</v>
      </c>
      <c r="U467">
        <f>C467/Navio!$J$4</f>
        <v>13.426753070164088</v>
      </c>
    </row>
    <row r="468" spans="1:21" x14ac:dyDescent="0.3">
      <c r="A468">
        <v>466</v>
      </c>
      <c r="B468" s="47">
        <v>820.55739271977802</v>
      </c>
      <c r="C468" s="46">
        <v>270.68926000272006</v>
      </c>
      <c r="D468" s="1">
        <v>14</v>
      </c>
      <c r="E468" s="1">
        <v>11</v>
      </c>
      <c r="F468" s="1">
        <v>10</v>
      </c>
      <c r="G468" s="1">
        <v>9</v>
      </c>
      <c r="H468" s="1" t="s">
        <v>50</v>
      </c>
      <c r="I468" s="1" t="s">
        <v>50</v>
      </c>
      <c r="J468" s="1" t="s">
        <v>50</v>
      </c>
      <c r="K468" s="1" t="s">
        <v>50</v>
      </c>
      <c r="L468">
        <f t="shared" si="54"/>
        <v>96.197414256198073</v>
      </c>
      <c r="M468">
        <f t="shared" si="53"/>
        <v>278.99258318037374</v>
      </c>
      <c r="N468">
        <f t="shared" si="55"/>
        <v>290.36739528320618</v>
      </c>
      <c r="O468">
        <f t="shared" si="56"/>
        <v>310</v>
      </c>
      <c r="P468" t="e">
        <f t="shared" si="57"/>
        <v>#N/A</v>
      </c>
      <c r="Q468" t="e">
        <f t="shared" si="58"/>
        <v>#N/A</v>
      </c>
      <c r="U468">
        <f>C468/Navio!$J$4</f>
        <v>14.616063383354977</v>
      </c>
    </row>
    <row r="469" spans="1:21" x14ac:dyDescent="0.3">
      <c r="A469">
        <v>467</v>
      </c>
      <c r="B469" s="47">
        <v>782.01597360267158</v>
      </c>
      <c r="C469" s="46">
        <v>284.26429513351661</v>
      </c>
      <c r="D469" s="1">
        <v>16</v>
      </c>
      <c r="E469" s="1">
        <v>11</v>
      </c>
      <c r="F469" s="1">
        <v>10</v>
      </c>
      <c r="G469" s="1">
        <v>9</v>
      </c>
      <c r="H469" s="1" t="s">
        <v>50</v>
      </c>
      <c r="I469" s="1" t="s">
        <v>50</v>
      </c>
      <c r="J469" s="1" t="s">
        <v>50</v>
      </c>
      <c r="K469" s="1" t="s">
        <v>50</v>
      </c>
      <c r="L469">
        <f t="shared" si="54"/>
        <v>172.96798541727486</v>
      </c>
      <c r="M469">
        <f t="shared" si="53"/>
        <v>278.99258318037374</v>
      </c>
      <c r="N469">
        <f t="shared" si="55"/>
        <v>290.36739528320618</v>
      </c>
      <c r="O469">
        <f t="shared" si="56"/>
        <v>310</v>
      </c>
      <c r="P469" t="e">
        <f t="shared" si="57"/>
        <v>#N/A</v>
      </c>
      <c r="Q469" t="e">
        <f t="shared" si="58"/>
        <v>#N/A</v>
      </c>
      <c r="U469">
        <f>C469/Navio!$J$4</f>
        <v>15.349057274213445</v>
      </c>
    </row>
    <row r="470" spans="1:21" x14ac:dyDescent="0.3">
      <c r="A470">
        <v>468</v>
      </c>
      <c r="B470" s="47">
        <v>658.29073454117156</v>
      </c>
      <c r="C470" s="46">
        <v>256.35996484292161</v>
      </c>
      <c r="D470" s="1">
        <v>12</v>
      </c>
      <c r="E470" s="1">
        <v>13</v>
      </c>
      <c r="F470" s="1">
        <v>10</v>
      </c>
      <c r="G470" s="1">
        <v>9</v>
      </c>
      <c r="H470" s="1" t="s">
        <v>50</v>
      </c>
      <c r="I470" s="1" t="s">
        <v>50</v>
      </c>
      <c r="J470" s="1" t="s">
        <v>50</v>
      </c>
      <c r="K470" s="1" t="s">
        <v>50</v>
      </c>
      <c r="L470">
        <f t="shared" si="54"/>
        <v>82.076561445310972</v>
      </c>
      <c r="M470">
        <f t="shared" si="53"/>
        <v>185.56448544286178</v>
      </c>
      <c r="N470">
        <f t="shared" si="55"/>
        <v>290.36739528320618</v>
      </c>
      <c r="O470">
        <f t="shared" si="56"/>
        <v>310</v>
      </c>
      <c r="P470" t="e">
        <f t="shared" si="57"/>
        <v>#N/A</v>
      </c>
      <c r="Q470" t="e">
        <f t="shared" si="58"/>
        <v>#N/A</v>
      </c>
      <c r="U470">
        <f>C470/Navio!$J$4</f>
        <v>13.842342673887925</v>
      </c>
    </row>
    <row r="471" spans="1:21" x14ac:dyDescent="0.3">
      <c r="A471">
        <v>469</v>
      </c>
      <c r="B471" s="47">
        <v>568.92366335450788</v>
      </c>
      <c r="C471" s="46">
        <v>270.35331407397877</v>
      </c>
      <c r="D471" s="1">
        <v>14</v>
      </c>
      <c r="E471" s="1">
        <v>12</v>
      </c>
      <c r="F471" s="1">
        <v>10</v>
      </c>
      <c r="G471" s="1">
        <v>9</v>
      </c>
      <c r="H471" s="1" t="s">
        <v>50</v>
      </c>
      <c r="I471" s="1" t="s">
        <v>50</v>
      </c>
      <c r="J471" s="1" t="s">
        <v>50</v>
      </c>
      <c r="K471" s="1" t="s">
        <v>50</v>
      </c>
      <c r="L471">
        <f t="shared" si="54"/>
        <v>96.197414256198073</v>
      </c>
      <c r="M471">
        <f t="shared" si="53"/>
        <v>82.076561445310972</v>
      </c>
      <c r="N471">
        <f t="shared" si="55"/>
        <v>290.36739528320618</v>
      </c>
      <c r="O471">
        <f t="shared" si="56"/>
        <v>310</v>
      </c>
      <c r="P471" t="e">
        <f t="shared" si="57"/>
        <v>#N/A</v>
      </c>
      <c r="Q471" t="e">
        <f t="shared" si="58"/>
        <v>#N/A</v>
      </c>
      <c r="U471">
        <f>C471/Navio!$J$4</f>
        <v>14.597923738701867</v>
      </c>
    </row>
    <row r="472" spans="1:21" x14ac:dyDescent="0.3">
      <c r="A472">
        <v>470</v>
      </c>
      <c r="B472" s="47">
        <v>682.87367577220357</v>
      </c>
      <c r="C472" s="46">
        <v>272.88654185834469</v>
      </c>
      <c r="D472" s="1">
        <v>12</v>
      </c>
      <c r="E472" s="1">
        <v>15</v>
      </c>
      <c r="F472" s="1">
        <v>10</v>
      </c>
      <c r="G472" s="1">
        <v>9</v>
      </c>
      <c r="H472" s="1" t="s">
        <v>50</v>
      </c>
      <c r="I472" s="1" t="s">
        <v>50</v>
      </c>
      <c r="J472" s="1" t="s">
        <v>50</v>
      </c>
      <c r="K472" s="1" t="s">
        <v>50</v>
      </c>
      <c r="L472">
        <f t="shared" si="54"/>
        <v>82.076561445310972</v>
      </c>
      <c r="M472">
        <f t="shared" si="53"/>
        <v>210.14742667389368</v>
      </c>
      <c r="N472">
        <f t="shared" si="55"/>
        <v>290.36739528320618</v>
      </c>
      <c r="O472">
        <f t="shared" si="56"/>
        <v>310</v>
      </c>
      <c r="P472" t="e">
        <f t="shared" si="57"/>
        <v>#N/A</v>
      </c>
      <c r="Q472" t="e">
        <f t="shared" si="58"/>
        <v>#N/A</v>
      </c>
      <c r="U472">
        <f>C472/Navio!$J$4</f>
        <v>14.734707214560482</v>
      </c>
    </row>
    <row r="473" spans="1:21" x14ac:dyDescent="0.3">
      <c r="A473">
        <v>471</v>
      </c>
      <c r="B473" s="47">
        <v>530.38224423740144</v>
      </c>
      <c r="C473" s="46">
        <v>284.19593187278736</v>
      </c>
      <c r="D473" s="1">
        <v>12</v>
      </c>
      <c r="E473" s="1">
        <v>16</v>
      </c>
      <c r="F473" s="1">
        <v>10</v>
      </c>
      <c r="G473" s="1">
        <v>9</v>
      </c>
      <c r="H473" s="1" t="s">
        <v>50</v>
      </c>
      <c r="I473" s="1" t="s">
        <v>50</v>
      </c>
      <c r="J473" s="1" t="s">
        <v>50</v>
      </c>
      <c r="K473" s="1" t="s">
        <v>50</v>
      </c>
      <c r="L473">
        <f t="shared" si="54"/>
        <v>82.076561445310972</v>
      </c>
      <c r="M473">
        <f t="shared" si="53"/>
        <v>172.96798541727486</v>
      </c>
      <c r="N473">
        <f t="shared" si="55"/>
        <v>290.36739528320618</v>
      </c>
      <c r="O473">
        <f t="shared" si="56"/>
        <v>310</v>
      </c>
      <c r="P473" t="e">
        <f t="shared" si="57"/>
        <v>#N/A</v>
      </c>
      <c r="Q473" t="e">
        <f t="shared" si="58"/>
        <v>#N/A</v>
      </c>
      <c r="U473">
        <f>C473/Navio!$J$4</f>
        <v>15.345365950250677</v>
      </c>
    </row>
    <row r="474" spans="1:21" x14ac:dyDescent="0.3">
      <c r="A474">
        <v>472</v>
      </c>
      <c r="B474" s="47">
        <v>777.12192687465256</v>
      </c>
      <c r="C474" s="46">
        <v>282.16101300023308</v>
      </c>
      <c r="D474" s="1">
        <v>12</v>
      </c>
      <c r="E474" s="1">
        <v>17</v>
      </c>
      <c r="F474" s="1">
        <v>10</v>
      </c>
      <c r="G474" s="1">
        <v>9</v>
      </c>
      <c r="H474" s="1" t="s">
        <v>50</v>
      </c>
      <c r="I474" s="1" t="s">
        <v>50</v>
      </c>
      <c r="J474" s="1" t="s">
        <v>50</v>
      </c>
      <c r="K474" s="1" t="s">
        <v>50</v>
      </c>
      <c r="L474">
        <f t="shared" si="54"/>
        <v>82.076561445310972</v>
      </c>
      <c r="M474">
        <f t="shared" si="53"/>
        <v>304.39567777634272</v>
      </c>
      <c r="N474">
        <f t="shared" si="55"/>
        <v>290.36739528320618</v>
      </c>
      <c r="O474">
        <f t="shared" si="56"/>
        <v>310</v>
      </c>
      <c r="P474" t="e">
        <f t="shared" si="57"/>
        <v>#N/A</v>
      </c>
      <c r="Q474" t="e">
        <f t="shared" si="58"/>
        <v>#N/A</v>
      </c>
      <c r="U474">
        <f>C474/Navio!$J$4</f>
        <v>15.235489026352996</v>
      </c>
    </row>
    <row r="475" spans="1:21" x14ac:dyDescent="0.3">
      <c r="A475">
        <v>473</v>
      </c>
      <c r="B475" s="47">
        <v>727.12929498226606</v>
      </c>
      <c r="C475" s="46">
        <v>274.12971431124942</v>
      </c>
      <c r="D475" s="1">
        <v>14</v>
      </c>
      <c r="E475" s="1">
        <v>13</v>
      </c>
      <c r="F475" s="1">
        <v>10</v>
      </c>
      <c r="G475" s="1">
        <v>9</v>
      </c>
      <c r="H475" s="1" t="s">
        <v>50</v>
      </c>
      <c r="I475" s="1" t="s">
        <v>50</v>
      </c>
      <c r="J475" s="1" t="s">
        <v>50</v>
      </c>
      <c r="K475" s="1" t="s">
        <v>50</v>
      </c>
      <c r="L475">
        <f t="shared" si="54"/>
        <v>96.197414256198073</v>
      </c>
      <c r="M475">
        <f t="shared" si="53"/>
        <v>185.56448544286178</v>
      </c>
      <c r="N475">
        <f t="shared" si="55"/>
        <v>290.36739528320618</v>
      </c>
      <c r="O475">
        <f t="shared" si="56"/>
        <v>310</v>
      </c>
      <c r="P475" t="e">
        <f t="shared" si="57"/>
        <v>#N/A</v>
      </c>
      <c r="Q475" t="e">
        <f t="shared" si="58"/>
        <v>#N/A</v>
      </c>
      <c r="U475">
        <f>C475/Navio!$J$4</f>
        <v>14.80183321493417</v>
      </c>
    </row>
    <row r="476" spans="1:21" x14ac:dyDescent="0.3">
      <c r="A476">
        <v>474</v>
      </c>
      <c r="B476" s="47">
        <v>841.07930739996164</v>
      </c>
      <c r="C476" s="46">
        <v>273.42612283551341</v>
      </c>
      <c r="D476" s="1">
        <v>15</v>
      </c>
      <c r="E476" s="1">
        <v>13</v>
      </c>
      <c r="F476" s="1">
        <v>10</v>
      </c>
      <c r="G476" s="1">
        <v>9</v>
      </c>
      <c r="H476" s="1" t="s">
        <v>50</v>
      </c>
      <c r="I476" s="1" t="s">
        <v>50</v>
      </c>
      <c r="J476" s="1" t="s">
        <v>50</v>
      </c>
      <c r="K476" s="1" t="s">
        <v>50</v>
      </c>
      <c r="L476">
        <f t="shared" si="54"/>
        <v>210.14742667389368</v>
      </c>
      <c r="M476">
        <f t="shared" si="53"/>
        <v>185.56448544286178</v>
      </c>
      <c r="N476">
        <f t="shared" si="55"/>
        <v>290.36739528320618</v>
      </c>
      <c r="O476">
        <f t="shared" si="56"/>
        <v>310</v>
      </c>
      <c r="P476" t="e">
        <f t="shared" si="57"/>
        <v>#N/A</v>
      </c>
      <c r="Q476" t="e">
        <f t="shared" si="58"/>
        <v>#N/A</v>
      </c>
      <c r="U476">
        <f>C476/Navio!$J$4</f>
        <v>14.763842281694918</v>
      </c>
    </row>
    <row r="477" spans="1:21" x14ac:dyDescent="0.3">
      <c r="A477">
        <v>475</v>
      </c>
      <c r="B477" s="47">
        <v>688.58787586515962</v>
      </c>
      <c r="C477" s="46">
        <v>284.24542257309213</v>
      </c>
      <c r="D477" s="1">
        <v>16</v>
      </c>
      <c r="E477" s="1">
        <v>13</v>
      </c>
      <c r="F477" s="1">
        <v>10</v>
      </c>
      <c r="G477" s="1">
        <v>9</v>
      </c>
      <c r="H477" s="1" t="s">
        <v>50</v>
      </c>
      <c r="I477" s="1" t="s">
        <v>50</v>
      </c>
      <c r="J477" s="1" t="s">
        <v>50</v>
      </c>
      <c r="K477" s="1" t="s">
        <v>50</v>
      </c>
      <c r="L477">
        <f t="shared" si="54"/>
        <v>172.96798541727486</v>
      </c>
      <c r="M477">
        <f t="shared" si="53"/>
        <v>185.56448544286178</v>
      </c>
      <c r="N477">
        <f t="shared" si="55"/>
        <v>290.36739528320618</v>
      </c>
      <c r="O477">
        <f t="shared" si="56"/>
        <v>310</v>
      </c>
      <c r="P477" t="e">
        <f t="shared" si="57"/>
        <v>#N/A</v>
      </c>
      <c r="Q477" t="e">
        <f t="shared" si="58"/>
        <v>#N/A</v>
      </c>
      <c r="U477">
        <f>C477/Navio!$J$4</f>
        <v>15.348038236593084</v>
      </c>
    </row>
    <row r="478" spans="1:21" x14ac:dyDescent="0.3">
      <c r="A478">
        <v>476</v>
      </c>
      <c r="B478" s="47">
        <v>751.71223621329796</v>
      </c>
      <c r="C478" s="46">
        <v>278.29977092719218</v>
      </c>
      <c r="D478" s="1">
        <v>14</v>
      </c>
      <c r="E478" s="1">
        <v>15</v>
      </c>
      <c r="F478" s="1">
        <v>10</v>
      </c>
      <c r="G478" s="1">
        <v>9</v>
      </c>
      <c r="H478" s="1" t="s">
        <v>50</v>
      </c>
      <c r="I478" s="1" t="s">
        <v>50</v>
      </c>
      <c r="J478" s="1" t="s">
        <v>50</v>
      </c>
      <c r="K478" s="1" t="s">
        <v>50</v>
      </c>
      <c r="L478">
        <f t="shared" si="54"/>
        <v>96.197414256198073</v>
      </c>
      <c r="M478">
        <f t="shared" si="53"/>
        <v>210.14742667389368</v>
      </c>
      <c r="N478">
        <f t="shared" si="55"/>
        <v>290.36739528320618</v>
      </c>
      <c r="O478">
        <f t="shared" si="56"/>
        <v>310</v>
      </c>
      <c r="P478" t="e">
        <f t="shared" si="57"/>
        <v>#N/A</v>
      </c>
      <c r="Q478" t="e">
        <f t="shared" si="58"/>
        <v>#N/A</v>
      </c>
      <c r="U478">
        <f>C478/Navio!$J$4</f>
        <v>15.026998453518759</v>
      </c>
    </row>
    <row r="479" spans="1:21" x14ac:dyDescent="0.3">
      <c r="A479">
        <v>477</v>
      </c>
      <c r="B479" s="47">
        <v>599.22080467849582</v>
      </c>
      <c r="C479" s="46">
        <v>287.73962626015754</v>
      </c>
      <c r="D479" s="1">
        <v>14</v>
      </c>
      <c r="E479" s="1">
        <v>16</v>
      </c>
      <c r="F479" s="1">
        <v>10</v>
      </c>
      <c r="G479" s="1">
        <v>9</v>
      </c>
      <c r="H479" s="1" t="s">
        <v>50</v>
      </c>
      <c r="I479" s="1" t="s">
        <v>50</v>
      </c>
      <c r="J479" s="1" t="s">
        <v>50</v>
      </c>
      <c r="K479" s="1" t="s">
        <v>50</v>
      </c>
      <c r="L479">
        <f t="shared" si="54"/>
        <v>96.197414256198073</v>
      </c>
      <c r="M479">
        <f t="shared" si="53"/>
        <v>172.96798541727486</v>
      </c>
      <c r="N479">
        <f t="shared" si="55"/>
        <v>290.36739528320618</v>
      </c>
      <c r="O479">
        <f t="shared" si="56"/>
        <v>310</v>
      </c>
      <c r="P479" t="e">
        <f t="shared" si="57"/>
        <v>#N/A</v>
      </c>
      <c r="Q479" t="e">
        <f t="shared" si="58"/>
        <v>#N/A</v>
      </c>
      <c r="U479">
        <f>C479/Navio!$J$4</f>
        <v>15.536710304941815</v>
      </c>
    </row>
    <row r="480" spans="1:21" x14ac:dyDescent="0.3">
      <c r="A480">
        <v>478</v>
      </c>
      <c r="B480" s="47">
        <v>845.96048731574695</v>
      </c>
      <c r="C480" s="46">
        <v>289.93145768738623</v>
      </c>
      <c r="D480" s="1">
        <v>14</v>
      </c>
      <c r="E480" s="1">
        <v>17</v>
      </c>
      <c r="F480" s="1">
        <v>10</v>
      </c>
      <c r="G480" s="1">
        <v>9</v>
      </c>
      <c r="H480" s="1" t="s">
        <v>50</v>
      </c>
      <c r="I480" s="1" t="s">
        <v>50</v>
      </c>
      <c r="J480" s="1" t="s">
        <v>50</v>
      </c>
      <c r="K480" s="1" t="s">
        <v>50</v>
      </c>
      <c r="L480">
        <f t="shared" si="54"/>
        <v>96.197414256198073</v>
      </c>
      <c r="M480">
        <f t="shared" si="53"/>
        <v>304.39567777634272</v>
      </c>
      <c r="N480">
        <f t="shared" si="55"/>
        <v>290.36739528320618</v>
      </c>
      <c r="O480">
        <f t="shared" si="56"/>
        <v>310</v>
      </c>
      <c r="P480" t="e">
        <f t="shared" si="57"/>
        <v>#N/A</v>
      </c>
      <c r="Q480" t="e">
        <f t="shared" si="58"/>
        <v>#N/A</v>
      </c>
      <c r="U480">
        <f>C480/Navio!$J$4</f>
        <v>15.65505983630365</v>
      </c>
    </row>
    <row r="481" spans="1:21" x14ac:dyDescent="0.3">
      <c r="A481">
        <v>479</v>
      </c>
      <c r="B481" s="47">
        <v>713.17081709619151</v>
      </c>
      <c r="C481" s="46">
        <v>284.19671505813494</v>
      </c>
      <c r="D481" s="1">
        <v>15</v>
      </c>
      <c r="E481" s="1">
        <v>16</v>
      </c>
      <c r="F481" s="1">
        <v>10</v>
      </c>
      <c r="G481" s="1">
        <v>9</v>
      </c>
      <c r="H481" s="1" t="s">
        <v>50</v>
      </c>
      <c r="I481" s="1" t="s">
        <v>50</v>
      </c>
      <c r="J481" s="1" t="s">
        <v>50</v>
      </c>
      <c r="K481" s="1" t="s">
        <v>50</v>
      </c>
      <c r="L481">
        <f t="shared" si="54"/>
        <v>210.14742667389368</v>
      </c>
      <c r="M481">
        <f t="shared" si="53"/>
        <v>172.96798541727486</v>
      </c>
      <c r="N481">
        <f t="shared" si="55"/>
        <v>290.36739528320618</v>
      </c>
      <c r="O481">
        <f t="shared" si="56"/>
        <v>310</v>
      </c>
      <c r="P481" t="e">
        <f t="shared" si="57"/>
        <v>#N/A</v>
      </c>
      <c r="Q481" t="e">
        <f t="shared" si="58"/>
        <v>#N/A</v>
      </c>
      <c r="U481">
        <f>C481/Navio!$J$4</f>
        <v>15.345408238912892</v>
      </c>
    </row>
    <row r="482" spans="1:21" x14ac:dyDescent="0.3">
      <c r="A482">
        <v>480</v>
      </c>
      <c r="B482" s="47">
        <v>807.4190681986405</v>
      </c>
      <c r="C482" s="46">
        <v>288.47221014698482</v>
      </c>
      <c r="D482" s="1">
        <v>16</v>
      </c>
      <c r="E482" s="1">
        <v>17</v>
      </c>
      <c r="F482" s="1">
        <v>10</v>
      </c>
      <c r="G482" s="1">
        <v>9</v>
      </c>
      <c r="H482" s="1" t="s">
        <v>50</v>
      </c>
      <c r="I482" s="1" t="s">
        <v>50</v>
      </c>
      <c r="J482" s="1" t="s">
        <v>50</v>
      </c>
      <c r="K482" s="1" t="s">
        <v>50</v>
      </c>
      <c r="L482">
        <f t="shared" si="54"/>
        <v>172.96798541727486</v>
      </c>
      <c r="M482">
        <f t="shared" si="53"/>
        <v>304.39567777634272</v>
      </c>
      <c r="N482">
        <f t="shared" si="55"/>
        <v>290.36739528320618</v>
      </c>
      <c r="O482">
        <f t="shared" si="56"/>
        <v>310</v>
      </c>
      <c r="P482" t="e">
        <f t="shared" si="57"/>
        <v>#N/A</v>
      </c>
      <c r="Q482" t="e">
        <f t="shared" si="58"/>
        <v>#N/A</v>
      </c>
      <c r="U482">
        <f>C482/Navio!$J$4</f>
        <v>15.576266704495252</v>
      </c>
    </row>
    <row r="483" spans="1:21" x14ac:dyDescent="0.3">
      <c r="A483">
        <v>481</v>
      </c>
      <c r="B483" s="47">
        <v>646.91592243833918</v>
      </c>
      <c r="C483" s="46">
        <v>254.16032851812597</v>
      </c>
      <c r="D483" s="1">
        <v>12</v>
      </c>
      <c r="E483" s="1">
        <v>13</v>
      </c>
      <c r="F483" s="1">
        <v>11</v>
      </c>
      <c r="G483" s="1">
        <v>9</v>
      </c>
      <c r="H483" s="1" t="s">
        <v>50</v>
      </c>
      <c r="I483" s="1" t="s">
        <v>50</v>
      </c>
      <c r="J483" s="1" t="s">
        <v>50</v>
      </c>
      <c r="K483" s="1" t="s">
        <v>50</v>
      </c>
      <c r="L483">
        <f t="shared" si="54"/>
        <v>82.076561445310972</v>
      </c>
      <c r="M483">
        <f t="shared" si="53"/>
        <v>185.56448544286178</v>
      </c>
      <c r="N483">
        <f t="shared" si="55"/>
        <v>278.99258318037374</v>
      </c>
      <c r="O483">
        <f t="shared" si="56"/>
        <v>310</v>
      </c>
      <c r="P483" t="e">
        <f t="shared" si="57"/>
        <v>#N/A</v>
      </c>
      <c r="Q483" t="e">
        <f t="shared" si="58"/>
        <v>#N/A</v>
      </c>
      <c r="U483">
        <f>C483/Navio!$J$4</f>
        <v>13.723571711407848</v>
      </c>
    </row>
    <row r="484" spans="1:21" x14ac:dyDescent="0.3">
      <c r="A484">
        <v>482</v>
      </c>
      <c r="B484" s="47">
        <v>557.5488512516755</v>
      </c>
      <c r="C484" s="46">
        <v>268.98651032860369</v>
      </c>
      <c r="D484" s="1">
        <v>14</v>
      </c>
      <c r="E484" s="1">
        <v>12</v>
      </c>
      <c r="F484" s="1">
        <v>11</v>
      </c>
      <c r="G484" s="1">
        <v>9</v>
      </c>
      <c r="H484" s="1" t="s">
        <v>50</v>
      </c>
      <c r="I484" s="1" t="s">
        <v>50</v>
      </c>
      <c r="J484" s="1" t="s">
        <v>50</v>
      </c>
      <c r="K484" s="1" t="s">
        <v>50</v>
      </c>
      <c r="L484">
        <f t="shared" si="54"/>
        <v>96.197414256198073</v>
      </c>
      <c r="M484">
        <f t="shared" si="53"/>
        <v>82.076561445310972</v>
      </c>
      <c r="N484">
        <f t="shared" si="55"/>
        <v>278.99258318037374</v>
      </c>
      <c r="O484">
        <f t="shared" si="56"/>
        <v>310</v>
      </c>
      <c r="P484" t="e">
        <f t="shared" si="57"/>
        <v>#N/A</v>
      </c>
      <c r="Q484" t="e">
        <f t="shared" si="58"/>
        <v>#N/A</v>
      </c>
      <c r="U484">
        <f>C484/Navio!$J$4</f>
        <v>14.524122176812014</v>
      </c>
    </row>
    <row r="485" spans="1:21" x14ac:dyDescent="0.3">
      <c r="A485">
        <v>483</v>
      </c>
      <c r="B485" s="47">
        <v>671.49886366937108</v>
      </c>
      <c r="C485" s="46">
        <v>270.4575079130791</v>
      </c>
      <c r="D485" s="1">
        <v>12</v>
      </c>
      <c r="E485" s="1">
        <v>15</v>
      </c>
      <c r="F485" s="1">
        <v>11</v>
      </c>
      <c r="G485" s="1">
        <v>9</v>
      </c>
      <c r="H485" s="1" t="s">
        <v>50</v>
      </c>
      <c r="I485" s="1" t="s">
        <v>50</v>
      </c>
      <c r="J485" s="1" t="s">
        <v>50</v>
      </c>
      <c r="K485" s="1" t="s">
        <v>50</v>
      </c>
      <c r="L485">
        <f t="shared" si="54"/>
        <v>82.076561445310972</v>
      </c>
      <c r="M485">
        <f t="shared" si="53"/>
        <v>210.14742667389368</v>
      </c>
      <c r="N485">
        <f t="shared" si="55"/>
        <v>278.99258318037374</v>
      </c>
      <c r="O485">
        <f t="shared" si="56"/>
        <v>310</v>
      </c>
      <c r="P485" t="e">
        <f t="shared" si="57"/>
        <v>#N/A</v>
      </c>
      <c r="Q485" t="e">
        <f t="shared" si="58"/>
        <v>#N/A</v>
      </c>
      <c r="U485">
        <f>C485/Navio!$J$4</f>
        <v>14.603549760792401</v>
      </c>
    </row>
    <row r="486" spans="1:21" x14ac:dyDescent="0.3">
      <c r="A486">
        <v>484</v>
      </c>
      <c r="B486" s="47">
        <v>519.00743213456906</v>
      </c>
      <c r="C486" s="46">
        <v>281.83988205706248</v>
      </c>
      <c r="D486" s="1">
        <v>12</v>
      </c>
      <c r="E486" s="1">
        <v>16</v>
      </c>
      <c r="F486" s="1">
        <v>11</v>
      </c>
      <c r="G486" s="1">
        <v>9</v>
      </c>
      <c r="H486" s="1" t="s">
        <v>50</v>
      </c>
      <c r="I486" s="1" t="s">
        <v>50</v>
      </c>
      <c r="J486" s="1" t="s">
        <v>50</v>
      </c>
      <c r="K486" s="1" t="s">
        <v>50</v>
      </c>
      <c r="L486">
        <f t="shared" si="54"/>
        <v>82.076561445310972</v>
      </c>
      <c r="M486">
        <f t="shared" si="53"/>
        <v>172.96798541727486</v>
      </c>
      <c r="N486">
        <f t="shared" si="55"/>
        <v>278.99258318037374</v>
      </c>
      <c r="O486">
        <f t="shared" si="56"/>
        <v>310</v>
      </c>
      <c r="P486" t="e">
        <f t="shared" si="57"/>
        <v>#N/A</v>
      </c>
      <c r="Q486" t="e">
        <f t="shared" si="58"/>
        <v>#N/A</v>
      </c>
      <c r="U486">
        <f>C486/Navio!$J$4</f>
        <v>15.218149327616183</v>
      </c>
    </row>
    <row r="487" spans="1:21" x14ac:dyDescent="0.3">
      <c r="A487">
        <v>485</v>
      </c>
      <c r="B487" s="47">
        <v>765.74711477182018</v>
      </c>
      <c r="C487" s="46">
        <v>280.29526857784782</v>
      </c>
      <c r="D487" s="1">
        <v>12</v>
      </c>
      <c r="E487" s="1">
        <v>17</v>
      </c>
      <c r="F487" s="1">
        <v>11</v>
      </c>
      <c r="G487" s="1">
        <v>9</v>
      </c>
      <c r="H487" s="1" t="s">
        <v>50</v>
      </c>
      <c r="I487" s="1" t="s">
        <v>50</v>
      </c>
      <c r="J487" s="1" t="s">
        <v>50</v>
      </c>
      <c r="K487" s="1" t="s">
        <v>50</v>
      </c>
      <c r="L487">
        <f t="shared" si="54"/>
        <v>82.076561445310972</v>
      </c>
      <c r="M487">
        <f t="shared" si="53"/>
        <v>304.39567777634272</v>
      </c>
      <c r="N487">
        <f t="shared" si="55"/>
        <v>278.99258318037374</v>
      </c>
      <c r="O487">
        <f t="shared" si="56"/>
        <v>310</v>
      </c>
      <c r="P487" t="e">
        <f t="shared" si="57"/>
        <v>#N/A</v>
      </c>
      <c r="Q487" t="e">
        <f t="shared" si="58"/>
        <v>#N/A</v>
      </c>
      <c r="U487">
        <f>C487/Navio!$J$4</f>
        <v>15.134746799881027</v>
      </c>
    </row>
    <row r="488" spans="1:21" x14ac:dyDescent="0.3">
      <c r="A488">
        <v>486</v>
      </c>
      <c r="B488" s="47">
        <v>715.75448287943357</v>
      </c>
      <c r="C488" s="46">
        <v>271.93007798645374</v>
      </c>
      <c r="D488" s="1">
        <v>14</v>
      </c>
      <c r="E488" s="1">
        <v>13</v>
      </c>
      <c r="F488" s="1">
        <v>11</v>
      </c>
      <c r="G488" s="1">
        <v>9</v>
      </c>
      <c r="H488" s="1" t="s">
        <v>50</v>
      </c>
      <c r="I488" s="1" t="s">
        <v>50</v>
      </c>
      <c r="J488" s="1" t="s">
        <v>50</v>
      </c>
      <c r="K488" s="1" t="s">
        <v>50</v>
      </c>
      <c r="L488">
        <f t="shared" si="54"/>
        <v>96.197414256198073</v>
      </c>
      <c r="M488">
        <f t="shared" si="53"/>
        <v>185.56448544286178</v>
      </c>
      <c r="N488">
        <f t="shared" si="55"/>
        <v>278.99258318037374</v>
      </c>
      <c r="O488">
        <f t="shared" si="56"/>
        <v>310</v>
      </c>
      <c r="P488" t="e">
        <f t="shared" si="57"/>
        <v>#N/A</v>
      </c>
      <c r="Q488" t="e">
        <f t="shared" si="58"/>
        <v>#N/A</v>
      </c>
      <c r="U488">
        <f>C488/Navio!$J$4</f>
        <v>14.683062252454091</v>
      </c>
    </row>
    <row r="489" spans="1:21" x14ac:dyDescent="0.3">
      <c r="A489">
        <v>487</v>
      </c>
      <c r="B489" s="47">
        <v>829.70449529712914</v>
      </c>
      <c r="C489" s="46">
        <v>271.22648651071779</v>
      </c>
      <c r="D489" s="1">
        <v>15</v>
      </c>
      <c r="E489" s="1">
        <v>13</v>
      </c>
      <c r="F489" s="1">
        <v>11</v>
      </c>
      <c r="G489" s="1">
        <v>9</v>
      </c>
      <c r="H489" s="1" t="s">
        <v>50</v>
      </c>
      <c r="I489" s="1" t="s">
        <v>50</v>
      </c>
      <c r="J489" s="1" t="s">
        <v>50</v>
      </c>
      <c r="K489" s="1" t="s">
        <v>50</v>
      </c>
      <c r="L489">
        <f t="shared" si="54"/>
        <v>210.14742667389368</v>
      </c>
      <c r="M489">
        <f t="shared" si="53"/>
        <v>185.56448544286178</v>
      </c>
      <c r="N489">
        <f t="shared" si="55"/>
        <v>278.99258318037374</v>
      </c>
      <c r="O489">
        <f t="shared" si="56"/>
        <v>310</v>
      </c>
      <c r="P489" t="e">
        <f t="shared" si="57"/>
        <v>#N/A</v>
      </c>
      <c r="Q489" t="e">
        <f t="shared" si="58"/>
        <v>#N/A</v>
      </c>
      <c r="U489">
        <f>C489/Navio!$J$4</f>
        <v>14.645071319214843</v>
      </c>
    </row>
    <row r="490" spans="1:21" x14ac:dyDescent="0.3">
      <c r="A490">
        <v>488</v>
      </c>
      <c r="B490" s="47">
        <v>677.21306376232712</v>
      </c>
      <c r="C490" s="46">
        <v>282.04578624829651</v>
      </c>
      <c r="D490" s="1">
        <v>16</v>
      </c>
      <c r="E490" s="1">
        <v>13</v>
      </c>
      <c r="F490" s="1">
        <v>11</v>
      </c>
      <c r="G490" s="1">
        <v>9</v>
      </c>
      <c r="H490" s="1" t="s">
        <v>50</v>
      </c>
      <c r="I490" s="1" t="s">
        <v>50</v>
      </c>
      <c r="J490" s="1" t="s">
        <v>50</v>
      </c>
      <c r="K490" s="1" t="s">
        <v>50</v>
      </c>
      <c r="L490">
        <f t="shared" si="54"/>
        <v>172.96798541727486</v>
      </c>
      <c r="M490">
        <f t="shared" si="53"/>
        <v>185.56448544286178</v>
      </c>
      <c r="N490">
        <f t="shared" si="55"/>
        <v>278.99258318037374</v>
      </c>
      <c r="O490">
        <f t="shared" si="56"/>
        <v>310</v>
      </c>
      <c r="P490" t="e">
        <f t="shared" si="57"/>
        <v>#N/A</v>
      </c>
      <c r="Q490" t="e">
        <f t="shared" si="58"/>
        <v>#N/A</v>
      </c>
      <c r="U490">
        <f>C490/Navio!$J$4</f>
        <v>15.229267274113006</v>
      </c>
    </row>
    <row r="491" spans="1:21" x14ac:dyDescent="0.3">
      <c r="A491">
        <v>489</v>
      </c>
      <c r="B491" s="47">
        <v>740.33742411046546</v>
      </c>
      <c r="C491" s="46">
        <v>275.8707369819266</v>
      </c>
      <c r="D491" s="1">
        <v>14</v>
      </c>
      <c r="E491" s="1">
        <v>15</v>
      </c>
      <c r="F491" s="1">
        <v>11</v>
      </c>
      <c r="G491" s="1">
        <v>9</v>
      </c>
      <c r="H491" s="1" t="s">
        <v>50</v>
      </c>
      <c r="I491" s="1" t="s">
        <v>50</v>
      </c>
      <c r="J491" s="1" t="s">
        <v>50</v>
      </c>
      <c r="K491" s="1" t="s">
        <v>50</v>
      </c>
      <c r="L491">
        <f t="shared" si="54"/>
        <v>96.197414256198073</v>
      </c>
      <c r="M491">
        <f t="shared" si="53"/>
        <v>210.14742667389368</v>
      </c>
      <c r="N491">
        <f t="shared" si="55"/>
        <v>278.99258318037374</v>
      </c>
      <c r="O491">
        <f t="shared" si="56"/>
        <v>310</v>
      </c>
      <c r="P491" t="e">
        <f t="shared" si="57"/>
        <v>#N/A</v>
      </c>
      <c r="Q491" t="e">
        <f t="shared" si="58"/>
        <v>#N/A</v>
      </c>
      <c r="U491">
        <f>C491/Navio!$J$4</f>
        <v>14.895840999750678</v>
      </c>
    </row>
    <row r="492" spans="1:21" x14ac:dyDescent="0.3">
      <c r="A492">
        <v>490</v>
      </c>
      <c r="B492" s="47">
        <v>587.84599257566344</v>
      </c>
      <c r="C492" s="46">
        <v>285.38357644443266</v>
      </c>
      <c r="D492" s="1">
        <v>14</v>
      </c>
      <c r="E492" s="1">
        <v>16</v>
      </c>
      <c r="F492" s="1">
        <v>11</v>
      </c>
      <c r="G492" s="1">
        <v>9</v>
      </c>
      <c r="H492" s="1" t="s">
        <v>50</v>
      </c>
      <c r="I492" s="1" t="s">
        <v>50</v>
      </c>
      <c r="J492" s="1" t="s">
        <v>50</v>
      </c>
      <c r="K492" s="1" t="s">
        <v>50</v>
      </c>
      <c r="L492">
        <f t="shared" si="54"/>
        <v>96.197414256198073</v>
      </c>
      <c r="M492">
        <f t="shared" si="53"/>
        <v>172.96798541727486</v>
      </c>
      <c r="N492">
        <f t="shared" si="55"/>
        <v>278.99258318037374</v>
      </c>
      <c r="O492">
        <f t="shared" si="56"/>
        <v>310</v>
      </c>
      <c r="P492" t="e">
        <f t="shared" si="57"/>
        <v>#N/A</v>
      </c>
      <c r="Q492" t="e">
        <f t="shared" si="58"/>
        <v>#N/A</v>
      </c>
      <c r="U492">
        <f>C492/Navio!$J$4</f>
        <v>15.409493682307319</v>
      </c>
    </row>
    <row r="493" spans="1:21" x14ac:dyDescent="0.3">
      <c r="A493">
        <v>491</v>
      </c>
      <c r="B493" s="47">
        <v>834.58567521291457</v>
      </c>
      <c r="C493" s="46">
        <v>288.06571326500091</v>
      </c>
      <c r="D493" s="1">
        <v>14</v>
      </c>
      <c r="E493" s="1">
        <v>17</v>
      </c>
      <c r="F493" s="1">
        <v>11</v>
      </c>
      <c r="G493" s="1">
        <v>9</v>
      </c>
      <c r="H493" s="1" t="s">
        <v>50</v>
      </c>
      <c r="I493" s="1" t="s">
        <v>50</v>
      </c>
      <c r="J493" s="1" t="s">
        <v>50</v>
      </c>
      <c r="K493" s="1" t="s">
        <v>50</v>
      </c>
      <c r="L493">
        <f t="shared" si="54"/>
        <v>96.197414256198073</v>
      </c>
      <c r="M493">
        <f t="shared" si="53"/>
        <v>304.39567777634272</v>
      </c>
      <c r="N493">
        <f t="shared" si="55"/>
        <v>278.99258318037374</v>
      </c>
      <c r="O493">
        <f t="shared" si="56"/>
        <v>310</v>
      </c>
      <c r="P493" t="e">
        <f t="shared" si="57"/>
        <v>#N/A</v>
      </c>
      <c r="Q493" t="e">
        <f t="shared" si="58"/>
        <v>#N/A</v>
      </c>
      <c r="U493">
        <f>C493/Navio!$J$4</f>
        <v>15.554317609831676</v>
      </c>
    </row>
    <row r="494" spans="1:21" x14ac:dyDescent="0.3">
      <c r="A494">
        <v>492</v>
      </c>
      <c r="B494" s="47">
        <v>701.79600499335902</v>
      </c>
      <c r="C494" s="46">
        <v>281.84066524241007</v>
      </c>
      <c r="D494" s="1">
        <v>15</v>
      </c>
      <c r="E494" s="1">
        <v>16</v>
      </c>
      <c r="F494" s="1">
        <v>11</v>
      </c>
      <c r="G494" s="1">
        <v>9</v>
      </c>
      <c r="H494" s="1" t="s">
        <v>50</v>
      </c>
      <c r="I494" s="1" t="s">
        <v>50</v>
      </c>
      <c r="J494" s="1" t="s">
        <v>50</v>
      </c>
      <c r="K494" s="1" t="s">
        <v>50</v>
      </c>
      <c r="L494">
        <f t="shared" si="54"/>
        <v>210.14742667389368</v>
      </c>
      <c r="M494">
        <f t="shared" si="53"/>
        <v>172.96798541727486</v>
      </c>
      <c r="N494">
        <f t="shared" si="55"/>
        <v>278.99258318037374</v>
      </c>
      <c r="O494">
        <f t="shared" si="56"/>
        <v>310</v>
      </c>
      <c r="P494" t="e">
        <f t="shared" si="57"/>
        <v>#N/A</v>
      </c>
      <c r="Q494" t="e">
        <f t="shared" si="58"/>
        <v>#N/A</v>
      </c>
      <c r="U494">
        <f>C494/Navio!$J$4</f>
        <v>15.218191616278396</v>
      </c>
    </row>
    <row r="495" spans="1:21" x14ac:dyDescent="0.3">
      <c r="A495">
        <v>493</v>
      </c>
      <c r="B495" s="47">
        <v>796.04425609580812</v>
      </c>
      <c r="C495" s="46">
        <v>286.60646572459956</v>
      </c>
      <c r="D495" s="1">
        <v>16</v>
      </c>
      <c r="E495" s="1">
        <v>17</v>
      </c>
      <c r="F495" s="1">
        <v>11</v>
      </c>
      <c r="G495" s="1">
        <v>9</v>
      </c>
      <c r="H495" s="1" t="s">
        <v>50</v>
      </c>
      <c r="I495" s="1" t="s">
        <v>50</v>
      </c>
      <c r="J495" s="1" t="s">
        <v>50</v>
      </c>
      <c r="K495" s="1" t="s">
        <v>50</v>
      </c>
      <c r="L495">
        <f t="shared" si="54"/>
        <v>172.96798541727486</v>
      </c>
      <c r="M495">
        <f t="shared" si="53"/>
        <v>304.39567777634272</v>
      </c>
      <c r="N495">
        <f t="shared" si="55"/>
        <v>278.99258318037374</v>
      </c>
      <c r="O495">
        <f t="shared" si="56"/>
        <v>310</v>
      </c>
      <c r="P495" t="e">
        <f t="shared" si="57"/>
        <v>#N/A</v>
      </c>
      <c r="Q495" t="e">
        <f t="shared" si="58"/>
        <v>#N/A</v>
      </c>
      <c r="U495">
        <f>C495/Navio!$J$4</f>
        <v>15.475524478023283</v>
      </c>
    </row>
    <row r="496" spans="1:21" x14ac:dyDescent="0.3">
      <c r="A496">
        <v>494</v>
      </c>
      <c r="B496" s="47">
        <v>464.12075351416354</v>
      </c>
      <c r="C496" s="46">
        <v>274.85336622816351</v>
      </c>
      <c r="D496" s="1">
        <v>12</v>
      </c>
      <c r="E496" s="1">
        <v>14</v>
      </c>
      <c r="F496" s="1">
        <v>13</v>
      </c>
      <c r="G496" s="1">
        <v>9</v>
      </c>
      <c r="H496" s="1" t="s">
        <v>50</v>
      </c>
      <c r="I496" s="1" t="s">
        <v>50</v>
      </c>
      <c r="J496" s="1" t="s">
        <v>50</v>
      </c>
      <c r="K496" s="1" t="s">
        <v>50</v>
      </c>
      <c r="L496">
        <f t="shared" si="54"/>
        <v>82.076561445310972</v>
      </c>
      <c r="M496">
        <f t="shared" si="53"/>
        <v>96.197414256198073</v>
      </c>
      <c r="N496">
        <f t="shared" si="55"/>
        <v>185.56448544286178</v>
      </c>
      <c r="O496">
        <f t="shared" si="56"/>
        <v>310</v>
      </c>
      <c r="P496" t="e">
        <f t="shared" si="57"/>
        <v>#N/A</v>
      </c>
      <c r="Q496" t="e">
        <f t="shared" si="58"/>
        <v>#N/A</v>
      </c>
      <c r="U496">
        <f>C496/Navio!$J$4</f>
        <v>14.840907326278657</v>
      </c>
    </row>
    <row r="497" spans="1:21" x14ac:dyDescent="0.3">
      <c r="A497">
        <v>495</v>
      </c>
      <c r="B497" s="47">
        <v>578.07076593185911</v>
      </c>
      <c r="C497" s="46">
        <v>271.09636264342578</v>
      </c>
      <c r="D497" s="1">
        <v>12</v>
      </c>
      <c r="E497" s="1">
        <v>15</v>
      </c>
      <c r="F497" s="1">
        <v>13</v>
      </c>
      <c r="G497" s="1">
        <v>9</v>
      </c>
      <c r="H497" s="1" t="s">
        <v>50</v>
      </c>
      <c r="I497" s="1" t="s">
        <v>50</v>
      </c>
      <c r="J497" s="1" t="s">
        <v>50</v>
      </c>
      <c r="K497" s="1" t="s">
        <v>50</v>
      </c>
      <c r="L497">
        <f t="shared" si="54"/>
        <v>82.076561445310972</v>
      </c>
      <c r="M497">
        <f t="shared" si="53"/>
        <v>210.14742667389368</v>
      </c>
      <c r="N497">
        <f t="shared" si="55"/>
        <v>185.56448544286178</v>
      </c>
      <c r="O497">
        <f t="shared" si="56"/>
        <v>310</v>
      </c>
      <c r="P497" t="e">
        <f t="shared" si="57"/>
        <v>#N/A</v>
      </c>
      <c r="Q497" t="e">
        <f t="shared" si="58"/>
        <v>#N/A</v>
      </c>
      <c r="U497">
        <f>C497/Navio!$J$4</f>
        <v>14.63804518640112</v>
      </c>
    </row>
    <row r="498" spans="1:21" x14ac:dyDescent="0.3">
      <c r="A498">
        <v>496</v>
      </c>
      <c r="B498" s="47">
        <v>425.57933439705704</v>
      </c>
      <c r="C498" s="46">
        <v>281.91953467771043</v>
      </c>
      <c r="D498" s="1">
        <v>12</v>
      </c>
      <c r="E498" s="1">
        <v>16</v>
      </c>
      <c r="F498" s="1">
        <v>13</v>
      </c>
      <c r="G498" s="1">
        <v>9</v>
      </c>
      <c r="H498" s="1" t="s">
        <v>50</v>
      </c>
      <c r="I498" s="1" t="s">
        <v>50</v>
      </c>
      <c r="J498" s="1" t="s">
        <v>50</v>
      </c>
      <c r="K498" s="1" t="s">
        <v>50</v>
      </c>
      <c r="L498">
        <f t="shared" si="54"/>
        <v>82.076561445310972</v>
      </c>
      <c r="M498">
        <f t="shared" si="53"/>
        <v>172.96798541727486</v>
      </c>
      <c r="N498">
        <f t="shared" si="55"/>
        <v>185.56448544286178</v>
      </c>
      <c r="O498">
        <f t="shared" si="56"/>
        <v>310</v>
      </c>
      <c r="P498" t="e">
        <f t="shared" si="57"/>
        <v>#N/A</v>
      </c>
      <c r="Q498" t="e">
        <f t="shared" si="58"/>
        <v>#N/A</v>
      </c>
      <c r="U498">
        <f>C498/Navio!$J$4</f>
        <v>15.222450228775058</v>
      </c>
    </row>
    <row r="499" spans="1:21" x14ac:dyDescent="0.3">
      <c r="A499">
        <v>497</v>
      </c>
      <c r="B499" s="47">
        <v>672.31901703430822</v>
      </c>
      <c r="C499" s="46">
        <v>280.25183591041537</v>
      </c>
      <c r="D499" s="1">
        <v>12</v>
      </c>
      <c r="E499" s="1">
        <v>17</v>
      </c>
      <c r="F499" s="1">
        <v>13</v>
      </c>
      <c r="G499" s="1">
        <v>9</v>
      </c>
      <c r="H499" s="1" t="s">
        <v>50</v>
      </c>
      <c r="I499" s="1" t="s">
        <v>50</v>
      </c>
      <c r="J499" s="1" t="s">
        <v>50</v>
      </c>
      <c r="K499" s="1" t="s">
        <v>50</v>
      </c>
      <c r="L499">
        <f t="shared" si="54"/>
        <v>82.076561445310972</v>
      </c>
      <c r="M499">
        <f t="shared" si="53"/>
        <v>304.39567777634272</v>
      </c>
      <c r="N499">
        <f t="shared" si="55"/>
        <v>185.56448544286178</v>
      </c>
      <c r="O499">
        <f t="shared" si="56"/>
        <v>310</v>
      </c>
      <c r="P499" t="e">
        <f t="shared" si="57"/>
        <v>#N/A</v>
      </c>
      <c r="Q499" t="e">
        <f t="shared" si="58"/>
        <v>#N/A</v>
      </c>
      <c r="U499">
        <f>C499/Navio!$J$4</f>
        <v>15.132401621427716</v>
      </c>
    </row>
    <row r="500" spans="1:21" x14ac:dyDescent="0.3">
      <c r="A500">
        <v>498</v>
      </c>
      <c r="B500" s="47">
        <v>488.70369474519543</v>
      </c>
      <c r="C500" s="46">
        <v>276.4514573288111</v>
      </c>
      <c r="D500" s="1">
        <v>14</v>
      </c>
      <c r="E500" s="1">
        <v>15</v>
      </c>
      <c r="F500" s="1">
        <v>12</v>
      </c>
      <c r="G500" s="1">
        <v>9</v>
      </c>
      <c r="H500" s="1" t="s">
        <v>50</v>
      </c>
      <c r="I500" s="1" t="s">
        <v>50</v>
      </c>
      <c r="J500" s="1" t="s">
        <v>50</v>
      </c>
      <c r="K500" s="1" t="s">
        <v>50</v>
      </c>
      <c r="L500">
        <f t="shared" si="54"/>
        <v>96.197414256198073</v>
      </c>
      <c r="M500">
        <f t="shared" si="53"/>
        <v>210.14742667389368</v>
      </c>
      <c r="N500">
        <f t="shared" si="55"/>
        <v>82.076561445310972</v>
      </c>
      <c r="O500">
        <f t="shared" si="56"/>
        <v>310</v>
      </c>
      <c r="P500" t="e">
        <f t="shared" si="57"/>
        <v>#N/A</v>
      </c>
      <c r="Q500" t="e">
        <f t="shared" si="58"/>
        <v>#N/A</v>
      </c>
      <c r="U500">
        <f>C500/Navio!$J$4</f>
        <v>14.927197417061002</v>
      </c>
    </row>
    <row r="501" spans="1:21" x14ac:dyDescent="0.3">
      <c r="A501">
        <v>499</v>
      </c>
      <c r="B501" s="47">
        <v>336.21226321039336</v>
      </c>
      <c r="C501" s="46">
        <v>286.93017175612476</v>
      </c>
      <c r="D501" s="1">
        <v>14</v>
      </c>
      <c r="E501" s="1">
        <v>16</v>
      </c>
      <c r="F501" s="1">
        <v>12</v>
      </c>
      <c r="G501" s="1">
        <v>9</v>
      </c>
      <c r="H501" s="1" t="s">
        <v>50</v>
      </c>
      <c r="I501" s="1" t="s">
        <v>50</v>
      </c>
      <c r="J501" s="1" t="s">
        <v>50</v>
      </c>
      <c r="K501" s="1" t="s">
        <v>50</v>
      </c>
      <c r="L501">
        <f t="shared" si="54"/>
        <v>96.197414256198073</v>
      </c>
      <c r="M501">
        <f t="shared" si="53"/>
        <v>172.96798541727486</v>
      </c>
      <c r="N501">
        <f t="shared" si="55"/>
        <v>82.076561445310972</v>
      </c>
      <c r="O501">
        <f t="shared" si="56"/>
        <v>310</v>
      </c>
      <c r="P501" t="e">
        <f t="shared" si="57"/>
        <v>#N/A</v>
      </c>
      <c r="Q501" t="e">
        <f t="shared" si="58"/>
        <v>#N/A</v>
      </c>
      <c r="U501">
        <f>C501/Navio!$J$4</f>
        <v>15.493003220527877</v>
      </c>
    </row>
    <row r="502" spans="1:21" x14ac:dyDescent="0.3">
      <c r="A502">
        <v>500</v>
      </c>
      <c r="B502" s="47">
        <v>582.95194584764442</v>
      </c>
      <c r="C502" s="46">
        <v>291.06760813657212</v>
      </c>
      <c r="D502" s="1">
        <v>12</v>
      </c>
      <c r="E502" s="1">
        <v>14</v>
      </c>
      <c r="F502" s="1">
        <v>17</v>
      </c>
      <c r="G502" s="1">
        <v>9</v>
      </c>
      <c r="H502" s="1" t="s">
        <v>50</v>
      </c>
      <c r="I502" s="1" t="s">
        <v>50</v>
      </c>
      <c r="J502" s="1" t="s">
        <v>50</v>
      </c>
      <c r="K502" s="1" t="s">
        <v>50</v>
      </c>
      <c r="L502">
        <f t="shared" si="54"/>
        <v>82.076561445310972</v>
      </c>
      <c r="M502">
        <f t="shared" si="53"/>
        <v>96.197414256198073</v>
      </c>
      <c r="N502">
        <f t="shared" si="55"/>
        <v>304.39567777634272</v>
      </c>
      <c r="O502">
        <f t="shared" si="56"/>
        <v>310</v>
      </c>
      <c r="P502" t="e">
        <f t="shared" si="57"/>
        <v>#N/A</v>
      </c>
      <c r="Q502" t="e">
        <f t="shared" si="58"/>
        <v>#N/A</v>
      </c>
      <c r="U502">
        <f>C502/Navio!$J$4</f>
        <v>15.716407105782171</v>
      </c>
    </row>
    <row r="503" spans="1:21" x14ac:dyDescent="0.3">
      <c r="A503">
        <v>501</v>
      </c>
      <c r="B503" s="47">
        <v>450.16227562808893</v>
      </c>
      <c r="C503" s="46">
        <v>281.15516890962056</v>
      </c>
      <c r="D503" s="1">
        <v>12</v>
      </c>
      <c r="E503" s="1">
        <v>15</v>
      </c>
      <c r="F503" s="1">
        <v>16</v>
      </c>
      <c r="G503" s="1">
        <v>9</v>
      </c>
      <c r="H503" s="1" t="s">
        <v>50</v>
      </c>
      <c r="I503" s="1" t="s">
        <v>50</v>
      </c>
      <c r="J503" s="1" t="s">
        <v>50</v>
      </c>
      <c r="K503" s="1" t="s">
        <v>50</v>
      </c>
      <c r="L503">
        <f t="shared" si="54"/>
        <v>82.076561445310972</v>
      </c>
      <c r="M503">
        <f t="shared" si="53"/>
        <v>210.14742667389368</v>
      </c>
      <c r="N503">
        <f t="shared" si="55"/>
        <v>172.96798541727486</v>
      </c>
      <c r="O503">
        <f t="shared" si="56"/>
        <v>310</v>
      </c>
      <c r="P503" t="e">
        <f t="shared" si="57"/>
        <v>#N/A</v>
      </c>
      <c r="Q503" t="e">
        <f t="shared" si="58"/>
        <v>#N/A</v>
      </c>
      <c r="U503">
        <f>C503/Navio!$J$4</f>
        <v>15.181177743437605</v>
      </c>
    </row>
    <row r="504" spans="1:21" x14ac:dyDescent="0.3">
      <c r="A504">
        <v>502</v>
      </c>
      <c r="B504" s="47">
        <v>696.90195826534</v>
      </c>
      <c r="C504" s="46">
        <v>282.63465733086582</v>
      </c>
      <c r="D504" s="1">
        <v>12</v>
      </c>
      <c r="E504" s="1">
        <v>15</v>
      </c>
      <c r="F504" s="1">
        <v>17</v>
      </c>
      <c r="G504" s="1">
        <v>9</v>
      </c>
      <c r="H504" s="1" t="s">
        <v>50</v>
      </c>
      <c r="I504" s="1" t="s">
        <v>50</v>
      </c>
      <c r="J504" s="1" t="s">
        <v>50</v>
      </c>
      <c r="K504" s="1" t="s">
        <v>50</v>
      </c>
      <c r="L504">
        <f t="shared" si="54"/>
        <v>82.076561445310972</v>
      </c>
      <c r="M504">
        <f t="shared" si="53"/>
        <v>210.14742667389368</v>
      </c>
      <c r="N504">
        <f t="shared" si="55"/>
        <v>304.39567777634272</v>
      </c>
      <c r="O504">
        <f t="shared" si="56"/>
        <v>310</v>
      </c>
      <c r="P504" t="e">
        <f t="shared" si="57"/>
        <v>#N/A</v>
      </c>
      <c r="Q504" t="e">
        <f t="shared" si="58"/>
        <v>#N/A</v>
      </c>
      <c r="U504">
        <f>C504/Navio!$J$4</f>
        <v>15.261063796322167</v>
      </c>
    </row>
    <row r="505" spans="1:21" x14ac:dyDescent="0.3">
      <c r="A505">
        <v>503</v>
      </c>
      <c r="B505" s="47">
        <v>544.41052673053798</v>
      </c>
      <c r="C505" s="46">
        <v>286.55882078387498</v>
      </c>
      <c r="D505" s="1">
        <v>12</v>
      </c>
      <c r="E505" s="1">
        <v>16</v>
      </c>
      <c r="F505" s="1">
        <v>17</v>
      </c>
      <c r="G505" s="1">
        <v>9</v>
      </c>
      <c r="H505" s="1" t="s">
        <v>50</v>
      </c>
      <c r="I505" s="1" t="s">
        <v>50</v>
      </c>
      <c r="J505" s="1" t="s">
        <v>50</v>
      </c>
      <c r="K505" s="1" t="s">
        <v>50</v>
      </c>
      <c r="L505">
        <f t="shared" si="54"/>
        <v>82.076561445310972</v>
      </c>
      <c r="M505">
        <f t="shared" si="53"/>
        <v>172.96798541727486</v>
      </c>
      <c r="N505">
        <f t="shared" si="55"/>
        <v>304.39567777634272</v>
      </c>
      <c r="O505">
        <f t="shared" si="56"/>
        <v>310</v>
      </c>
      <c r="P505" t="e">
        <f t="shared" si="57"/>
        <v>#N/A</v>
      </c>
      <c r="Q505" t="e">
        <f t="shared" si="58"/>
        <v>#N/A</v>
      </c>
      <c r="U505">
        <f>C505/Navio!$J$4</f>
        <v>15.472951854811265</v>
      </c>
    </row>
    <row r="506" spans="1:21" x14ac:dyDescent="0.3">
      <c r="A506">
        <v>504</v>
      </c>
      <c r="B506" s="47">
        <v>646.9093263729535</v>
      </c>
      <c r="C506" s="46">
        <v>276.50959171227328</v>
      </c>
      <c r="D506" s="1">
        <v>14</v>
      </c>
      <c r="E506" s="1">
        <v>15</v>
      </c>
      <c r="F506" s="1">
        <v>13</v>
      </c>
      <c r="G506" s="1">
        <v>9</v>
      </c>
      <c r="H506" s="1" t="s">
        <v>50</v>
      </c>
      <c r="I506" s="1" t="s">
        <v>50</v>
      </c>
      <c r="J506" s="1" t="s">
        <v>50</v>
      </c>
      <c r="K506" s="1" t="s">
        <v>50</v>
      </c>
      <c r="L506">
        <f t="shared" si="54"/>
        <v>96.197414256198073</v>
      </c>
      <c r="M506">
        <f t="shared" si="53"/>
        <v>210.14742667389368</v>
      </c>
      <c r="N506">
        <f t="shared" si="55"/>
        <v>185.56448544286178</v>
      </c>
      <c r="O506">
        <f t="shared" si="56"/>
        <v>310</v>
      </c>
      <c r="P506" t="e">
        <f t="shared" si="57"/>
        <v>#N/A</v>
      </c>
      <c r="Q506" t="e">
        <f t="shared" si="58"/>
        <v>#N/A</v>
      </c>
      <c r="U506">
        <f>C506/Navio!$J$4</f>
        <v>14.9303364253594</v>
      </c>
    </row>
    <row r="507" spans="1:21" x14ac:dyDescent="0.3">
      <c r="A507">
        <v>505</v>
      </c>
      <c r="B507" s="47">
        <v>494.41789483815148</v>
      </c>
      <c r="C507" s="46">
        <v>285.46322906508067</v>
      </c>
      <c r="D507" s="1">
        <v>14</v>
      </c>
      <c r="E507" s="1">
        <v>16</v>
      </c>
      <c r="F507" s="1">
        <v>13</v>
      </c>
      <c r="G507" s="1">
        <v>9</v>
      </c>
      <c r="H507" s="1" t="s">
        <v>50</v>
      </c>
      <c r="I507" s="1" t="s">
        <v>50</v>
      </c>
      <c r="J507" s="1" t="s">
        <v>50</v>
      </c>
      <c r="K507" s="1" t="s">
        <v>50</v>
      </c>
      <c r="L507">
        <f t="shared" si="54"/>
        <v>96.197414256198073</v>
      </c>
      <c r="M507">
        <f t="shared" si="53"/>
        <v>172.96798541727486</v>
      </c>
      <c r="N507">
        <f t="shared" si="55"/>
        <v>185.56448544286178</v>
      </c>
      <c r="O507">
        <f t="shared" si="56"/>
        <v>310</v>
      </c>
      <c r="P507" t="e">
        <f t="shared" si="57"/>
        <v>#N/A</v>
      </c>
      <c r="Q507" t="e">
        <f t="shared" si="58"/>
        <v>#N/A</v>
      </c>
      <c r="U507">
        <f>C507/Navio!$J$4</f>
        <v>15.413794583466197</v>
      </c>
    </row>
    <row r="508" spans="1:21" x14ac:dyDescent="0.3">
      <c r="A508">
        <v>506</v>
      </c>
      <c r="B508" s="47">
        <v>741.1575774754026</v>
      </c>
      <c r="C508" s="46">
        <v>288.02228059756851</v>
      </c>
      <c r="D508" s="1">
        <v>14</v>
      </c>
      <c r="E508" s="1">
        <v>17</v>
      </c>
      <c r="F508" s="1">
        <v>13</v>
      </c>
      <c r="G508" s="1">
        <v>9</v>
      </c>
      <c r="H508" s="1" t="s">
        <v>50</v>
      </c>
      <c r="I508" s="1" t="s">
        <v>50</v>
      </c>
      <c r="J508" s="1" t="s">
        <v>50</v>
      </c>
      <c r="K508" s="1" t="s">
        <v>50</v>
      </c>
      <c r="L508">
        <f t="shared" si="54"/>
        <v>96.197414256198073</v>
      </c>
      <c r="M508">
        <f t="shared" si="53"/>
        <v>304.39567777634272</v>
      </c>
      <c r="N508">
        <f t="shared" si="55"/>
        <v>185.56448544286178</v>
      </c>
      <c r="O508">
        <f t="shared" si="56"/>
        <v>310</v>
      </c>
      <c r="P508" t="e">
        <f t="shared" si="57"/>
        <v>#N/A</v>
      </c>
      <c r="Q508" t="e">
        <f t="shared" si="58"/>
        <v>#N/A</v>
      </c>
      <c r="U508">
        <f>C508/Navio!$J$4</f>
        <v>15.551972431378369</v>
      </c>
    </row>
    <row r="509" spans="1:21" x14ac:dyDescent="0.3">
      <c r="A509">
        <v>507</v>
      </c>
      <c r="B509" s="47">
        <v>608.36790725584706</v>
      </c>
      <c r="C509" s="46">
        <v>281.92031786305802</v>
      </c>
      <c r="D509" s="1">
        <v>15</v>
      </c>
      <c r="E509" s="1">
        <v>16</v>
      </c>
      <c r="F509" s="1">
        <v>13</v>
      </c>
      <c r="G509" s="1">
        <v>9</v>
      </c>
      <c r="H509" s="1" t="s">
        <v>50</v>
      </c>
      <c r="I509" s="1" t="s">
        <v>50</v>
      </c>
      <c r="J509" s="1" t="s">
        <v>50</v>
      </c>
      <c r="K509" s="1" t="s">
        <v>50</v>
      </c>
      <c r="L509">
        <f t="shared" si="54"/>
        <v>210.14742667389368</v>
      </c>
      <c r="M509">
        <f t="shared" si="53"/>
        <v>172.96798541727486</v>
      </c>
      <c r="N509">
        <f t="shared" si="55"/>
        <v>185.56448544286178</v>
      </c>
      <c r="O509">
        <f t="shared" si="56"/>
        <v>310</v>
      </c>
      <c r="P509" t="e">
        <f t="shared" si="57"/>
        <v>#N/A</v>
      </c>
      <c r="Q509" t="e">
        <f t="shared" si="58"/>
        <v>#N/A</v>
      </c>
      <c r="U509">
        <f>C509/Navio!$J$4</f>
        <v>15.222492517437272</v>
      </c>
    </row>
    <row r="510" spans="1:21" x14ac:dyDescent="0.3">
      <c r="A510">
        <v>508</v>
      </c>
      <c r="B510" s="47">
        <v>855.10758989309818</v>
      </c>
      <c r="C510" s="46">
        <v>282.64274190086394</v>
      </c>
      <c r="D510" s="1">
        <v>15</v>
      </c>
      <c r="E510" s="1">
        <v>17</v>
      </c>
      <c r="F510" s="1">
        <v>13</v>
      </c>
      <c r="G510" s="1">
        <v>9</v>
      </c>
      <c r="H510" s="1" t="s">
        <v>50</v>
      </c>
      <c r="I510" s="1" t="s">
        <v>50</v>
      </c>
      <c r="J510" s="1" t="s">
        <v>50</v>
      </c>
      <c r="K510" s="1" t="s">
        <v>50</v>
      </c>
      <c r="L510">
        <f t="shared" si="54"/>
        <v>210.14742667389368</v>
      </c>
      <c r="M510">
        <f t="shared" si="53"/>
        <v>304.39567777634272</v>
      </c>
      <c r="N510">
        <f t="shared" si="55"/>
        <v>185.56448544286178</v>
      </c>
      <c r="O510">
        <f t="shared" si="56"/>
        <v>310</v>
      </c>
      <c r="P510" t="e">
        <f t="shared" si="57"/>
        <v>#N/A</v>
      </c>
      <c r="Q510" t="e">
        <f t="shared" si="58"/>
        <v>#N/A</v>
      </c>
      <c r="U510">
        <f>C510/Navio!$J$4</f>
        <v>15.261500328556652</v>
      </c>
    </row>
    <row r="511" spans="1:21" x14ac:dyDescent="0.3">
      <c r="A511">
        <v>509</v>
      </c>
      <c r="B511" s="47">
        <v>702.61615835829616</v>
      </c>
      <c r="C511" s="46">
        <v>286.5630330571671</v>
      </c>
      <c r="D511" s="1">
        <v>16</v>
      </c>
      <c r="E511" s="1">
        <v>17</v>
      </c>
      <c r="F511" s="1">
        <v>13</v>
      </c>
      <c r="G511" s="1">
        <v>9</v>
      </c>
      <c r="H511" s="1" t="s">
        <v>50</v>
      </c>
      <c r="I511" s="1" t="s">
        <v>50</v>
      </c>
      <c r="J511" s="1" t="s">
        <v>50</v>
      </c>
      <c r="K511" s="1" t="s">
        <v>50</v>
      </c>
      <c r="L511">
        <f t="shared" si="54"/>
        <v>172.96798541727486</v>
      </c>
      <c r="M511">
        <f t="shared" si="53"/>
        <v>304.39567777634272</v>
      </c>
      <c r="N511">
        <f t="shared" si="55"/>
        <v>185.56448544286178</v>
      </c>
      <c r="O511">
        <f t="shared" si="56"/>
        <v>310</v>
      </c>
      <c r="P511" t="e">
        <f t="shared" si="57"/>
        <v>#N/A</v>
      </c>
      <c r="Q511" t="e">
        <f t="shared" si="58"/>
        <v>#N/A</v>
      </c>
      <c r="U511">
        <f>C511/Navio!$J$4</f>
        <v>15.473179299569972</v>
      </c>
    </row>
    <row r="512" spans="1:21" x14ac:dyDescent="0.3">
      <c r="A512">
        <v>510</v>
      </c>
      <c r="B512" s="47">
        <v>519.00083606918338</v>
      </c>
      <c r="C512" s="46">
        <v>285.18728242461725</v>
      </c>
      <c r="D512" s="1">
        <v>14</v>
      </c>
      <c r="E512" s="1">
        <v>16</v>
      </c>
      <c r="F512" s="1">
        <v>15</v>
      </c>
      <c r="G512" s="1">
        <v>9</v>
      </c>
      <c r="H512" s="1" t="s">
        <v>50</v>
      </c>
      <c r="I512" s="1" t="s">
        <v>50</v>
      </c>
      <c r="J512" s="1" t="s">
        <v>50</v>
      </c>
      <c r="K512" s="1" t="s">
        <v>50</v>
      </c>
      <c r="L512">
        <f t="shared" si="54"/>
        <v>96.197414256198073</v>
      </c>
      <c r="M512">
        <f t="shared" si="53"/>
        <v>172.96798541727486</v>
      </c>
      <c r="N512">
        <f t="shared" si="55"/>
        <v>210.14742667389368</v>
      </c>
      <c r="O512">
        <f t="shared" si="56"/>
        <v>310</v>
      </c>
      <c r="P512" t="e">
        <f t="shared" si="57"/>
        <v>#N/A</v>
      </c>
      <c r="Q512" t="e">
        <f t="shared" si="58"/>
        <v>#N/A</v>
      </c>
      <c r="U512">
        <f>C512/Navio!$J$4</f>
        <v>15.398894644002784</v>
      </c>
    </row>
    <row r="513" spans="1:21" x14ac:dyDescent="0.3">
      <c r="A513">
        <v>511</v>
      </c>
      <c r="B513" s="47">
        <v>765.7405187064345</v>
      </c>
      <c r="C513" s="46">
        <v>288.04788639971326</v>
      </c>
      <c r="D513" s="1">
        <v>14</v>
      </c>
      <c r="E513" s="1">
        <v>15</v>
      </c>
      <c r="F513" s="1">
        <v>17</v>
      </c>
      <c r="G513" s="1">
        <v>9</v>
      </c>
      <c r="H513" s="1" t="s">
        <v>50</v>
      </c>
      <c r="I513" s="1" t="s">
        <v>50</v>
      </c>
      <c r="J513" s="1" t="s">
        <v>50</v>
      </c>
      <c r="K513" s="1" t="s">
        <v>50</v>
      </c>
      <c r="L513">
        <f t="shared" si="54"/>
        <v>96.197414256198073</v>
      </c>
      <c r="M513">
        <f t="shared" si="53"/>
        <v>210.14742667389368</v>
      </c>
      <c r="N513">
        <f t="shared" si="55"/>
        <v>304.39567777634272</v>
      </c>
      <c r="O513">
        <f t="shared" si="56"/>
        <v>310</v>
      </c>
      <c r="P513" t="e">
        <f t="shared" si="57"/>
        <v>#N/A</v>
      </c>
      <c r="Q513" t="e">
        <f t="shared" si="58"/>
        <v>#N/A</v>
      </c>
      <c r="U513">
        <f>C513/Navio!$J$4</f>
        <v>15.553355035280443</v>
      </c>
    </row>
    <row r="514" spans="1:21" x14ac:dyDescent="0.3">
      <c r="A514">
        <v>512</v>
      </c>
      <c r="B514" s="47">
        <v>613.24908717163237</v>
      </c>
      <c r="C514" s="46">
        <v>290.10251517124516</v>
      </c>
      <c r="D514" s="1">
        <v>14</v>
      </c>
      <c r="E514" s="1">
        <v>16</v>
      </c>
      <c r="F514" s="1">
        <v>17</v>
      </c>
      <c r="G514" s="1">
        <v>9</v>
      </c>
      <c r="H514" s="1" t="s">
        <v>50</v>
      </c>
      <c r="I514" s="1" t="s">
        <v>50</v>
      </c>
      <c r="J514" s="1" t="s">
        <v>50</v>
      </c>
      <c r="K514" s="1" t="s">
        <v>50</v>
      </c>
      <c r="L514">
        <f t="shared" si="54"/>
        <v>96.197414256198073</v>
      </c>
      <c r="M514">
        <f t="shared" si="53"/>
        <v>172.96798541727486</v>
      </c>
      <c r="N514">
        <f t="shared" si="55"/>
        <v>304.39567777634272</v>
      </c>
      <c r="O514">
        <f t="shared" si="56"/>
        <v>310</v>
      </c>
      <c r="P514" t="e">
        <f t="shared" si="57"/>
        <v>#N/A</v>
      </c>
      <c r="Q514" t="e">
        <f t="shared" si="58"/>
        <v>#N/A</v>
      </c>
      <c r="U514">
        <f>C514/Navio!$J$4</f>
        <v>15.664296209502403</v>
      </c>
    </row>
    <row r="515" spans="1:21" x14ac:dyDescent="0.3">
      <c r="A515">
        <v>513</v>
      </c>
      <c r="B515" s="47">
        <v>727.19909958932806</v>
      </c>
      <c r="C515" s="46">
        <v>286.55960396922251</v>
      </c>
      <c r="D515" s="1">
        <v>15</v>
      </c>
      <c r="E515" s="1">
        <v>16</v>
      </c>
      <c r="F515" s="1">
        <v>17</v>
      </c>
      <c r="G515" s="1">
        <v>9</v>
      </c>
      <c r="H515" s="1" t="s">
        <v>50</v>
      </c>
      <c r="I515" s="1" t="s">
        <v>50</v>
      </c>
      <c r="J515" s="1" t="s">
        <v>50</v>
      </c>
      <c r="K515" s="1" t="s">
        <v>50</v>
      </c>
      <c r="L515">
        <f t="shared" si="54"/>
        <v>210.14742667389368</v>
      </c>
      <c r="M515">
        <f t="shared" ref="M515:M578" si="59">VLOOKUP(E515,$Y$2:$Z$80,2)</f>
        <v>172.96798541727486</v>
      </c>
      <c r="N515">
        <f t="shared" si="55"/>
        <v>304.39567777634272</v>
      </c>
      <c r="O515">
        <f t="shared" si="56"/>
        <v>310</v>
      </c>
      <c r="P515" t="e">
        <f t="shared" si="57"/>
        <v>#N/A</v>
      </c>
      <c r="Q515" t="e">
        <f t="shared" si="58"/>
        <v>#N/A</v>
      </c>
      <c r="U515">
        <f>C515/Navio!$J$4</f>
        <v>15.472994143473477</v>
      </c>
    </row>
    <row r="516" spans="1:21" x14ac:dyDescent="0.3">
      <c r="A516">
        <v>514</v>
      </c>
      <c r="B516" s="47">
        <v>782.28331772154536</v>
      </c>
      <c r="C516" s="46">
        <v>256.35095113236349</v>
      </c>
      <c r="D516" s="1">
        <v>12</v>
      </c>
      <c r="E516" s="1">
        <v>13</v>
      </c>
      <c r="F516" s="1">
        <v>11</v>
      </c>
      <c r="G516" s="1">
        <v>10</v>
      </c>
      <c r="H516" s="1" t="s">
        <v>50</v>
      </c>
      <c r="I516" s="1" t="s">
        <v>50</v>
      </c>
      <c r="J516" s="1" t="s">
        <v>50</v>
      </c>
      <c r="K516" s="1" t="s">
        <v>50</v>
      </c>
      <c r="L516">
        <f t="shared" si="54"/>
        <v>82.076561445310972</v>
      </c>
      <c r="M516">
        <f t="shared" si="59"/>
        <v>185.56448544286178</v>
      </c>
      <c r="N516">
        <f t="shared" si="55"/>
        <v>278.99258318037374</v>
      </c>
      <c r="O516">
        <f t="shared" si="56"/>
        <v>290.36739528320618</v>
      </c>
      <c r="P516" t="e">
        <f t="shared" si="57"/>
        <v>#N/A</v>
      </c>
      <c r="Q516" t="e">
        <f t="shared" si="58"/>
        <v>#N/A</v>
      </c>
      <c r="U516">
        <f>C516/Navio!$J$4</f>
        <v>13.841855972033425</v>
      </c>
    </row>
    <row r="517" spans="1:21" x14ac:dyDescent="0.3">
      <c r="A517">
        <v>515</v>
      </c>
      <c r="B517" s="47">
        <v>692.91624653488168</v>
      </c>
      <c r="C517" s="46">
        <v>271.17713294284124</v>
      </c>
      <c r="D517" s="1">
        <v>14</v>
      </c>
      <c r="E517" s="1">
        <v>12</v>
      </c>
      <c r="F517" s="1">
        <v>11</v>
      </c>
      <c r="G517" s="1">
        <v>10</v>
      </c>
      <c r="H517" s="1" t="s">
        <v>50</v>
      </c>
      <c r="I517" s="1" t="s">
        <v>50</v>
      </c>
      <c r="J517" s="1" t="s">
        <v>50</v>
      </c>
      <c r="K517" s="1" t="s">
        <v>50</v>
      </c>
      <c r="L517">
        <f t="shared" si="54"/>
        <v>96.197414256198073</v>
      </c>
      <c r="M517">
        <f t="shared" si="59"/>
        <v>82.076561445310972</v>
      </c>
      <c r="N517">
        <f t="shared" si="55"/>
        <v>278.99258318037374</v>
      </c>
      <c r="O517">
        <f t="shared" si="56"/>
        <v>290.36739528320618</v>
      </c>
      <c r="P517" t="e">
        <f t="shared" si="57"/>
        <v>#N/A</v>
      </c>
      <c r="Q517" t="e">
        <f t="shared" si="58"/>
        <v>#N/A</v>
      </c>
      <c r="U517">
        <f>C517/Navio!$J$4</f>
        <v>14.642406437437593</v>
      </c>
    </row>
    <row r="518" spans="1:21" x14ac:dyDescent="0.3">
      <c r="A518">
        <v>516</v>
      </c>
      <c r="B518" s="47">
        <v>806.86625895257725</v>
      </c>
      <c r="C518" s="46">
        <v>272.64813052731665</v>
      </c>
      <c r="D518" s="1">
        <v>12</v>
      </c>
      <c r="E518" s="1">
        <v>15</v>
      </c>
      <c r="F518" s="1">
        <v>11</v>
      </c>
      <c r="G518" s="1">
        <v>10</v>
      </c>
      <c r="H518" s="1" t="s">
        <v>50</v>
      </c>
      <c r="I518" s="1" t="s">
        <v>50</v>
      </c>
      <c r="J518" s="1" t="s">
        <v>50</v>
      </c>
      <c r="K518" s="1" t="s">
        <v>50</v>
      </c>
      <c r="L518">
        <f t="shared" si="54"/>
        <v>82.076561445310972</v>
      </c>
      <c r="M518">
        <f t="shared" si="59"/>
        <v>210.14742667389368</v>
      </c>
      <c r="N518">
        <f t="shared" si="55"/>
        <v>278.99258318037374</v>
      </c>
      <c r="O518">
        <f t="shared" si="56"/>
        <v>290.36739528320618</v>
      </c>
      <c r="P518" t="e">
        <f t="shared" si="57"/>
        <v>#N/A</v>
      </c>
      <c r="Q518" t="e">
        <f t="shared" si="58"/>
        <v>#N/A</v>
      </c>
      <c r="U518">
        <f>C518/Navio!$J$4</f>
        <v>14.72183402141798</v>
      </c>
    </row>
    <row r="519" spans="1:21" x14ac:dyDescent="0.3">
      <c r="A519">
        <v>517</v>
      </c>
      <c r="B519" s="47">
        <v>654.37482741777524</v>
      </c>
      <c r="C519" s="46">
        <v>284.03050467130004</v>
      </c>
      <c r="D519" s="1">
        <v>12</v>
      </c>
      <c r="E519" s="1">
        <v>16</v>
      </c>
      <c r="F519" s="1">
        <v>11</v>
      </c>
      <c r="G519" s="1">
        <v>10</v>
      </c>
      <c r="H519" s="1" t="s">
        <v>50</v>
      </c>
      <c r="I519" s="1" t="s">
        <v>50</v>
      </c>
      <c r="J519" s="1" t="s">
        <v>50</v>
      </c>
      <c r="K519" s="1" t="s">
        <v>50</v>
      </c>
      <c r="L519">
        <f t="shared" si="54"/>
        <v>82.076561445310972</v>
      </c>
      <c r="M519">
        <f t="shared" si="59"/>
        <v>172.96798541727486</v>
      </c>
      <c r="N519">
        <f t="shared" si="55"/>
        <v>278.99258318037374</v>
      </c>
      <c r="O519">
        <f t="shared" si="56"/>
        <v>290.36739528320618</v>
      </c>
      <c r="P519" t="e">
        <f t="shared" si="57"/>
        <v>#N/A</v>
      </c>
      <c r="Q519" t="e">
        <f t="shared" si="58"/>
        <v>#N/A</v>
      </c>
      <c r="U519">
        <f>C519/Navio!$J$4</f>
        <v>15.336433588241762</v>
      </c>
    </row>
    <row r="520" spans="1:21" x14ac:dyDescent="0.3">
      <c r="A520">
        <v>518</v>
      </c>
      <c r="B520" s="47">
        <v>851.12187816263975</v>
      </c>
      <c r="C520" s="46">
        <v>274.12070060069129</v>
      </c>
      <c r="D520" s="1">
        <v>14</v>
      </c>
      <c r="E520" s="1">
        <v>13</v>
      </c>
      <c r="F520" s="1">
        <v>11</v>
      </c>
      <c r="G520" s="1">
        <v>10</v>
      </c>
      <c r="H520" s="1" t="s">
        <v>50</v>
      </c>
      <c r="I520" s="1" t="s">
        <v>50</v>
      </c>
      <c r="J520" s="1" t="s">
        <v>50</v>
      </c>
      <c r="K520" s="1" t="s">
        <v>50</v>
      </c>
      <c r="L520">
        <f t="shared" si="54"/>
        <v>96.197414256198073</v>
      </c>
      <c r="M520">
        <f t="shared" si="59"/>
        <v>185.56448544286178</v>
      </c>
      <c r="N520">
        <f t="shared" si="55"/>
        <v>278.99258318037374</v>
      </c>
      <c r="O520">
        <f t="shared" si="56"/>
        <v>290.36739528320618</v>
      </c>
      <c r="P520" t="e">
        <f t="shared" si="57"/>
        <v>#N/A</v>
      </c>
      <c r="Q520" t="e">
        <f t="shared" si="58"/>
        <v>#N/A</v>
      </c>
      <c r="U520">
        <f>C520/Navio!$J$4</f>
        <v>14.80134651307967</v>
      </c>
    </row>
    <row r="521" spans="1:21" x14ac:dyDescent="0.3">
      <c r="A521">
        <v>519</v>
      </c>
      <c r="B521" s="47">
        <v>812.5804590455333</v>
      </c>
      <c r="C521" s="46">
        <v>284.23640886253401</v>
      </c>
      <c r="D521" s="1">
        <v>16</v>
      </c>
      <c r="E521" s="1">
        <v>13</v>
      </c>
      <c r="F521" s="1">
        <v>11</v>
      </c>
      <c r="G521" s="1">
        <v>10</v>
      </c>
      <c r="H521" s="1" t="s">
        <v>50</v>
      </c>
      <c r="I521" s="1" t="s">
        <v>50</v>
      </c>
      <c r="J521" s="1" t="s">
        <v>50</v>
      </c>
      <c r="K521" s="1" t="s">
        <v>50</v>
      </c>
      <c r="L521">
        <f t="shared" si="54"/>
        <v>172.96798541727486</v>
      </c>
      <c r="M521">
        <f t="shared" si="59"/>
        <v>185.56448544286178</v>
      </c>
      <c r="N521">
        <f t="shared" si="55"/>
        <v>278.99258318037374</v>
      </c>
      <c r="O521">
        <f t="shared" si="56"/>
        <v>290.36739528320618</v>
      </c>
      <c r="P521" t="e">
        <f t="shared" si="57"/>
        <v>#N/A</v>
      </c>
      <c r="Q521" t="e">
        <f t="shared" si="58"/>
        <v>#N/A</v>
      </c>
      <c r="U521">
        <f>C521/Navio!$J$4</f>
        <v>15.347551534738583</v>
      </c>
    </row>
    <row r="522" spans="1:21" x14ac:dyDescent="0.3">
      <c r="A522">
        <v>520</v>
      </c>
      <c r="B522" s="47">
        <v>875.70481939367164</v>
      </c>
      <c r="C522" s="46">
        <v>278.0613595961641</v>
      </c>
      <c r="D522" s="1">
        <v>14</v>
      </c>
      <c r="E522" s="1">
        <v>15</v>
      </c>
      <c r="F522" s="1">
        <v>11</v>
      </c>
      <c r="G522" s="1">
        <v>10</v>
      </c>
      <c r="H522" s="1" t="s">
        <v>50</v>
      </c>
      <c r="I522" s="1" t="s">
        <v>50</v>
      </c>
      <c r="J522" s="1" t="s">
        <v>50</v>
      </c>
      <c r="K522" s="1" t="s">
        <v>50</v>
      </c>
      <c r="L522">
        <f t="shared" si="54"/>
        <v>96.197414256198073</v>
      </c>
      <c r="M522">
        <f t="shared" si="59"/>
        <v>210.14742667389368</v>
      </c>
      <c r="N522">
        <f t="shared" si="55"/>
        <v>278.99258318037374</v>
      </c>
      <c r="O522">
        <f t="shared" si="56"/>
        <v>290.36739528320618</v>
      </c>
      <c r="P522" t="e">
        <f t="shared" si="57"/>
        <v>#N/A</v>
      </c>
      <c r="Q522" t="e">
        <f t="shared" si="58"/>
        <v>#N/A</v>
      </c>
      <c r="U522">
        <f>C522/Navio!$J$4</f>
        <v>15.014125260376256</v>
      </c>
    </row>
    <row r="523" spans="1:21" x14ac:dyDescent="0.3">
      <c r="A523">
        <v>521</v>
      </c>
      <c r="B523" s="47">
        <v>723.21338785886962</v>
      </c>
      <c r="C523" s="46">
        <v>287.57419905867016</v>
      </c>
      <c r="D523" s="1">
        <v>14</v>
      </c>
      <c r="E523" s="1">
        <v>16</v>
      </c>
      <c r="F523" s="1">
        <v>11</v>
      </c>
      <c r="G523" s="1">
        <v>10</v>
      </c>
      <c r="H523" s="1" t="s">
        <v>50</v>
      </c>
      <c r="I523" s="1" t="s">
        <v>50</v>
      </c>
      <c r="J523" s="1" t="s">
        <v>50</v>
      </c>
      <c r="K523" s="1" t="s">
        <v>50</v>
      </c>
      <c r="L523">
        <f t="shared" si="54"/>
        <v>96.197414256198073</v>
      </c>
      <c r="M523">
        <f t="shared" si="59"/>
        <v>172.96798541727486</v>
      </c>
      <c r="N523">
        <f t="shared" si="55"/>
        <v>278.99258318037374</v>
      </c>
      <c r="O523">
        <f t="shared" si="56"/>
        <v>290.36739528320618</v>
      </c>
      <c r="P523" t="e">
        <f t="shared" si="57"/>
        <v>#N/A</v>
      </c>
      <c r="Q523" t="e">
        <f t="shared" si="58"/>
        <v>#N/A</v>
      </c>
      <c r="U523">
        <f>C523/Navio!$J$4</f>
        <v>15.527777942932897</v>
      </c>
    </row>
    <row r="524" spans="1:21" x14ac:dyDescent="0.3">
      <c r="A524">
        <v>522</v>
      </c>
      <c r="B524" s="47">
        <v>837.1634002765652</v>
      </c>
      <c r="C524" s="46">
        <v>284.03128785664757</v>
      </c>
      <c r="D524" s="1">
        <v>15</v>
      </c>
      <c r="E524" s="1">
        <v>16</v>
      </c>
      <c r="F524" s="1">
        <v>11</v>
      </c>
      <c r="G524" s="1">
        <v>10</v>
      </c>
      <c r="H524" s="1" t="s">
        <v>50</v>
      </c>
      <c r="I524" s="1" t="s">
        <v>50</v>
      </c>
      <c r="J524" s="1" t="s">
        <v>50</v>
      </c>
      <c r="K524" s="1" t="s">
        <v>50</v>
      </c>
      <c r="L524">
        <f t="shared" si="54"/>
        <v>210.14742667389368</v>
      </c>
      <c r="M524">
        <f t="shared" si="59"/>
        <v>172.96798541727486</v>
      </c>
      <c r="N524">
        <f t="shared" si="55"/>
        <v>278.99258318037374</v>
      </c>
      <c r="O524">
        <f t="shared" si="56"/>
        <v>290.36739528320618</v>
      </c>
      <c r="P524" t="e">
        <f t="shared" si="57"/>
        <v>#N/A</v>
      </c>
      <c r="Q524" t="e">
        <f t="shared" si="58"/>
        <v>#N/A</v>
      </c>
      <c r="U524">
        <f>C524/Navio!$J$4</f>
        <v>15.336475876903974</v>
      </c>
    </row>
    <row r="525" spans="1:21" x14ac:dyDescent="0.3">
      <c r="A525">
        <v>523</v>
      </c>
      <c r="B525" s="47">
        <v>599.48814879736972</v>
      </c>
      <c r="C525" s="46">
        <v>276.94546366132857</v>
      </c>
      <c r="D525" s="1">
        <v>12</v>
      </c>
      <c r="E525" s="1">
        <v>14</v>
      </c>
      <c r="F525" s="1">
        <v>13</v>
      </c>
      <c r="G525" s="1">
        <v>10</v>
      </c>
      <c r="H525" s="1" t="s">
        <v>50</v>
      </c>
      <c r="I525" s="1" t="s">
        <v>50</v>
      </c>
      <c r="J525" s="1" t="s">
        <v>50</v>
      </c>
      <c r="K525" s="1" t="s">
        <v>50</v>
      </c>
      <c r="L525">
        <f t="shared" ref="L525:L588" si="60">VLOOKUP(D525,$Y$2:$Z$80,2)</f>
        <v>82.076561445310972</v>
      </c>
      <c r="M525">
        <f t="shared" si="59"/>
        <v>96.197414256198073</v>
      </c>
      <c r="N525">
        <f t="shared" ref="N525:N588" si="61">VLOOKUP(F525,$Y$2:$Z$80,2)</f>
        <v>185.56448544286178</v>
      </c>
      <c r="O525">
        <f t="shared" ref="O525:O588" si="62">VLOOKUP(G525,$Y$2:$Z$80,2)</f>
        <v>290.36739528320618</v>
      </c>
      <c r="P525" t="e">
        <f t="shared" ref="P525:P588" si="63">VLOOKUP(H525,$Y$2:$Z$80,2)</f>
        <v>#N/A</v>
      </c>
      <c r="Q525" t="e">
        <f t="shared" ref="Q525:Q588" si="64">VLOOKUP(I525,$Y$2:$Z$80,2)</f>
        <v>#N/A</v>
      </c>
      <c r="U525">
        <f>C525/Navio!$J$4</f>
        <v>14.953871648124997</v>
      </c>
    </row>
    <row r="526" spans="1:21" x14ac:dyDescent="0.3">
      <c r="A526">
        <v>524</v>
      </c>
      <c r="B526" s="47">
        <v>713.43816121506529</v>
      </c>
      <c r="C526" s="46">
        <v>273.1884600765909</v>
      </c>
      <c r="D526" s="1">
        <v>12</v>
      </c>
      <c r="E526" s="1">
        <v>15</v>
      </c>
      <c r="F526" s="1">
        <v>13</v>
      </c>
      <c r="G526" s="1">
        <v>10</v>
      </c>
      <c r="H526" s="1" t="s">
        <v>50</v>
      </c>
      <c r="I526" s="1" t="s">
        <v>50</v>
      </c>
      <c r="J526" s="1" t="s">
        <v>50</v>
      </c>
      <c r="K526" s="1" t="s">
        <v>50</v>
      </c>
      <c r="L526">
        <f t="shared" si="60"/>
        <v>82.076561445310972</v>
      </c>
      <c r="M526">
        <f t="shared" si="59"/>
        <v>210.14742667389368</v>
      </c>
      <c r="N526">
        <f t="shared" si="61"/>
        <v>185.56448544286178</v>
      </c>
      <c r="O526">
        <f t="shared" si="62"/>
        <v>290.36739528320618</v>
      </c>
      <c r="P526" t="e">
        <f t="shared" si="63"/>
        <v>#N/A</v>
      </c>
      <c r="Q526" t="e">
        <f t="shared" si="64"/>
        <v>#N/A</v>
      </c>
      <c r="U526">
        <f>C526/Navio!$J$4</f>
        <v>14.751009508247463</v>
      </c>
    </row>
    <row r="527" spans="1:21" x14ac:dyDescent="0.3">
      <c r="A527">
        <v>525</v>
      </c>
      <c r="B527" s="47">
        <v>560.94672968026327</v>
      </c>
      <c r="C527" s="46">
        <v>284.01163211087555</v>
      </c>
      <c r="D527" s="1">
        <v>12</v>
      </c>
      <c r="E527" s="1">
        <v>16</v>
      </c>
      <c r="F527" s="1">
        <v>13</v>
      </c>
      <c r="G527" s="1">
        <v>10</v>
      </c>
      <c r="H527" s="1" t="s">
        <v>50</v>
      </c>
      <c r="I527" s="1" t="s">
        <v>50</v>
      </c>
      <c r="J527" s="1" t="s">
        <v>50</v>
      </c>
      <c r="K527" s="1" t="s">
        <v>50</v>
      </c>
      <c r="L527">
        <f t="shared" si="60"/>
        <v>82.076561445310972</v>
      </c>
      <c r="M527">
        <f t="shared" si="59"/>
        <v>172.96798541727486</v>
      </c>
      <c r="N527">
        <f t="shared" si="61"/>
        <v>185.56448544286178</v>
      </c>
      <c r="O527">
        <f t="shared" si="62"/>
        <v>290.36739528320618</v>
      </c>
      <c r="P527" t="e">
        <f t="shared" si="63"/>
        <v>#N/A</v>
      </c>
      <c r="Q527" t="e">
        <f t="shared" si="64"/>
        <v>#N/A</v>
      </c>
      <c r="U527">
        <f>C527/Navio!$J$4</f>
        <v>15.335414550621401</v>
      </c>
    </row>
    <row r="528" spans="1:21" x14ac:dyDescent="0.3">
      <c r="A528">
        <v>526</v>
      </c>
      <c r="B528" s="47">
        <v>807.6864123175144</v>
      </c>
      <c r="C528" s="46">
        <v>282.34393334358043</v>
      </c>
      <c r="D528" s="1">
        <v>12</v>
      </c>
      <c r="E528" s="1">
        <v>17</v>
      </c>
      <c r="F528" s="1">
        <v>13</v>
      </c>
      <c r="G528" s="1">
        <v>10</v>
      </c>
      <c r="H528" s="1" t="s">
        <v>50</v>
      </c>
      <c r="I528" s="1" t="s">
        <v>50</v>
      </c>
      <c r="J528" s="1" t="s">
        <v>50</v>
      </c>
      <c r="K528" s="1" t="s">
        <v>50</v>
      </c>
      <c r="L528">
        <f t="shared" si="60"/>
        <v>82.076561445310972</v>
      </c>
      <c r="M528">
        <f t="shared" si="59"/>
        <v>304.39567777634272</v>
      </c>
      <c r="N528">
        <f t="shared" si="61"/>
        <v>185.56448544286178</v>
      </c>
      <c r="O528">
        <f t="shared" si="62"/>
        <v>290.36739528320618</v>
      </c>
      <c r="P528" t="e">
        <f t="shared" si="63"/>
        <v>#N/A</v>
      </c>
      <c r="Q528" t="e">
        <f t="shared" si="64"/>
        <v>#N/A</v>
      </c>
      <c r="U528">
        <f>C528/Navio!$J$4</f>
        <v>15.245365943274056</v>
      </c>
    </row>
    <row r="529" spans="1:21" x14ac:dyDescent="0.3">
      <c r="A529">
        <v>527</v>
      </c>
      <c r="B529" s="47">
        <v>624.07109002840161</v>
      </c>
      <c r="C529" s="46">
        <v>281.11552027727134</v>
      </c>
      <c r="D529" s="1">
        <v>12</v>
      </c>
      <c r="E529" s="1">
        <v>14</v>
      </c>
      <c r="F529" s="1">
        <v>15</v>
      </c>
      <c r="G529" s="1">
        <v>10</v>
      </c>
      <c r="H529" s="1" t="s">
        <v>50</v>
      </c>
      <c r="I529" s="1" t="s">
        <v>50</v>
      </c>
      <c r="J529" s="1" t="s">
        <v>50</v>
      </c>
      <c r="K529" s="1" t="s">
        <v>50</v>
      </c>
      <c r="L529">
        <f t="shared" si="60"/>
        <v>82.076561445310972</v>
      </c>
      <c r="M529">
        <f t="shared" si="59"/>
        <v>96.197414256198073</v>
      </c>
      <c r="N529">
        <f t="shared" si="61"/>
        <v>210.14742667389368</v>
      </c>
      <c r="O529">
        <f t="shared" si="62"/>
        <v>290.36739528320618</v>
      </c>
      <c r="P529" t="e">
        <f t="shared" si="63"/>
        <v>#N/A</v>
      </c>
      <c r="Q529" t="e">
        <f t="shared" si="64"/>
        <v>#N/A</v>
      </c>
      <c r="U529">
        <f>C529/Navio!$J$4</f>
        <v>15.179036886709586</v>
      </c>
    </row>
    <row r="530" spans="1:21" x14ac:dyDescent="0.3">
      <c r="A530">
        <v>528</v>
      </c>
      <c r="B530" s="47">
        <v>471.57965849359954</v>
      </c>
      <c r="C530" s="46">
        <v>290.55537561023675</v>
      </c>
      <c r="D530" s="1">
        <v>12</v>
      </c>
      <c r="E530" s="1">
        <v>14</v>
      </c>
      <c r="F530" s="1">
        <v>16</v>
      </c>
      <c r="G530" s="1">
        <v>10</v>
      </c>
      <c r="H530" s="1" t="s">
        <v>50</v>
      </c>
      <c r="I530" s="1" t="s">
        <v>50</v>
      </c>
      <c r="J530" s="1" t="s">
        <v>50</v>
      </c>
      <c r="K530" s="1" t="s">
        <v>50</v>
      </c>
      <c r="L530">
        <f t="shared" si="60"/>
        <v>82.076561445310972</v>
      </c>
      <c r="M530">
        <f t="shared" si="59"/>
        <v>96.197414256198073</v>
      </c>
      <c r="N530">
        <f t="shared" si="61"/>
        <v>172.96798541727486</v>
      </c>
      <c r="O530">
        <f t="shared" si="62"/>
        <v>290.36739528320618</v>
      </c>
      <c r="P530" t="e">
        <f t="shared" si="63"/>
        <v>#N/A</v>
      </c>
      <c r="Q530" t="e">
        <f t="shared" si="64"/>
        <v>#N/A</v>
      </c>
      <c r="U530">
        <f>C530/Navio!$J$4</f>
        <v>15.688748738132643</v>
      </c>
    </row>
    <row r="531" spans="1:21" x14ac:dyDescent="0.3">
      <c r="A531">
        <v>529</v>
      </c>
      <c r="B531" s="47">
        <v>718.3193411308506</v>
      </c>
      <c r="C531" s="46">
        <v>292.74720703746539</v>
      </c>
      <c r="D531" s="1">
        <v>12</v>
      </c>
      <c r="E531" s="1">
        <v>14</v>
      </c>
      <c r="F531" s="1">
        <v>17</v>
      </c>
      <c r="G531" s="1">
        <v>10</v>
      </c>
      <c r="H531" s="1" t="s">
        <v>50</v>
      </c>
      <c r="I531" s="1" t="s">
        <v>50</v>
      </c>
      <c r="J531" s="1" t="s">
        <v>50</v>
      </c>
      <c r="K531" s="1" t="s">
        <v>50</v>
      </c>
      <c r="L531">
        <f t="shared" si="60"/>
        <v>82.076561445310972</v>
      </c>
      <c r="M531">
        <f t="shared" si="59"/>
        <v>96.197414256198073</v>
      </c>
      <c r="N531">
        <f t="shared" si="61"/>
        <v>304.39567777634272</v>
      </c>
      <c r="O531">
        <f t="shared" si="62"/>
        <v>290.36739528320618</v>
      </c>
      <c r="P531" t="e">
        <f t="shared" si="63"/>
        <v>#N/A</v>
      </c>
      <c r="Q531" t="e">
        <f t="shared" si="64"/>
        <v>#N/A</v>
      </c>
      <c r="U531">
        <f>C531/Navio!$J$4</f>
        <v>15.807098269494475</v>
      </c>
    </row>
    <row r="532" spans="1:21" x14ac:dyDescent="0.3">
      <c r="A532">
        <v>530</v>
      </c>
      <c r="B532" s="47">
        <v>585.52967091129517</v>
      </c>
      <c r="C532" s="46">
        <v>283.95905229921237</v>
      </c>
      <c r="D532" s="1">
        <v>12</v>
      </c>
      <c r="E532" s="1">
        <v>15</v>
      </c>
      <c r="F532" s="1">
        <v>16</v>
      </c>
      <c r="G532" s="1">
        <v>10</v>
      </c>
      <c r="H532" s="1" t="s">
        <v>50</v>
      </c>
      <c r="I532" s="1" t="s">
        <v>50</v>
      </c>
      <c r="J532" s="1" t="s">
        <v>50</v>
      </c>
      <c r="K532" s="1" t="s">
        <v>50</v>
      </c>
      <c r="L532">
        <f t="shared" si="60"/>
        <v>82.076561445310972</v>
      </c>
      <c r="M532">
        <f t="shared" si="59"/>
        <v>210.14742667389368</v>
      </c>
      <c r="N532">
        <f t="shared" si="61"/>
        <v>172.96798541727486</v>
      </c>
      <c r="O532">
        <f t="shared" si="62"/>
        <v>290.36739528320618</v>
      </c>
      <c r="P532" t="e">
        <f t="shared" si="63"/>
        <v>#N/A</v>
      </c>
      <c r="Q532" t="e">
        <f t="shared" si="64"/>
        <v>#N/A</v>
      </c>
      <c r="U532">
        <f>C532/Navio!$J$4</f>
        <v>15.332575465465432</v>
      </c>
    </row>
    <row r="533" spans="1:21" x14ac:dyDescent="0.3">
      <c r="A533">
        <v>531</v>
      </c>
      <c r="B533" s="47">
        <v>832.26935354854618</v>
      </c>
      <c r="C533" s="46">
        <v>284.31425623175903</v>
      </c>
      <c r="D533" s="1">
        <v>12</v>
      </c>
      <c r="E533" s="1">
        <v>15</v>
      </c>
      <c r="F533" s="1">
        <v>17</v>
      </c>
      <c r="G533" s="1">
        <v>10</v>
      </c>
      <c r="H533" s="1" t="s">
        <v>50</v>
      </c>
      <c r="I533" s="1" t="s">
        <v>50</v>
      </c>
      <c r="J533" s="1" t="s">
        <v>50</v>
      </c>
      <c r="K533" s="1" t="s">
        <v>50</v>
      </c>
      <c r="L533">
        <f t="shared" si="60"/>
        <v>82.076561445310972</v>
      </c>
      <c r="M533">
        <f t="shared" si="59"/>
        <v>210.14742667389368</v>
      </c>
      <c r="N533">
        <f t="shared" si="61"/>
        <v>304.39567777634272</v>
      </c>
      <c r="O533">
        <f t="shared" si="62"/>
        <v>290.36739528320618</v>
      </c>
      <c r="P533" t="e">
        <f t="shared" si="63"/>
        <v>#N/A</v>
      </c>
      <c r="Q533" t="e">
        <f t="shared" si="64"/>
        <v>#N/A</v>
      </c>
      <c r="U533">
        <f>C533/Navio!$J$4</f>
        <v>15.351754960034469</v>
      </c>
    </row>
    <row r="534" spans="1:21" x14ac:dyDescent="0.3">
      <c r="A534">
        <v>532</v>
      </c>
      <c r="B534" s="47">
        <v>679.77792201374416</v>
      </c>
      <c r="C534" s="46">
        <v>288.23841968476825</v>
      </c>
      <c r="D534" s="1">
        <v>12</v>
      </c>
      <c r="E534" s="1">
        <v>16</v>
      </c>
      <c r="F534" s="1">
        <v>17</v>
      </c>
      <c r="G534" s="1">
        <v>10</v>
      </c>
      <c r="H534" s="1" t="s">
        <v>50</v>
      </c>
      <c r="I534" s="1" t="s">
        <v>50</v>
      </c>
      <c r="J534" s="1" t="s">
        <v>50</v>
      </c>
      <c r="K534" s="1" t="s">
        <v>50</v>
      </c>
      <c r="L534">
        <f t="shared" si="60"/>
        <v>82.076561445310972</v>
      </c>
      <c r="M534">
        <f t="shared" si="59"/>
        <v>172.96798541727486</v>
      </c>
      <c r="N534">
        <f t="shared" si="61"/>
        <v>304.39567777634272</v>
      </c>
      <c r="O534">
        <f t="shared" si="62"/>
        <v>290.36739528320618</v>
      </c>
      <c r="P534" t="e">
        <f t="shared" si="63"/>
        <v>#N/A</v>
      </c>
      <c r="Q534" t="e">
        <f t="shared" si="64"/>
        <v>#N/A</v>
      </c>
      <c r="U534">
        <f>C534/Navio!$J$4</f>
        <v>15.563643018523571</v>
      </c>
    </row>
    <row r="535" spans="1:21" x14ac:dyDescent="0.3">
      <c r="A535">
        <v>533</v>
      </c>
      <c r="B535" s="47">
        <v>782.27672165615968</v>
      </c>
      <c r="C535" s="46">
        <v>278.60168914543834</v>
      </c>
      <c r="D535" s="1">
        <v>14</v>
      </c>
      <c r="E535" s="1">
        <v>15</v>
      </c>
      <c r="F535" s="1">
        <v>13</v>
      </c>
      <c r="G535" s="1">
        <v>10</v>
      </c>
      <c r="H535" s="1" t="s">
        <v>50</v>
      </c>
      <c r="I535" s="1" t="s">
        <v>50</v>
      </c>
      <c r="J535" s="1" t="s">
        <v>50</v>
      </c>
      <c r="K535" s="1" t="s">
        <v>50</v>
      </c>
      <c r="L535">
        <f t="shared" si="60"/>
        <v>96.197414256198073</v>
      </c>
      <c r="M535">
        <f t="shared" si="59"/>
        <v>210.14742667389368</v>
      </c>
      <c r="N535">
        <f t="shared" si="61"/>
        <v>185.56448544286178</v>
      </c>
      <c r="O535">
        <f t="shared" si="62"/>
        <v>290.36739528320618</v>
      </c>
      <c r="P535" t="e">
        <f t="shared" si="63"/>
        <v>#N/A</v>
      </c>
      <c r="Q535" t="e">
        <f t="shared" si="64"/>
        <v>#N/A</v>
      </c>
      <c r="U535">
        <f>C535/Navio!$J$4</f>
        <v>15.043300747205739</v>
      </c>
    </row>
    <row r="536" spans="1:21" x14ac:dyDescent="0.3">
      <c r="A536">
        <v>534</v>
      </c>
      <c r="B536" s="47">
        <v>629.78529012135766</v>
      </c>
      <c r="C536" s="46">
        <v>287.55532649824568</v>
      </c>
      <c r="D536" s="1">
        <v>14</v>
      </c>
      <c r="E536" s="1">
        <v>16</v>
      </c>
      <c r="F536" s="1">
        <v>13</v>
      </c>
      <c r="G536" s="1">
        <v>10</v>
      </c>
      <c r="H536" s="1" t="s">
        <v>50</v>
      </c>
      <c r="I536" s="1" t="s">
        <v>50</v>
      </c>
      <c r="J536" s="1" t="s">
        <v>50</v>
      </c>
      <c r="K536" s="1" t="s">
        <v>50</v>
      </c>
      <c r="L536">
        <f t="shared" si="60"/>
        <v>96.197414256198073</v>
      </c>
      <c r="M536">
        <f t="shared" si="59"/>
        <v>172.96798541727486</v>
      </c>
      <c r="N536">
        <f t="shared" si="61"/>
        <v>185.56448544286178</v>
      </c>
      <c r="O536">
        <f t="shared" si="62"/>
        <v>290.36739528320618</v>
      </c>
      <c r="P536" t="e">
        <f t="shared" si="63"/>
        <v>#N/A</v>
      </c>
      <c r="Q536" t="e">
        <f t="shared" si="64"/>
        <v>#N/A</v>
      </c>
      <c r="U536">
        <f>C536/Navio!$J$4</f>
        <v>15.526758905312535</v>
      </c>
    </row>
    <row r="537" spans="1:21" x14ac:dyDescent="0.3">
      <c r="A537">
        <v>535</v>
      </c>
      <c r="B537" s="47">
        <v>876.52497275860878</v>
      </c>
      <c r="C537" s="46">
        <v>290.11437803073352</v>
      </c>
      <c r="D537" s="1">
        <v>14</v>
      </c>
      <c r="E537" s="1">
        <v>17</v>
      </c>
      <c r="F537" s="1">
        <v>13</v>
      </c>
      <c r="G537" s="1">
        <v>10</v>
      </c>
      <c r="H537" s="1" t="s">
        <v>50</v>
      </c>
      <c r="I537" s="1" t="s">
        <v>50</v>
      </c>
      <c r="J537" s="1" t="s">
        <v>50</v>
      </c>
      <c r="K537" s="1" t="s">
        <v>50</v>
      </c>
      <c r="L537">
        <f t="shared" si="60"/>
        <v>96.197414256198073</v>
      </c>
      <c r="M537">
        <f t="shared" si="59"/>
        <v>304.39567777634272</v>
      </c>
      <c r="N537">
        <f t="shared" si="61"/>
        <v>185.56448544286178</v>
      </c>
      <c r="O537">
        <f t="shared" si="62"/>
        <v>290.36739528320618</v>
      </c>
      <c r="P537" t="e">
        <f t="shared" si="63"/>
        <v>#N/A</v>
      </c>
      <c r="Q537" t="e">
        <f t="shared" si="64"/>
        <v>#N/A</v>
      </c>
      <c r="U537">
        <f>C537/Navio!$J$4</f>
        <v>15.664936753224707</v>
      </c>
    </row>
    <row r="538" spans="1:21" x14ac:dyDescent="0.3">
      <c r="A538">
        <v>536</v>
      </c>
      <c r="B538" s="47">
        <v>743.73530253905324</v>
      </c>
      <c r="C538" s="46">
        <v>284.01241529622308</v>
      </c>
      <c r="D538" s="1">
        <v>15</v>
      </c>
      <c r="E538" s="1">
        <v>16</v>
      </c>
      <c r="F538" s="1">
        <v>13</v>
      </c>
      <c r="G538" s="1">
        <v>10</v>
      </c>
      <c r="H538" s="1" t="s">
        <v>50</v>
      </c>
      <c r="I538" s="1" t="s">
        <v>50</v>
      </c>
      <c r="J538" s="1" t="s">
        <v>50</v>
      </c>
      <c r="K538" s="1" t="s">
        <v>50</v>
      </c>
      <c r="L538">
        <f t="shared" si="60"/>
        <v>210.14742667389368</v>
      </c>
      <c r="M538">
        <f t="shared" si="59"/>
        <v>172.96798541727486</v>
      </c>
      <c r="N538">
        <f t="shared" si="61"/>
        <v>185.56448544286178</v>
      </c>
      <c r="O538">
        <f t="shared" si="62"/>
        <v>290.36739528320618</v>
      </c>
      <c r="P538" t="e">
        <f t="shared" si="63"/>
        <v>#N/A</v>
      </c>
      <c r="Q538" t="e">
        <f t="shared" si="64"/>
        <v>#N/A</v>
      </c>
      <c r="U538">
        <f>C538/Navio!$J$4</f>
        <v>15.335456839283612</v>
      </c>
    </row>
    <row r="539" spans="1:21" x14ac:dyDescent="0.3">
      <c r="A539">
        <v>537</v>
      </c>
      <c r="B539" s="47">
        <v>837.98355364150234</v>
      </c>
      <c r="C539" s="46">
        <v>288.65513049033217</v>
      </c>
      <c r="D539" s="1">
        <v>16</v>
      </c>
      <c r="E539" s="1">
        <v>17</v>
      </c>
      <c r="F539" s="1">
        <v>13</v>
      </c>
      <c r="G539" s="1">
        <v>10</v>
      </c>
      <c r="H539" s="1" t="s">
        <v>50</v>
      </c>
      <c r="I539" s="1" t="s">
        <v>50</v>
      </c>
      <c r="J539" s="1" t="s">
        <v>50</v>
      </c>
      <c r="K539" s="1" t="s">
        <v>50</v>
      </c>
      <c r="L539">
        <f t="shared" si="60"/>
        <v>172.96798541727486</v>
      </c>
      <c r="M539">
        <f t="shared" si="59"/>
        <v>304.39567777634272</v>
      </c>
      <c r="N539">
        <f t="shared" si="61"/>
        <v>185.56448544286178</v>
      </c>
      <c r="O539">
        <f t="shared" si="62"/>
        <v>290.36739528320618</v>
      </c>
      <c r="P539" t="e">
        <f t="shared" si="63"/>
        <v>#N/A</v>
      </c>
      <c r="Q539" t="e">
        <f t="shared" si="64"/>
        <v>#N/A</v>
      </c>
      <c r="U539">
        <f>C539/Navio!$J$4</f>
        <v>15.586143621416312</v>
      </c>
    </row>
    <row r="540" spans="1:21" x14ac:dyDescent="0.3">
      <c r="A540">
        <v>538</v>
      </c>
      <c r="B540" s="47">
        <v>654.36823135238956</v>
      </c>
      <c r="C540" s="46">
        <v>288.54160578093087</v>
      </c>
      <c r="D540" s="1">
        <v>14</v>
      </c>
      <c r="E540" s="1">
        <v>16</v>
      </c>
      <c r="F540" s="1">
        <v>15</v>
      </c>
      <c r="G540" s="1">
        <v>10</v>
      </c>
      <c r="H540" s="1" t="s">
        <v>50</v>
      </c>
      <c r="I540" s="1" t="s">
        <v>50</v>
      </c>
      <c r="J540" s="1" t="s">
        <v>50</v>
      </c>
      <c r="K540" s="1" t="s">
        <v>50</v>
      </c>
      <c r="L540">
        <f t="shared" si="60"/>
        <v>96.197414256198073</v>
      </c>
      <c r="M540">
        <f t="shared" si="59"/>
        <v>172.96798541727486</v>
      </c>
      <c r="N540">
        <f t="shared" si="61"/>
        <v>210.14742667389368</v>
      </c>
      <c r="O540">
        <f t="shared" si="62"/>
        <v>290.36739528320618</v>
      </c>
      <c r="P540" t="e">
        <f t="shared" si="63"/>
        <v>#N/A</v>
      </c>
      <c r="Q540" t="e">
        <f t="shared" si="64"/>
        <v>#N/A</v>
      </c>
      <c r="U540">
        <f>C540/Navio!$J$4</f>
        <v>15.58001377220039</v>
      </c>
    </row>
    <row r="541" spans="1:21" x14ac:dyDescent="0.3">
      <c r="A541">
        <v>539</v>
      </c>
      <c r="B541" s="47">
        <v>748.61648245483855</v>
      </c>
      <c r="C541" s="46">
        <v>291.78211407213843</v>
      </c>
      <c r="D541" s="1">
        <v>14</v>
      </c>
      <c r="E541" s="1">
        <v>16</v>
      </c>
      <c r="F541" s="1">
        <v>17</v>
      </c>
      <c r="G541" s="1">
        <v>10</v>
      </c>
      <c r="H541" s="1" t="s">
        <v>50</v>
      </c>
      <c r="I541" s="1" t="s">
        <v>50</v>
      </c>
      <c r="J541" s="1" t="s">
        <v>50</v>
      </c>
      <c r="K541" s="1" t="s">
        <v>50</v>
      </c>
      <c r="L541">
        <f t="shared" si="60"/>
        <v>96.197414256198073</v>
      </c>
      <c r="M541">
        <f t="shared" si="59"/>
        <v>172.96798541727486</v>
      </c>
      <c r="N541">
        <f t="shared" si="61"/>
        <v>304.39567777634272</v>
      </c>
      <c r="O541">
        <f t="shared" si="62"/>
        <v>290.36739528320618</v>
      </c>
      <c r="P541" t="e">
        <f t="shared" si="63"/>
        <v>#N/A</v>
      </c>
      <c r="Q541" t="e">
        <f t="shared" si="64"/>
        <v>#N/A</v>
      </c>
      <c r="U541">
        <f>C541/Navio!$J$4</f>
        <v>15.754987373214707</v>
      </c>
    </row>
    <row r="542" spans="1:21" x14ac:dyDescent="0.3">
      <c r="A542">
        <v>540</v>
      </c>
      <c r="B542" s="47">
        <v>862.56649487253424</v>
      </c>
      <c r="C542" s="46">
        <v>288.23920287011583</v>
      </c>
      <c r="D542" s="1">
        <v>15</v>
      </c>
      <c r="E542" s="1">
        <v>16</v>
      </c>
      <c r="F542" s="1">
        <v>17</v>
      </c>
      <c r="G542" s="1">
        <v>10</v>
      </c>
      <c r="H542" s="1" t="s">
        <v>50</v>
      </c>
      <c r="I542" s="1" t="s">
        <v>50</v>
      </c>
      <c r="J542" s="1" t="s">
        <v>50</v>
      </c>
      <c r="K542" s="1" t="s">
        <v>50</v>
      </c>
      <c r="L542">
        <f t="shared" si="60"/>
        <v>210.14742667389368</v>
      </c>
      <c r="M542">
        <f t="shared" si="59"/>
        <v>172.96798541727486</v>
      </c>
      <c r="N542">
        <f t="shared" si="61"/>
        <v>304.39567777634272</v>
      </c>
      <c r="O542">
        <f t="shared" si="62"/>
        <v>290.36739528320618</v>
      </c>
      <c r="P542" t="e">
        <f t="shared" si="63"/>
        <v>#N/A</v>
      </c>
      <c r="Q542" t="e">
        <f t="shared" si="64"/>
        <v>#N/A</v>
      </c>
      <c r="U542">
        <f>C542/Navio!$J$4</f>
        <v>15.563685307185784</v>
      </c>
    </row>
    <row r="543" spans="1:21" x14ac:dyDescent="0.3">
      <c r="A543">
        <v>541</v>
      </c>
      <c r="B543" s="47">
        <v>588.11333669453722</v>
      </c>
      <c r="C543" s="46">
        <v>274.44778238684148</v>
      </c>
      <c r="D543" s="1">
        <v>12</v>
      </c>
      <c r="E543" s="1">
        <v>14</v>
      </c>
      <c r="F543" s="1">
        <v>13</v>
      </c>
      <c r="G543" s="1">
        <v>11</v>
      </c>
      <c r="H543" s="1" t="s">
        <v>50</v>
      </c>
      <c r="I543" s="1" t="s">
        <v>50</v>
      </c>
      <c r="J543" s="1" t="s">
        <v>50</v>
      </c>
      <c r="K543" s="1" t="s">
        <v>50</v>
      </c>
      <c r="L543">
        <f t="shared" si="60"/>
        <v>82.076561445310972</v>
      </c>
      <c r="M543">
        <f t="shared" si="59"/>
        <v>96.197414256198073</v>
      </c>
      <c r="N543">
        <f t="shared" si="61"/>
        <v>185.56448544286178</v>
      </c>
      <c r="O543">
        <f t="shared" si="62"/>
        <v>278.99258318037374</v>
      </c>
      <c r="P543" t="e">
        <f t="shared" si="63"/>
        <v>#N/A</v>
      </c>
      <c r="Q543" t="e">
        <f t="shared" si="64"/>
        <v>#N/A</v>
      </c>
      <c r="U543">
        <f>C543/Navio!$J$4</f>
        <v>14.819007531909394</v>
      </c>
    </row>
    <row r="544" spans="1:21" x14ac:dyDescent="0.3">
      <c r="A544">
        <v>542</v>
      </c>
      <c r="B544" s="47">
        <v>702.0633491122328</v>
      </c>
      <c r="C544" s="46">
        <v>270.69077880210375</v>
      </c>
      <c r="D544" s="1">
        <v>12</v>
      </c>
      <c r="E544" s="1">
        <v>15</v>
      </c>
      <c r="F544" s="1">
        <v>13</v>
      </c>
      <c r="G544" s="1">
        <v>11</v>
      </c>
      <c r="H544" s="1" t="s">
        <v>50</v>
      </c>
      <c r="I544" s="1" t="s">
        <v>50</v>
      </c>
      <c r="J544" s="1" t="s">
        <v>50</v>
      </c>
      <c r="K544" s="1" t="s">
        <v>50</v>
      </c>
      <c r="L544">
        <f t="shared" si="60"/>
        <v>82.076561445310972</v>
      </c>
      <c r="M544">
        <f t="shared" si="59"/>
        <v>210.14742667389368</v>
      </c>
      <c r="N544">
        <f t="shared" si="61"/>
        <v>185.56448544286178</v>
      </c>
      <c r="O544">
        <f t="shared" si="62"/>
        <v>278.99258318037374</v>
      </c>
      <c r="P544" t="e">
        <f t="shared" si="63"/>
        <v>#N/A</v>
      </c>
      <c r="Q544" t="e">
        <f t="shared" si="64"/>
        <v>#N/A</v>
      </c>
      <c r="U544">
        <f>C544/Navio!$J$4</f>
        <v>14.616145392031857</v>
      </c>
    </row>
    <row r="545" spans="1:21" x14ac:dyDescent="0.3">
      <c r="A545">
        <v>543</v>
      </c>
      <c r="B545" s="47">
        <v>549.57191757743078</v>
      </c>
      <c r="C545" s="46">
        <v>281.5139508363884</v>
      </c>
      <c r="D545" s="1">
        <v>12</v>
      </c>
      <c r="E545" s="1">
        <v>16</v>
      </c>
      <c r="F545" s="1">
        <v>13</v>
      </c>
      <c r="G545" s="1">
        <v>11</v>
      </c>
      <c r="H545" s="1" t="s">
        <v>50</v>
      </c>
      <c r="I545" s="1" t="s">
        <v>50</v>
      </c>
      <c r="J545" s="1" t="s">
        <v>50</v>
      </c>
      <c r="K545" s="1" t="s">
        <v>50</v>
      </c>
      <c r="L545">
        <f t="shared" si="60"/>
        <v>82.076561445310972</v>
      </c>
      <c r="M545">
        <f t="shared" si="59"/>
        <v>172.96798541727486</v>
      </c>
      <c r="N545">
        <f t="shared" si="61"/>
        <v>185.56448544286178</v>
      </c>
      <c r="O545">
        <f t="shared" si="62"/>
        <v>278.99258318037374</v>
      </c>
      <c r="P545" t="e">
        <f t="shared" si="63"/>
        <v>#N/A</v>
      </c>
      <c r="Q545" t="e">
        <f t="shared" si="64"/>
        <v>#N/A</v>
      </c>
      <c r="U545">
        <f>C545/Navio!$J$4</f>
        <v>15.200550434405796</v>
      </c>
    </row>
    <row r="546" spans="1:21" x14ac:dyDescent="0.3">
      <c r="A546">
        <v>544</v>
      </c>
      <c r="B546" s="47">
        <v>796.3116002146819</v>
      </c>
      <c r="C546" s="46">
        <v>279.84625206909334</v>
      </c>
      <c r="D546" s="1">
        <v>12</v>
      </c>
      <c r="E546" s="1">
        <v>17</v>
      </c>
      <c r="F546" s="1">
        <v>13</v>
      </c>
      <c r="G546" s="1">
        <v>11</v>
      </c>
      <c r="H546" s="1" t="s">
        <v>50</v>
      </c>
      <c r="I546" s="1" t="s">
        <v>50</v>
      </c>
      <c r="J546" s="1" t="s">
        <v>50</v>
      </c>
      <c r="K546" s="1" t="s">
        <v>50</v>
      </c>
      <c r="L546">
        <f t="shared" si="60"/>
        <v>82.076561445310972</v>
      </c>
      <c r="M546">
        <f t="shared" si="59"/>
        <v>304.39567777634272</v>
      </c>
      <c r="N546">
        <f t="shared" si="61"/>
        <v>185.56448544286178</v>
      </c>
      <c r="O546">
        <f t="shared" si="62"/>
        <v>278.99258318037374</v>
      </c>
      <c r="P546" t="e">
        <f t="shared" si="63"/>
        <v>#N/A</v>
      </c>
      <c r="Q546" t="e">
        <f t="shared" si="64"/>
        <v>#N/A</v>
      </c>
      <c r="U546">
        <f>C546/Navio!$J$4</f>
        <v>15.110501827058453</v>
      </c>
    </row>
    <row r="547" spans="1:21" x14ac:dyDescent="0.3">
      <c r="A547">
        <v>545</v>
      </c>
      <c r="B547" s="47">
        <v>612.69627792556912</v>
      </c>
      <c r="C547" s="46">
        <v>278.38844138231423</v>
      </c>
      <c r="D547" s="1">
        <v>12</v>
      </c>
      <c r="E547" s="1">
        <v>14</v>
      </c>
      <c r="F547" s="1">
        <v>15</v>
      </c>
      <c r="G547" s="1">
        <v>11</v>
      </c>
      <c r="H547" s="1" t="s">
        <v>50</v>
      </c>
      <c r="I547" s="1" t="s">
        <v>50</v>
      </c>
      <c r="J547" s="1" t="s">
        <v>50</v>
      </c>
      <c r="K547" s="1" t="s">
        <v>50</v>
      </c>
      <c r="L547">
        <f t="shared" si="60"/>
        <v>82.076561445310972</v>
      </c>
      <c r="M547">
        <f t="shared" si="59"/>
        <v>96.197414256198073</v>
      </c>
      <c r="N547">
        <f t="shared" si="61"/>
        <v>210.14742667389368</v>
      </c>
      <c r="O547">
        <f t="shared" si="62"/>
        <v>278.99258318037374</v>
      </c>
      <c r="P547" t="e">
        <f t="shared" si="63"/>
        <v>#N/A</v>
      </c>
      <c r="Q547" t="e">
        <f t="shared" si="64"/>
        <v>#N/A</v>
      </c>
      <c r="U547">
        <f>C547/Navio!$J$4</f>
        <v>15.031786279205976</v>
      </c>
    </row>
    <row r="548" spans="1:21" x14ac:dyDescent="0.3">
      <c r="A548">
        <v>546</v>
      </c>
      <c r="B548" s="47">
        <v>460.2048463907671</v>
      </c>
      <c r="C548" s="46">
        <v>287.90128084482035</v>
      </c>
      <c r="D548" s="1">
        <v>12</v>
      </c>
      <c r="E548" s="1">
        <v>14</v>
      </c>
      <c r="F548" s="1">
        <v>16</v>
      </c>
      <c r="G548" s="1">
        <v>11</v>
      </c>
      <c r="H548" s="1" t="s">
        <v>50</v>
      </c>
      <c r="I548" s="1" t="s">
        <v>50</v>
      </c>
      <c r="J548" s="1" t="s">
        <v>50</v>
      </c>
      <c r="K548" s="1" t="s">
        <v>50</v>
      </c>
      <c r="L548">
        <f t="shared" si="60"/>
        <v>82.076561445310972</v>
      </c>
      <c r="M548">
        <f t="shared" si="59"/>
        <v>96.197414256198073</v>
      </c>
      <c r="N548">
        <f t="shared" si="61"/>
        <v>172.96798541727486</v>
      </c>
      <c r="O548">
        <f t="shared" si="62"/>
        <v>278.99258318037374</v>
      </c>
      <c r="P548" t="e">
        <f t="shared" si="63"/>
        <v>#N/A</v>
      </c>
      <c r="Q548" t="e">
        <f t="shared" si="64"/>
        <v>#N/A</v>
      </c>
      <c r="U548">
        <f>C548/Navio!$J$4</f>
        <v>15.545438961762621</v>
      </c>
    </row>
    <row r="549" spans="1:21" x14ac:dyDescent="0.3">
      <c r="A549">
        <v>547</v>
      </c>
      <c r="B549" s="47">
        <v>706.94452902801822</v>
      </c>
      <c r="C549" s="46">
        <v>290.58341766538865</v>
      </c>
      <c r="D549" s="1">
        <v>12</v>
      </c>
      <c r="E549" s="1">
        <v>14</v>
      </c>
      <c r="F549" s="1">
        <v>17</v>
      </c>
      <c r="G549" s="1">
        <v>11</v>
      </c>
      <c r="H549" s="1" t="s">
        <v>50</v>
      </c>
      <c r="I549" s="1" t="s">
        <v>50</v>
      </c>
      <c r="J549" s="1" t="s">
        <v>50</v>
      </c>
      <c r="K549" s="1" t="s">
        <v>50</v>
      </c>
      <c r="L549">
        <f t="shared" si="60"/>
        <v>82.076561445310972</v>
      </c>
      <c r="M549">
        <f t="shared" si="59"/>
        <v>96.197414256198073</v>
      </c>
      <c r="N549">
        <f t="shared" si="61"/>
        <v>304.39567777634272</v>
      </c>
      <c r="O549">
        <f t="shared" si="62"/>
        <v>278.99258318037374</v>
      </c>
      <c r="P549" t="e">
        <f t="shared" si="63"/>
        <v>#N/A</v>
      </c>
      <c r="Q549" t="e">
        <f t="shared" si="64"/>
        <v>#N/A</v>
      </c>
      <c r="U549">
        <f>C549/Navio!$J$4</f>
        <v>15.690262889286981</v>
      </c>
    </row>
    <row r="550" spans="1:21" x14ac:dyDescent="0.3">
      <c r="A550">
        <v>548</v>
      </c>
      <c r="B550" s="47">
        <v>574.15485880846268</v>
      </c>
      <c r="C550" s="46">
        <v>281.30495753379603</v>
      </c>
      <c r="D550" s="1">
        <v>12</v>
      </c>
      <c r="E550" s="1">
        <v>15</v>
      </c>
      <c r="F550" s="1">
        <v>16</v>
      </c>
      <c r="G550" s="1">
        <v>11</v>
      </c>
      <c r="H550" s="1" t="s">
        <v>50</v>
      </c>
      <c r="I550" s="1" t="s">
        <v>50</v>
      </c>
      <c r="J550" s="1" t="s">
        <v>50</v>
      </c>
      <c r="K550" s="1" t="s">
        <v>50</v>
      </c>
      <c r="L550">
        <f t="shared" si="60"/>
        <v>82.076561445310972</v>
      </c>
      <c r="M550">
        <f t="shared" si="59"/>
        <v>210.14742667389368</v>
      </c>
      <c r="N550">
        <f t="shared" si="61"/>
        <v>172.96798541727486</v>
      </c>
      <c r="O550">
        <f t="shared" si="62"/>
        <v>278.99258318037374</v>
      </c>
      <c r="P550" t="e">
        <f t="shared" si="63"/>
        <v>#N/A</v>
      </c>
      <c r="Q550" t="e">
        <f t="shared" si="64"/>
        <v>#N/A</v>
      </c>
      <c r="U550">
        <f>C550/Navio!$J$4</f>
        <v>15.189265689095413</v>
      </c>
    </row>
    <row r="551" spans="1:21" x14ac:dyDescent="0.3">
      <c r="A551">
        <v>549</v>
      </c>
      <c r="B551" s="47">
        <v>820.8945414457138</v>
      </c>
      <c r="C551" s="46">
        <v>282.1504668596823</v>
      </c>
      <c r="D551" s="1">
        <v>12</v>
      </c>
      <c r="E551" s="1">
        <v>15</v>
      </c>
      <c r="F551" s="1">
        <v>17</v>
      </c>
      <c r="G551" s="1">
        <v>11</v>
      </c>
      <c r="H551" s="1" t="s">
        <v>50</v>
      </c>
      <c r="I551" s="1" t="s">
        <v>50</v>
      </c>
      <c r="J551" s="1" t="s">
        <v>50</v>
      </c>
      <c r="K551" s="1" t="s">
        <v>50</v>
      </c>
      <c r="L551">
        <f t="shared" si="60"/>
        <v>82.076561445310972</v>
      </c>
      <c r="M551">
        <f t="shared" si="59"/>
        <v>210.14742667389368</v>
      </c>
      <c r="N551">
        <f t="shared" si="61"/>
        <v>304.39567777634272</v>
      </c>
      <c r="O551">
        <f t="shared" si="62"/>
        <v>278.99258318037374</v>
      </c>
      <c r="P551" t="e">
        <f t="shared" si="63"/>
        <v>#N/A</v>
      </c>
      <c r="Q551" t="e">
        <f t="shared" si="64"/>
        <v>#N/A</v>
      </c>
      <c r="U551">
        <f>C551/Navio!$J$4</f>
        <v>15.234919579826974</v>
      </c>
    </row>
    <row r="552" spans="1:21" x14ac:dyDescent="0.3">
      <c r="A552">
        <v>550</v>
      </c>
      <c r="B552" s="47">
        <v>668.40310991091178</v>
      </c>
      <c r="C552" s="46">
        <v>286.07463031269151</v>
      </c>
      <c r="D552" s="1">
        <v>12</v>
      </c>
      <c r="E552" s="1">
        <v>16</v>
      </c>
      <c r="F552" s="1">
        <v>17</v>
      </c>
      <c r="G552" s="1">
        <v>11</v>
      </c>
      <c r="H552" s="1" t="s">
        <v>50</v>
      </c>
      <c r="I552" s="1" t="s">
        <v>50</v>
      </c>
      <c r="J552" s="1" t="s">
        <v>50</v>
      </c>
      <c r="K552" s="1" t="s">
        <v>50</v>
      </c>
      <c r="L552">
        <f t="shared" si="60"/>
        <v>82.076561445310972</v>
      </c>
      <c r="M552">
        <f t="shared" si="59"/>
        <v>172.96798541727486</v>
      </c>
      <c r="N552">
        <f t="shared" si="61"/>
        <v>304.39567777634272</v>
      </c>
      <c r="O552">
        <f t="shared" si="62"/>
        <v>278.99258318037374</v>
      </c>
      <c r="P552" t="e">
        <f t="shared" si="63"/>
        <v>#N/A</v>
      </c>
      <c r="Q552" t="e">
        <f t="shared" si="64"/>
        <v>#N/A</v>
      </c>
      <c r="U552">
        <f>C552/Navio!$J$4</f>
        <v>15.446807638316075</v>
      </c>
    </row>
    <row r="553" spans="1:21" x14ac:dyDescent="0.3">
      <c r="A553">
        <v>551</v>
      </c>
      <c r="B553" s="47">
        <v>770.9019095533273</v>
      </c>
      <c r="C553" s="46">
        <v>276.10400787095125</v>
      </c>
      <c r="D553" s="1">
        <v>14</v>
      </c>
      <c r="E553" s="1">
        <v>15</v>
      </c>
      <c r="F553" s="1">
        <v>13</v>
      </c>
      <c r="G553" s="1">
        <v>11</v>
      </c>
      <c r="H553" s="1" t="s">
        <v>50</v>
      </c>
      <c r="I553" s="1" t="s">
        <v>50</v>
      </c>
      <c r="J553" s="1" t="s">
        <v>50</v>
      </c>
      <c r="K553" s="1" t="s">
        <v>50</v>
      </c>
      <c r="L553">
        <f t="shared" si="60"/>
        <v>96.197414256198073</v>
      </c>
      <c r="M553">
        <f t="shared" si="59"/>
        <v>210.14742667389368</v>
      </c>
      <c r="N553">
        <f t="shared" si="61"/>
        <v>185.56448544286178</v>
      </c>
      <c r="O553">
        <f t="shared" si="62"/>
        <v>278.99258318037374</v>
      </c>
      <c r="P553" t="e">
        <f t="shared" si="63"/>
        <v>#N/A</v>
      </c>
      <c r="Q553" t="e">
        <f t="shared" si="64"/>
        <v>#N/A</v>
      </c>
      <c r="U553">
        <f>C553/Navio!$J$4</f>
        <v>14.908436630990137</v>
      </c>
    </row>
    <row r="554" spans="1:21" x14ac:dyDescent="0.3">
      <c r="A554">
        <v>552</v>
      </c>
      <c r="B554" s="47">
        <v>618.41047801852517</v>
      </c>
      <c r="C554" s="46">
        <v>285.05764522375853</v>
      </c>
      <c r="D554" s="1">
        <v>14</v>
      </c>
      <c r="E554" s="1">
        <v>16</v>
      </c>
      <c r="F554" s="1">
        <v>13</v>
      </c>
      <c r="G554" s="1">
        <v>11</v>
      </c>
      <c r="H554" s="1" t="s">
        <v>50</v>
      </c>
      <c r="I554" s="1" t="s">
        <v>50</v>
      </c>
      <c r="J554" s="1" t="s">
        <v>50</v>
      </c>
      <c r="K554" s="1" t="s">
        <v>50</v>
      </c>
      <c r="L554">
        <f t="shared" si="60"/>
        <v>96.197414256198073</v>
      </c>
      <c r="M554">
        <f t="shared" si="59"/>
        <v>172.96798541727486</v>
      </c>
      <c r="N554">
        <f t="shared" si="61"/>
        <v>185.56448544286178</v>
      </c>
      <c r="O554">
        <f t="shared" si="62"/>
        <v>278.99258318037374</v>
      </c>
      <c r="P554" t="e">
        <f t="shared" si="63"/>
        <v>#N/A</v>
      </c>
      <c r="Q554" t="e">
        <f t="shared" si="64"/>
        <v>#N/A</v>
      </c>
      <c r="U554">
        <f>C554/Navio!$J$4</f>
        <v>15.391894789096929</v>
      </c>
    </row>
    <row r="555" spans="1:21" x14ac:dyDescent="0.3">
      <c r="A555">
        <v>553</v>
      </c>
      <c r="B555" s="47">
        <v>865.15016065577629</v>
      </c>
      <c r="C555" s="46">
        <v>287.61669675624637</v>
      </c>
      <c r="D555" s="1">
        <v>14</v>
      </c>
      <c r="E555" s="1">
        <v>17</v>
      </c>
      <c r="F555" s="1">
        <v>13</v>
      </c>
      <c r="G555" s="1">
        <v>11</v>
      </c>
      <c r="H555" s="1" t="s">
        <v>50</v>
      </c>
      <c r="I555" s="1" t="s">
        <v>50</v>
      </c>
      <c r="J555" s="1" t="s">
        <v>50</v>
      </c>
      <c r="K555" s="1" t="s">
        <v>50</v>
      </c>
      <c r="L555">
        <f t="shared" si="60"/>
        <v>96.197414256198073</v>
      </c>
      <c r="M555">
        <f t="shared" si="59"/>
        <v>304.39567777634272</v>
      </c>
      <c r="N555">
        <f t="shared" si="61"/>
        <v>185.56448544286178</v>
      </c>
      <c r="O555">
        <f t="shared" si="62"/>
        <v>278.99258318037374</v>
      </c>
      <c r="P555" t="e">
        <f t="shared" si="63"/>
        <v>#N/A</v>
      </c>
      <c r="Q555" t="e">
        <f t="shared" si="64"/>
        <v>#N/A</v>
      </c>
      <c r="U555">
        <f>C555/Navio!$J$4</f>
        <v>15.5300726370091</v>
      </c>
    </row>
    <row r="556" spans="1:21" x14ac:dyDescent="0.3">
      <c r="A556">
        <v>554</v>
      </c>
      <c r="B556" s="47">
        <v>732.36049043622086</v>
      </c>
      <c r="C556" s="46">
        <v>281.51473402173599</v>
      </c>
      <c r="D556" s="1">
        <v>15</v>
      </c>
      <c r="E556" s="1">
        <v>16</v>
      </c>
      <c r="F556" s="1">
        <v>13</v>
      </c>
      <c r="G556" s="1">
        <v>11</v>
      </c>
      <c r="H556" s="1" t="s">
        <v>50</v>
      </c>
      <c r="I556" s="1" t="s">
        <v>50</v>
      </c>
      <c r="J556" s="1" t="s">
        <v>50</v>
      </c>
      <c r="K556" s="1" t="s">
        <v>50</v>
      </c>
      <c r="L556">
        <f t="shared" si="60"/>
        <v>210.14742667389368</v>
      </c>
      <c r="M556">
        <f t="shared" si="59"/>
        <v>172.96798541727486</v>
      </c>
      <c r="N556">
        <f t="shared" si="61"/>
        <v>185.56448544286178</v>
      </c>
      <c r="O556">
        <f t="shared" si="62"/>
        <v>278.99258318037374</v>
      </c>
      <c r="P556" t="e">
        <f t="shared" si="63"/>
        <v>#N/A</v>
      </c>
      <c r="Q556" t="e">
        <f t="shared" si="64"/>
        <v>#N/A</v>
      </c>
      <c r="U556">
        <f>C556/Navio!$J$4</f>
        <v>15.200592723068009</v>
      </c>
    </row>
    <row r="557" spans="1:21" x14ac:dyDescent="0.3">
      <c r="A557">
        <v>555</v>
      </c>
      <c r="B557" s="47">
        <v>826.60874153866985</v>
      </c>
      <c r="C557" s="46">
        <v>286.15744921584508</v>
      </c>
      <c r="D557" s="1">
        <v>16</v>
      </c>
      <c r="E557" s="1">
        <v>17</v>
      </c>
      <c r="F557" s="1">
        <v>13</v>
      </c>
      <c r="G557" s="1">
        <v>11</v>
      </c>
      <c r="H557" s="1" t="s">
        <v>50</v>
      </c>
      <c r="I557" s="1" t="s">
        <v>50</v>
      </c>
      <c r="J557" s="1" t="s">
        <v>50</v>
      </c>
      <c r="K557" s="1" t="s">
        <v>50</v>
      </c>
      <c r="L557">
        <f t="shared" si="60"/>
        <v>172.96798541727486</v>
      </c>
      <c r="M557">
        <f t="shared" si="59"/>
        <v>304.39567777634272</v>
      </c>
      <c r="N557">
        <f t="shared" si="61"/>
        <v>185.56448544286178</v>
      </c>
      <c r="O557">
        <f t="shared" si="62"/>
        <v>278.99258318037374</v>
      </c>
      <c r="P557" t="e">
        <f t="shared" si="63"/>
        <v>#N/A</v>
      </c>
      <c r="Q557" t="e">
        <f t="shared" si="64"/>
        <v>#N/A</v>
      </c>
      <c r="U557">
        <f>C557/Navio!$J$4</f>
        <v>15.451279505200709</v>
      </c>
    </row>
    <row r="558" spans="1:21" x14ac:dyDescent="0.3">
      <c r="A558">
        <v>556</v>
      </c>
      <c r="B558" s="47">
        <v>642.99341924955706</v>
      </c>
      <c r="C558" s="46">
        <v>285.81452688597381</v>
      </c>
      <c r="D558" s="1">
        <v>14</v>
      </c>
      <c r="E558" s="1">
        <v>16</v>
      </c>
      <c r="F558" s="1">
        <v>15</v>
      </c>
      <c r="G558" s="1">
        <v>11</v>
      </c>
      <c r="H558" s="1" t="s">
        <v>50</v>
      </c>
      <c r="I558" s="1" t="s">
        <v>50</v>
      </c>
      <c r="J558" s="1" t="s">
        <v>50</v>
      </c>
      <c r="K558" s="1" t="s">
        <v>50</v>
      </c>
      <c r="L558">
        <f t="shared" si="60"/>
        <v>96.197414256198073</v>
      </c>
      <c r="M558">
        <f t="shared" si="59"/>
        <v>172.96798541727486</v>
      </c>
      <c r="N558">
        <f t="shared" si="61"/>
        <v>210.14742667389368</v>
      </c>
      <c r="O558">
        <f t="shared" si="62"/>
        <v>278.99258318037374</v>
      </c>
      <c r="P558" t="e">
        <f t="shared" si="63"/>
        <v>#N/A</v>
      </c>
      <c r="Q558" t="e">
        <f t="shared" si="64"/>
        <v>#N/A</v>
      </c>
      <c r="U558">
        <f>C558/Navio!$J$4</f>
        <v>15.432763164696784</v>
      </c>
    </row>
    <row r="559" spans="1:21" x14ac:dyDescent="0.3">
      <c r="A559">
        <v>557</v>
      </c>
      <c r="B559" s="47">
        <v>889.73310188680819</v>
      </c>
      <c r="C559" s="46">
        <v>287.5636959285298</v>
      </c>
      <c r="D559" s="1">
        <v>14</v>
      </c>
      <c r="E559" s="1">
        <v>15</v>
      </c>
      <c r="F559" s="1">
        <v>17</v>
      </c>
      <c r="G559" s="1">
        <v>11</v>
      </c>
      <c r="H559" s="1" t="s">
        <v>50</v>
      </c>
      <c r="I559" s="1" t="s">
        <v>50</v>
      </c>
      <c r="J559" s="1" t="s">
        <v>50</v>
      </c>
      <c r="K559" s="1" t="s">
        <v>50</v>
      </c>
      <c r="L559">
        <f t="shared" si="60"/>
        <v>96.197414256198073</v>
      </c>
      <c r="M559">
        <f t="shared" si="59"/>
        <v>210.14742667389368</v>
      </c>
      <c r="N559">
        <f t="shared" si="61"/>
        <v>304.39567777634272</v>
      </c>
      <c r="O559">
        <f t="shared" si="62"/>
        <v>278.99258318037374</v>
      </c>
      <c r="P559" t="e">
        <f t="shared" si="63"/>
        <v>#N/A</v>
      </c>
      <c r="Q559" t="e">
        <f t="shared" si="64"/>
        <v>#N/A</v>
      </c>
      <c r="U559">
        <f>C559/Navio!$J$4</f>
        <v>15.527210818785253</v>
      </c>
    </row>
    <row r="560" spans="1:21" x14ac:dyDescent="0.3">
      <c r="A560">
        <v>558</v>
      </c>
      <c r="B560" s="47">
        <v>737.24167035200617</v>
      </c>
      <c r="C560" s="46">
        <v>289.61832470006163</v>
      </c>
      <c r="D560" s="1">
        <v>14</v>
      </c>
      <c r="E560" s="1">
        <v>16</v>
      </c>
      <c r="F560" s="1">
        <v>17</v>
      </c>
      <c r="G560" s="1">
        <v>11</v>
      </c>
      <c r="H560" s="1" t="s">
        <v>50</v>
      </c>
      <c r="I560" s="1" t="s">
        <v>50</v>
      </c>
      <c r="J560" s="1" t="s">
        <v>50</v>
      </c>
      <c r="K560" s="1" t="s">
        <v>50</v>
      </c>
      <c r="L560">
        <f t="shared" si="60"/>
        <v>96.197414256198073</v>
      </c>
      <c r="M560">
        <f t="shared" si="59"/>
        <v>172.96798541727486</v>
      </c>
      <c r="N560">
        <f t="shared" si="61"/>
        <v>304.39567777634272</v>
      </c>
      <c r="O560">
        <f t="shared" si="62"/>
        <v>278.99258318037374</v>
      </c>
      <c r="P560" t="e">
        <f t="shared" si="63"/>
        <v>#N/A</v>
      </c>
      <c r="Q560" t="e">
        <f t="shared" si="64"/>
        <v>#N/A</v>
      </c>
      <c r="U560">
        <f>C560/Navio!$J$4</f>
        <v>15.638151993007209</v>
      </c>
    </row>
    <row r="561" spans="1:21" x14ac:dyDescent="0.3">
      <c r="A561">
        <v>559</v>
      </c>
      <c r="B561" s="47">
        <v>851.19168276970174</v>
      </c>
      <c r="C561" s="46">
        <v>286.07541349803904</v>
      </c>
      <c r="D561" s="1">
        <v>15</v>
      </c>
      <c r="E561" s="1">
        <v>16</v>
      </c>
      <c r="F561" s="1">
        <v>17</v>
      </c>
      <c r="G561" s="1">
        <v>11</v>
      </c>
      <c r="H561" s="1" t="s">
        <v>50</v>
      </c>
      <c r="I561" s="1" t="s">
        <v>50</v>
      </c>
      <c r="J561" s="1" t="s">
        <v>50</v>
      </c>
      <c r="K561" s="1" t="s">
        <v>50</v>
      </c>
      <c r="L561">
        <f t="shared" si="60"/>
        <v>210.14742667389368</v>
      </c>
      <c r="M561">
        <f t="shared" si="59"/>
        <v>172.96798541727486</v>
      </c>
      <c r="N561">
        <f t="shared" si="61"/>
        <v>304.39567777634272</v>
      </c>
      <c r="O561">
        <f t="shared" si="62"/>
        <v>278.99258318037374</v>
      </c>
      <c r="P561" t="e">
        <f t="shared" si="63"/>
        <v>#N/A</v>
      </c>
      <c r="Q561" t="e">
        <f t="shared" si="64"/>
        <v>#N/A</v>
      </c>
      <c r="U561">
        <f>C561/Navio!$J$4</f>
        <v>15.446849926978286</v>
      </c>
    </row>
    <row r="562" spans="1:21" x14ac:dyDescent="0.3">
      <c r="A562">
        <v>560</v>
      </c>
      <c r="B562" s="47">
        <v>519.26818018805716</v>
      </c>
      <c r="C562" s="46">
        <v>278.27366332501413</v>
      </c>
      <c r="D562" s="1">
        <v>13</v>
      </c>
      <c r="E562" s="1">
        <v>15</v>
      </c>
      <c r="F562" s="1">
        <v>14</v>
      </c>
      <c r="G562" s="1">
        <v>12</v>
      </c>
      <c r="H562" s="1" t="s">
        <v>50</v>
      </c>
      <c r="I562" s="1" t="s">
        <v>50</v>
      </c>
      <c r="J562" s="1" t="s">
        <v>50</v>
      </c>
      <c r="K562" s="1" t="s">
        <v>50</v>
      </c>
      <c r="L562">
        <f t="shared" si="60"/>
        <v>185.56448544286178</v>
      </c>
      <c r="M562">
        <f t="shared" si="59"/>
        <v>210.14742667389368</v>
      </c>
      <c r="N562">
        <f t="shared" si="61"/>
        <v>96.197414256198073</v>
      </c>
      <c r="O562">
        <f t="shared" si="62"/>
        <v>82.076561445310972</v>
      </c>
      <c r="P562" t="e">
        <f t="shared" si="63"/>
        <v>#N/A</v>
      </c>
      <c r="Q562" t="e">
        <f t="shared" si="64"/>
        <v>#N/A</v>
      </c>
      <c r="U562">
        <f>C562/Navio!$J$4</f>
        <v>15.025588754559081</v>
      </c>
    </row>
    <row r="563" spans="1:21" x14ac:dyDescent="0.3">
      <c r="A563">
        <v>561</v>
      </c>
      <c r="B563" s="47">
        <v>366.77674865325514</v>
      </c>
      <c r="C563" s="46">
        <v>287.22730067782152</v>
      </c>
      <c r="D563" s="1">
        <v>13</v>
      </c>
      <c r="E563" s="1">
        <v>16</v>
      </c>
      <c r="F563" s="1">
        <v>14</v>
      </c>
      <c r="G563" s="1">
        <v>12</v>
      </c>
      <c r="H563" s="1" t="s">
        <v>50</v>
      </c>
      <c r="I563" s="1" t="s">
        <v>50</v>
      </c>
      <c r="J563" s="1" t="s">
        <v>50</v>
      </c>
      <c r="K563" s="1" t="s">
        <v>50</v>
      </c>
      <c r="L563">
        <f t="shared" si="60"/>
        <v>185.56448544286178</v>
      </c>
      <c r="M563">
        <f t="shared" si="59"/>
        <v>172.96798541727486</v>
      </c>
      <c r="N563">
        <f t="shared" si="61"/>
        <v>96.197414256198073</v>
      </c>
      <c r="O563">
        <f t="shared" si="62"/>
        <v>82.076561445310972</v>
      </c>
      <c r="P563" t="e">
        <f t="shared" si="63"/>
        <v>#N/A</v>
      </c>
      <c r="Q563" t="e">
        <f t="shared" si="64"/>
        <v>#N/A</v>
      </c>
      <c r="U563">
        <f>C563/Navio!$J$4</f>
        <v>15.50904691266588</v>
      </c>
    </row>
    <row r="564" spans="1:21" x14ac:dyDescent="0.3">
      <c r="A564">
        <v>562</v>
      </c>
      <c r="B564" s="47">
        <v>613.51643129050626</v>
      </c>
      <c r="C564" s="46">
        <v>289.78635221030936</v>
      </c>
      <c r="D564" s="1">
        <v>13</v>
      </c>
      <c r="E564" s="1">
        <v>17</v>
      </c>
      <c r="F564" s="1">
        <v>14</v>
      </c>
      <c r="G564" s="1">
        <v>12</v>
      </c>
      <c r="H564" s="1" t="s">
        <v>50</v>
      </c>
      <c r="I564" s="1" t="s">
        <v>50</v>
      </c>
      <c r="J564" s="1" t="s">
        <v>50</v>
      </c>
      <c r="K564" s="1" t="s">
        <v>50</v>
      </c>
      <c r="L564">
        <f t="shared" si="60"/>
        <v>185.56448544286178</v>
      </c>
      <c r="M564">
        <f t="shared" si="59"/>
        <v>304.39567777634272</v>
      </c>
      <c r="N564">
        <f t="shared" si="61"/>
        <v>96.197414256198073</v>
      </c>
      <c r="O564">
        <f t="shared" si="62"/>
        <v>82.076561445310972</v>
      </c>
      <c r="P564" t="e">
        <f t="shared" si="63"/>
        <v>#N/A</v>
      </c>
      <c r="Q564" t="e">
        <f t="shared" si="64"/>
        <v>#N/A</v>
      </c>
      <c r="U564">
        <f>C564/Navio!$J$4</f>
        <v>15.647224760578052</v>
      </c>
    </row>
    <row r="565" spans="1:21" x14ac:dyDescent="0.3">
      <c r="A565">
        <v>563</v>
      </c>
      <c r="B565" s="47">
        <v>480.72676107095072</v>
      </c>
      <c r="C565" s="46">
        <v>280.6309773667972</v>
      </c>
      <c r="D565" s="1">
        <v>13</v>
      </c>
      <c r="E565" s="1">
        <v>16</v>
      </c>
      <c r="F565" s="1">
        <v>15</v>
      </c>
      <c r="G565" s="1">
        <v>12</v>
      </c>
      <c r="H565" s="1" t="s">
        <v>50</v>
      </c>
      <c r="I565" s="1" t="s">
        <v>50</v>
      </c>
      <c r="J565" s="1" t="s">
        <v>50</v>
      </c>
      <c r="K565" s="1" t="s">
        <v>50</v>
      </c>
      <c r="L565">
        <f t="shared" si="60"/>
        <v>185.56448544286178</v>
      </c>
      <c r="M565">
        <f t="shared" si="59"/>
        <v>172.96798541727486</v>
      </c>
      <c r="N565">
        <f t="shared" si="61"/>
        <v>210.14742667389368</v>
      </c>
      <c r="O565">
        <f t="shared" si="62"/>
        <v>82.076561445310972</v>
      </c>
      <c r="P565" t="e">
        <f t="shared" si="63"/>
        <v>#N/A</v>
      </c>
      <c r="Q565" t="e">
        <f t="shared" si="64"/>
        <v>#N/A</v>
      </c>
      <c r="U565">
        <f>C565/Navio!$J$4</f>
        <v>15.152873639998672</v>
      </c>
    </row>
    <row r="566" spans="1:21" x14ac:dyDescent="0.3">
      <c r="A566">
        <v>564</v>
      </c>
      <c r="B566" s="47">
        <v>727.46644370820184</v>
      </c>
      <c r="C566" s="46">
        <v>281.35340140460306</v>
      </c>
      <c r="D566" s="1">
        <v>13</v>
      </c>
      <c r="E566" s="1">
        <v>17</v>
      </c>
      <c r="F566" s="1">
        <v>15</v>
      </c>
      <c r="G566" s="1">
        <v>12</v>
      </c>
      <c r="H566" s="1" t="s">
        <v>50</v>
      </c>
      <c r="I566" s="1" t="s">
        <v>50</v>
      </c>
      <c r="J566" s="1" t="s">
        <v>50</v>
      </c>
      <c r="K566" s="1" t="s">
        <v>50</v>
      </c>
      <c r="L566">
        <f t="shared" si="60"/>
        <v>185.56448544286178</v>
      </c>
      <c r="M566">
        <f t="shared" si="59"/>
        <v>304.39567777634272</v>
      </c>
      <c r="N566">
        <f t="shared" si="61"/>
        <v>210.14742667389368</v>
      </c>
      <c r="O566">
        <f t="shared" si="62"/>
        <v>82.076561445310972</v>
      </c>
      <c r="P566" t="e">
        <f t="shared" si="63"/>
        <v>#N/A</v>
      </c>
      <c r="Q566" t="e">
        <f t="shared" si="64"/>
        <v>#N/A</v>
      </c>
      <c r="U566">
        <f>C566/Navio!$J$4</f>
        <v>15.191881451118048</v>
      </c>
    </row>
    <row r="567" spans="1:21" x14ac:dyDescent="0.3">
      <c r="A567">
        <v>565</v>
      </c>
      <c r="B567" s="47">
        <v>574.97501217339982</v>
      </c>
      <c r="C567" s="46">
        <v>285.27756485761222</v>
      </c>
      <c r="D567" s="1">
        <v>13</v>
      </c>
      <c r="E567" s="1">
        <v>17</v>
      </c>
      <c r="F567" s="1">
        <v>16</v>
      </c>
      <c r="G567" s="1">
        <v>12</v>
      </c>
      <c r="H567" s="1" t="s">
        <v>50</v>
      </c>
      <c r="I567" s="1" t="s">
        <v>50</v>
      </c>
      <c r="J567" s="1" t="s">
        <v>50</v>
      </c>
      <c r="K567" s="1" t="s">
        <v>50</v>
      </c>
      <c r="L567">
        <f t="shared" si="60"/>
        <v>185.56448544286178</v>
      </c>
      <c r="M567">
        <f t="shared" si="59"/>
        <v>304.39567777634272</v>
      </c>
      <c r="N567">
        <f t="shared" si="61"/>
        <v>172.96798541727486</v>
      </c>
      <c r="O567">
        <f t="shared" si="62"/>
        <v>82.076561445310972</v>
      </c>
      <c r="P567" t="e">
        <f t="shared" si="63"/>
        <v>#N/A</v>
      </c>
      <c r="Q567" t="e">
        <f t="shared" si="64"/>
        <v>#N/A</v>
      </c>
      <c r="U567">
        <f>C567/Navio!$J$4</f>
        <v>15.403769509607146</v>
      </c>
    </row>
    <row r="568" spans="1:21" x14ac:dyDescent="0.3">
      <c r="A568">
        <v>566</v>
      </c>
      <c r="B568" s="47">
        <v>391.35968988428704</v>
      </c>
      <c r="C568" s="46">
        <v>281.01350240842066</v>
      </c>
      <c r="D568" s="1">
        <v>14</v>
      </c>
      <c r="E568" s="1">
        <v>16</v>
      </c>
      <c r="F568" s="1">
        <v>15</v>
      </c>
      <c r="G568" s="1">
        <v>12</v>
      </c>
      <c r="H568" s="1" t="s">
        <v>50</v>
      </c>
      <c r="I568" s="1" t="s">
        <v>50</v>
      </c>
      <c r="J568" s="1" t="s">
        <v>50</v>
      </c>
      <c r="K568" s="1" t="s">
        <v>50</v>
      </c>
      <c r="L568">
        <f t="shared" si="60"/>
        <v>96.197414256198073</v>
      </c>
      <c r="M568">
        <f t="shared" si="59"/>
        <v>172.96798541727486</v>
      </c>
      <c r="N568">
        <f t="shared" si="61"/>
        <v>210.14742667389368</v>
      </c>
      <c r="O568">
        <f t="shared" si="62"/>
        <v>82.076561445310972</v>
      </c>
      <c r="P568" t="e">
        <f t="shared" si="63"/>
        <v>#N/A</v>
      </c>
      <c r="Q568" t="e">
        <f t="shared" si="64"/>
        <v>#N/A</v>
      </c>
      <c r="U568">
        <f>C568/Navio!$J$4</f>
        <v>15.173528357714599</v>
      </c>
    </row>
    <row r="569" spans="1:21" x14ac:dyDescent="0.3">
      <c r="A569">
        <v>567</v>
      </c>
      <c r="B569" s="47">
        <v>638.09937252153816</v>
      </c>
      <c r="C569" s="46">
        <v>287.70973740252668</v>
      </c>
      <c r="D569" s="1">
        <v>14</v>
      </c>
      <c r="E569" s="1">
        <v>15</v>
      </c>
      <c r="F569" s="1">
        <v>17</v>
      </c>
      <c r="G569" s="1">
        <v>12</v>
      </c>
      <c r="H569" s="1" t="s">
        <v>50</v>
      </c>
      <c r="I569" s="1" t="s">
        <v>50</v>
      </c>
      <c r="J569" s="1" t="s">
        <v>50</v>
      </c>
      <c r="K569" s="1" t="s">
        <v>50</v>
      </c>
      <c r="L569">
        <f t="shared" si="60"/>
        <v>96.197414256198073</v>
      </c>
      <c r="M569">
        <f t="shared" si="59"/>
        <v>210.14742667389368</v>
      </c>
      <c r="N569">
        <f t="shared" si="61"/>
        <v>304.39567777634272</v>
      </c>
      <c r="O569">
        <f t="shared" si="62"/>
        <v>82.076561445310972</v>
      </c>
      <c r="P569" t="e">
        <f t="shared" si="63"/>
        <v>#N/A</v>
      </c>
      <c r="Q569" t="e">
        <f t="shared" si="64"/>
        <v>#N/A</v>
      </c>
      <c r="U569">
        <f>C569/Navio!$J$4</f>
        <v>15.535096434345013</v>
      </c>
    </row>
    <row r="570" spans="1:21" x14ac:dyDescent="0.3">
      <c r="A570">
        <v>568</v>
      </c>
      <c r="B570" s="47">
        <v>485.60794098673608</v>
      </c>
      <c r="C570" s="46">
        <v>289.76436617405858</v>
      </c>
      <c r="D570" s="1">
        <v>14</v>
      </c>
      <c r="E570" s="1">
        <v>16</v>
      </c>
      <c r="F570" s="1">
        <v>17</v>
      </c>
      <c r="G570" s="1">
        <v>12</v>
      </c>
      <c r="H570" s="1" t="s">
        <v>50</v>
      </c>
      <c r="I570" s="1" t="s">
        <v>50</v>
      </c>
      <c r="J570" s="1" t="s">
        <v>50</v>
      </c>
      <c r="K570" s="1" t="s">
        <v>50</v>
      </c>
      <c r="L570">
        <f t="shared" si="60"/>
        <v>96.197414256198073</v>
      </c>
      <c r="M570">
        <f t="shared" si="59"/>
        <v>172.96798541727486</v>
      </c>
      <c r="N570">
        <f t="shared" si="61"/>
        <v>304.39567777634272</v>
      </c>
      <c r="O570">
        <f t="shared" si="62"/>
        <v>82.076561445310972</v>
      </c>
      <c r="P570" t="e">
        <f t="shared" si="63"/>
        <v>#N/A</v>
      </c>
      <c r="Q570" t="e">
        <f t="shared" si="64"/>
        <v>#N/A</v>
      </c>
      <c r="U570">
        <f>C570/Navio!$J$4</f>
        <v>15.646037608566971</v>
      </c>
    </row>
    <row r="571" spans="1:21" x14ac:dyDescent="0.3">
      <c r="A571">
        <v>569</v>
      </c>
      <c r="B571" s="47">
        <v>599.55795340443171</v>
      </c>
      <c r="C571" s="46">
        <v>284.94215098089944</v>
      </c>
      <c r="D571" s="1">
        <v>17</v>
      </c>
      <c r="E571" s="1">
        <v>16</v>
      </c>
      <c r="F571" s="1">
        <v>15</v>
      </c>
      <c r="G571" s="1">
        <v>12</v>
      </c>
      <c r="H571" s="1" t="s">
        <v>50</v>
      </c>
      <c r="I571" s="1" t="s">
        <v>50</v>
      </c>
      <c r="J571" s="1" t="s">
        <v>50</v>
      </c>
      <c r="K571" s="1" t="s">
        <v>50</v>
      </c>
      <c r="L571">
        <f t="shared" si="60"/>
        <v>304.39567777634272</v>
      </c>
      <c r="M571">
        <f t="shared" si="59"/>
        <v>172.96798541727486</v>
      </c>
      <c r="N571">
        <f t="shared" si="61"/>
        <v>210.14742667389368</v>
      </c>
      <c r="O571">
        <f t="shared" si="62"/>
        <v>82.076561445310972</v>
      </c>
      <c r="P571" t="e">
        <f t="shared" si="63"/>
        <v>#N/A</v>
      </c>
      <c r="Q571" t="e">
        <f t="shared" si="64"/>
        <v>#N/A</v>
      </c>
      <c r="U571">
        <f>C571/Navio!$J$4</f>
        <v>15.385658593490115</v>
      </c>
    </row>
    <row r="572" spans="1:21" x14ac:dyDescent="0.3">
      <c r="A572">
        <v>570</v>
      </c>
      <c r="B572" s="47">
        <v>549.5653215120451</v>
      </c>
      <c r="C572" s="46">
        <v>285.69974882867371</v>
      </c>
      <c r="D572" s="1">
        <v>14</v>
      </c>
      <c r="E572" s="1">
        <v>16</v>
      </c>
      <c r="F572" s="1">
        <v>15</v>
      </c>
      <c r="G572" s="1">
        <v>13</v>
      </c>
      <c r="H572" s="1" t="s">
        <v>50</v>
      </c>
      <c r="I572" s="1" t="s">
        <v>50</v>
      </c>
      <c r="J572" s="1" t="s">
        <v>50</v>
      </c>
      <c r="K572" s="1" t="s">
        <v>50</v>
      </c>
      <c r="L572">
        <f t="shared" si="60"/>
        <v>96.197414256198073</v>
      </c>
      <c r="M572">
        <f t="shared" si="59"/>
        <v>172.96798541727486</v>
      </c>
      <c r="N572">
        <f t="shared" si="61"/>
        <v>210.14742667389368</v>
      </c>
      <c r="O572">
        <f t="shared" si="62"/>
        <v>185.56448544286178</v>
      </c>
      <c r="P572" t="e">
        <f t="shared" si="63"/>
        <v>#N/A</v>
      </c>
      <c r="Q572" t="e">
        <f t="shared" si="64"/>
        <v>#N/A</v>
      </c>
      <c r="U572">
        <f>C572/Navio!$J$4</f>
        <v>15.426565640049889</v>
      </c>
    </row>
    <row r="573" spans="1:21" x14ac:dyDescent="0.3">
      <c r="A573">
        <v>571</v>
      </c>
      <c r="B573" s="47">
        <v>796.30500414929622</v>
      </c>
      <c r="C573" s="46">
        <v>286.7666304734505</v>
      </c>
      <c r="D573" s="1">
        <v>14</v>
      </c>
      <c r="E573" s="1">
        <v>15</v>
      </c>
      <c r="F573" s="1">
        <v>17</v>
      </c>
      <c r="G573" s="1">
        <v>13</v>
      </c>
      <c r="H573" s="1" t="s">
        <v>50</v>
      </c>
      <c r="I573" s="1" t="s">
        <v>50</v>
      </c>
      <c r="J573" s="1" t="s">
        <v>50</v>
      </c>
      <c r="K573" s="1" t="s">
        <v>50</v>
      </c>
      <c r="L573">
        <f t="shared" si="60"/>
        <v>96.197414256198073</v>
      </c>
      <c r="M573">
        <f t="shared" si="59"/>
        <v>210.14742667389368</v>
      </c>
      <c r="N573">
        <f t="shared" si="61"/>
        <v>304.39567777634272</v>
      </c>
      <c r="O573">
        <f t="shared" si="62"/>
        <v>185.56448544286178</v>
      </c>
      <c r="P573" t="e">
        <f t="shared" si="63"/>
        <v>#N/A</v>
      </c>
      <c r="Q573" t="e">
        <f t="shared" si="64"/>
        <v>#N/A</v>
      </c>
      <c r="U573">
        <f>C573/Navio!$J$4</f>
        <v>15.484172690076324</v>
      </c>
    </row>
    <row r="574" spans="1:21" x14ac:dyDescent="0.3">
      <c r="A574">
        <v>572</v>
      </c>
      <c r="B574" s="47">
        <v>643.81357261449421</v>
      </c>
      <c r="C574" s="46">
        <v>288.8212592449824</v>
      </c>
      <c r="D574" s="1">
        <v>14</v>
      </c>
      <c r="E574" s="1">
        <v>16</v>
      </c>
      <c r="F574" s="1">
        <v>17</v>
      </c>
      <c r="G574" s="1">
        <v>13</v>
      </c>
      <c r="H574" s="1" t="s">
        <v>50</v>
      </c>
      <c r="I574" s="1" t="s">
        <v>50</v>
      </c>
      <c r="J574" s="1" t="s">
        <v>50</v>
      </c>
      <c r="K574" s="1" t="s">
        <v>50</v>
      </c>
      <c r="L574">
        <f t="shared" si="60"/>
        <v>96.197414256198073</v>
      </c>
      <c r="M574">
        <f t="shared" si="59"/>
        <v>172.96798541727486</v>
      </c>
      <c r="N574">
        <f t="shared" si="61"/>
        <v>304.39567777634272</v>
      </c>
      <c r="O574">
        <f t="shared" si="62"/>
        <v>185.56448544286178</v>
      </c>
      <c r="P574" t="e">
        <f t="shared" si="63"/>
        <v>#N/A</v>
      </c>
      <c r="Q574" t="e">
        <f t="shared" si="64"/>
        <v>#N/A</v>
      </c>
      <c r="U574">
        <f>C574/Navio!$J$4</f>
        <v>15.595113864298284</v>
      </c>
    </row>
    <row r="575" spans="1:21" x14ac:dyDescent="0.3">
      <c r="A575">
        <v>573</v>
      </c>
      <c r="B575" s="47">
        <v>757.76358503218978</v>
      </c>
      <c r="C575" s="46">
        <v>285.27834804295981</v>
      </c>
      <c r="D575" s="1">
        <v>15</v>
      </c>
      <c r="E575" s="1">
        <v>16</v>
      </c>
      <c r="F575" s="1">
        <v>17</v>
      </c>
      <c r="G575" s="1">
        <v>13</v>
      </c>
      <c r="H575" s="1" t="s">
        <v>50</v>
      </c>
      <c r="I575" s="1" t="s">
        <v>50</v>
      </c>
      <c r="J575" s="1" t="s">
        <v>50</v>
      </c>
      <c r="K575" s="1" t="s">
        <v>50</v>
      </c>
      <c r="L575">
        <f t="shared" si="60"/>
        <v>210.14742667389368</v>
      </c>
      <c r="M575">
        <f t="shared" si="59"/>
        <v>172.96798541727486</v>
      </c>
      <c r="N575">
        <f t="shared" si="61"/>
        <v>304.39567777634272</v>
      </c>
      <c r="O575">
        <f t="shared" si="62"/>
        <v>185.56448544286178</v>
      </c>
      <c r="P575" t="e">
        <f t="shared" si="63"/>
        <v>#N/A</v>
      </c>
      <c r="Q575" t="e">
        <f t="shared" si="64"/>
        <v>#N/A</v>
      </c>
      <c r="U575">
        <f>C575/Navio!$J$4</f>
        <v>15.403811798269361</v>
      </c>
    </row>
    <row r="576" spans="1:21" x14ac:dyDescent="0.3">
      <c r="A576">
        <v>574</v>
      </c>
      <c r="B576" s="47">
        <v>668.3965138455261</v>
      </c>
      <c r="C576" s="46">
        <v>290.35538004974688</v>
      </c>
      <c r="D576" s="1">
        <v>17</v>
      </c>
      <c r="E576" s="1">
        <v>16</v>
      </c>
      <c r="F576" s="1">
        <v>15</v>
      </c>
      <c r="G576" s="1">
        <v>14</v>
      </c>
      <c r="H576" s="1" t="s">
        <v>50</v>
      </c>
      <c r="I576" s="1" t="s">
        <v>50</v>
      </c>
      <c r="J576" s="1" t="s">
        <v>50</v>
      </c>
      <c r="K576" s="1" t="s">
        <v>50</v>
      </c>
      <c r="L576">
        <f t="shared" si="60"/>
        <v>304.39567777634272</v>
      </c>
      <c r="M576">
        <f t="shared" si="59"/>
        <v>172.96798541727486</v>
      </c>
      <c r="N576">
        <f t="shared" si="61"/>
        <v>210.14742667389368</v>
      </c>
      <c r="O576">
        <f t="shared" si="62"/>
        <v>96.197414256198073</v>
      </c>
      <c r="P576" t="e">
        <f t="shared" si="63"/>
        <v>#N/A</v>
      </c>
      <c r="Q576" t="e">
        <f t="shared" si="64"/>
        <v>#N/A</v>
      </c>
      <c r="U576">
        <f>C576/Navio!$J$4</f>
        <v>15.677949832448391</v>
      </c>
    </row>
    <row r="577" spans="1:21" x14ac:dyDescent="0.3">
      <c r="A577">
        <v>575</v>
      </c>
      <c r="B577" s="47">
        <v>782.72624909830984</v>
      </c>
      <c r="C577" s="46">
        <v>250.72069305874123</v>
      </c>
      <c r="D577" s="1">
        <v>9</v>
      </c>
      <c r="E577" s="1">
        <v>10</v>
      </c>
      <c r="F577" s="1">
        <v>12</v>
      </c>
      <c r="G577" s="1">
        <v>7</v>
      </c>
      <c r="H577" s="1">
        <v>8</v>
      </c>
      <c r="I577" s="1" t="s">
        <v>50</v>
      </c>
      <c r="J577" s="1" t="s">
        <v>50</v>
      </c>
      <c r="K577" s="1" t="s">
        <v>50</v>
      </c>
      <c r="L577">
        <f t="shared" si="60"/>
        <v>310</v>
      </c>
      <c r="M577">
        <f t="shared" si="59"/>
        <v>290.36739528320618</v>
      </c>
      <c r="N577">
        <f t="shared" si="61"/>
        <v>82.076561445310972</v>
      </c>
      <c r="O577">
        <f t="shared" si="62"/>
        <v>310</v>
      </c>
      <c r="P577">
        <f t="shared" si="63"/>
        <v>310</v>
      </c>
      <c r="Q577" t="e">
        <f t="shared" si="64"/>
        <v>#N/A</v>
      </c>
      <c r="U577">
        <f>C577/Navio!$J$4</f>
        <v>13.537846094183516</v>
      </c>
    </row>
    <row r="578" spans="1:21" x14ac:dyDescent="0.3">
      <c r="A578">
        <v>576</v>
      </c>
      <c r="B578" s="47">
        <v>851.56480953940422</v>
      </c>
      <c r="C578" s="46">
        <v>273.86783640000544</v>
      </c>
      <c r="D578" s="1">
        <v>9</v>
      </c>
      <c r="E578" s="1">
        <v>10</v>
      </c>
      <c r="F578" s="1">
        <v>14</v>
      </c>
      <c r="G578" s="1">
        <v>7</v>
      </c>
      <c r="H578" s="1">
        <v>8</v>
      </c>
      <c r="I578" s="1" t="s">
        <v>50</v>
      </c>
      <c r="J578" s="1" t="s">
        <v>50</v>
      </c>
      <c r="K578" s="1" t="s">
        <v>50</v>
      </c>
      <c r="L578">
        <f t="shared" si="60"/>
        <v>310</v>
      </c>
      <c r="M578">
        <f t="shared" si="59"/>
        <v>290.36739528320618</v>
      </c>
      <c r="N578">
        <f t="shared" si="61"/>
        <v>96.197414256198073</v>
      </c>
      <c r="O578">
        <f t="shared" si="62"/>
        <v>310</v>
      </c>
      <c r="P578">
        <f t="shared" si="63"/>
        <v>310</v>
      </c>
      <c r="Q578" t="e">
        <f t="shared" si="64"/>
        <v>#N/A</v>
      </c>
      <c r="U578">
        <f>C578/Navio!$J$4</f>
        <v>14.787692926732843</v>
      </c>
    </row>
    <row r="579" spans="1:21" x14ac:dyDescent="0.3">
      <c r="A579">
        <v>577</v>
      </c>
      <c r="B579" s="47">
        <v>813.02339042229778</v>
      </c>
      <c r="C579" s="46">
        <v>287.31144054628436</v>
      </c>
      <c r="D579" s="1">
        <v>9</v>
      </c>
      <c r="E579" s="1">
        <v>10</v>
      </c>
      <c r="F579" s="1">
        <v>16</v>
      </c>
      <c r="G579" s="1">
        <v>7</v>
      </c>
      <c r="H579" s="1">
        <v>8</v>
      </c>
      <c r="I579" s="1" t="s">
        <v>50</v>
      </c>
      <c r="J579" s="1" t="s">
        <v>50</v>
      </c>
      <c r="K579" s="1" t="s">
        <v>50</v>
      </c>
      <c r="L579">
        <f t="shared" si="60"/>
        <v>310</v>
      </c>
      <c r="M579">
        <f t="shared" ref="M579:M642" si="65">VLOOKUP(E579,$Y$2:$Z$80,2)</f>
        <v>290.36739528320618</v>
      </c>
      <c r="N579">
        <f t="shared" si="61"/>
        <v>172.96798541727486</v>
      </c>
      <c r="O579">
        <f t="shared" si="62"/>
        <v>310</v>
      </c>
      <c r="P579">
        <f t="shared" si="63"/>
        <v>310</v>
      </c>
      <c r="Q579" t="e">
        <f t="shared" si="64"/>
        <v>#N/A</v>
      </c>
      <c r="U579">
        <f>C579/Navio!$J$4</f>
        <v>15.513590106032723</v>
      </c>
    </row>
    <row r="580" spans="1:21" x14ac:dyDescent="0.3">
      <c r="A580">
        <v>578</v>
      </c>
      <c r="B580" s="47">
        <v>771.35143699547734</v>
      </c>
      <c r="C580" s="46">
        <v>249.35388931336615</v>
      </c>
      <c r="D580" s="1">
        <v>9</v>
      </c>
      <c r="E580" s="1">
        <v>11</v>
      </c>
      <c r="F580" s="1">
        <v>12</v>
      </c>
      <c r="G580" s="1">
        <v>7</v>
      </c>
      <c r="H580" s="1">
        <v>8</v>
      </c>
      <c r="I580" s="1" t="s">
        <v>50</v>
      </c>
      <c r="J580" s="1" t="s">
        <v>50</v>
      </c>
      <c r="K580" s="1" t="s">
        <v>50</v>
      </c>
      <c r="L580">
        <f t="shared" si="60"/>
        <v>310</v>
      </c>
      <c r="M580">
        <f t="shared" si="65"/>
        <v>278.99258318037374</v>
      </c>
      <c r="N580">
        <f t="shared" si="61"/>
        <v>82.076561445310972</v>
      </c>
      <c r="O580">
        <f t="shared" si="62"/>
        <v>310</v>
      </c>
      <c r="P580">
        <f t="shared" si="63"/>
        <v>310</v>
      </c>
      <c r="Q580" t="e">
        <f t="shared" si="64"/>
        <v>#N/A</v>
      </c>
      <c r="U580">
        <f>C580/Navio!$J$4</f>
        <v>13.464044532293665</v>
      </c>
    </row>
    <row r="581" spans="1:21" x14ac:dyDescent="0.3">
      <c r="A581">
        <v>579</v>
      </c>
      <c r="B581" s="47">
        <v>840.18999743657184</v>
      </c>
      <c r="C581" s="46">
        <v>271.97023589401914</v>
      </c>
      <c r="D581" s="1">
        <v>9</v>
      </c>
      <c r="E581" s="1">
        <v>11</v>
      </c>
      <c r="F581" s="1">
        <v>14</v>
      </c>
      <c r="G581" s="1">
        <v>7</v>
      </c>
      <c r="H581" s="1">
        <v>8</v>
      </c>
      <c r="I581" s="1" t="s">
        <v>50</v>
      </c>
      <c r="J581" s="1" t="s">
        <v>50</v>
      </c>
      <c r="K581" s="1" t="s">
        <v>50</v>
      </c>
      <c r="L581">
        <f t="shared" si="60"/>
        <v>310</v>
      </c>
      <c r="M581">
        <f t="shared" si="65"/>
        <v>278.99258318037374</v>
      </c>
      <c r="N581">
        <f t="shared" si="61"/>
        <v>96.197414256198073</v>
      </c>
      <c r="O581">
        <f t="shared" si="62"/>
        <v>310</v>
      </c>
      <c r="P581">
        <f t="shared" si="63"/>
        <v>310</v>
      </c>
      <c r="Q581" t="e">
        <f t="shared" si="64"/>
        <v>#N/A</v>
      </c>
      <c r="U581">
        <f>C581/Navio!$J$4</f>
        <v>14.685230607867648</v>
      </c>
    </row>
    <row r="582" spans="1:21" x14ac:dyDescent="0.3">
      <c r="A582">
        <v>580</v>
      </c>
      <c r="B582" s="47">
        <v>801.6485783194654</v>
      </c>
      <c r="C582" s="46">
        <v>284.95539073055949</v>
      </c>
      <c r="D582" s="1">
        <v>9</v>
      </c>
      <c r="E582" s="1">
        <v>11</v>
      </c>
      <c r="F582" s="1">
        <v>16</v>
      </c>
      <c r="G582" s="1">
        <v>7</v>
      </c>
      <c r="H582" s="1">
        <v>8</v>
      </c>
      <c r="I582" s="1" t="s">
        <v>50</v>
      </c>
      <c r="J582" s="1" t="s">
        <v>50</v>
      </c>
      <c r="K582" s="1" t="s">
        <v>50</v>
      </c>
      <c r="L582">
        <f t="shared" si="60"/>
        <v>310</v>
      </c>
      <c r="M582">
        <f t="shared" si="65"/>
        <v>278.99258318037374</v>
      </c>
      <c r="N582">
        <f t="shared" si="61"/>
        <v>172.96798541727486</v>
      </c>
      <c r="O582">
        <f t="shared" si="62"/>
        <v>310</v>
      </c>
      <c r="P582">
        <f t="shared" si="63"/>
        <v>310</v>
      </c>
      <c r="Q582" t="e">
        <f t="shared" si="64"/>
        <v>#N/A</v>
      </c>
      <c r="U582">
        <f>C582/Navio!$J$4</f>
        <v>15.386373483398229</v>
      </c>
    </row>
    <row r="583" spans="1:21" x14ac:dyDescent="0.3">
      <c r="A583">
        <v>581</v>
      </c>
      <c r="B583" s="47">
        <v>677.92333925796538</v>
      </c>
      <c r="C583" s="46">
        <v>257.14912730597041</v>
      </c>
      <c r="D583" s="1">
        <v>9</v>
      </c>
      <c r="E583" s="1">
        <v>13</v>
      </c>
      <c r="F583" s="1">
        <v>12</v>
      </c>
      <c r="G583" s="1">
        <v>7</v>
      </c>
      <c r="H583" s="1">
        <v>8</v>
      </c>
      <c r="I583" s="1" t="s">
        <v>50</v>
      </c>
      <c r="J583" s="1" t="s">
        <v>50</v>
      </c>
      <c r="K583" s="1" t="s">
        <v>50</v>
      </c>
      <c r="L583">
        <f t="shared" si="60"/>
        <v>310</v>
      </c>
      <c r="M583">
        <f t="shared" si="65"/>
        <v>185.56448544286178</v>
      </c>
      <c r="N583">
        <f t="shared" si="61"/>
        <v>82.076561445310972</v>
      </c>
      <c r="O583">
        <f t="shared" si="62"/>
        <v>310</v>
      </c>
      <c r="P583">
        <f t="shared" si="63"/>
        <v>310</v>
      </c>
      <c r="Q583" t="e">
        <f t="shared" si="64"/>
        <v>#N/A</v>
      </c>
      <c r="U583">
        <f>C583/Navio!$J$4</f>
        <v>13.884954074796738</v>
      </c>
    </row>
    <row r="584" spans="1:21" x14ac:dyDescent="0.3">
      <c r="A584">
        <v>582</v>
      </c>
      <c r="B584" s="47">
        <v>588.5562680713017</v>
      </c>
      <c r="C584" s="46">
        <v>268.05771720771975</v>
      </c>
      <c r="D584" s="1">
        <v>9</v>
      </c>
      <c r="E584" s="1">
        <v>12</v>
      </c>
      <c r="F584" s="1">
        <v>14</v>
      </c>
      <c r="G584" s="1">
        <v>7</v>
      </c>
      <c r="H584" s="1">
        <v>8</v>
      </c>
      <c r="I584" s="1" t="s">
        <v>50</v>
      </c>
      <c r="J584" s="1" t="s">
        <v>50</v>
      </c>
      <c r="K584" s="1" t="s">
        <v>50</v>
      </c>
      <c r="L584">
        <f t="shared" si="60"/>
        <v>310</v>
      </c>
      <c r="M584">
        <f t="shared" si="65"/>
        <v>82.076561445310972</v>
      </c>
      <c r="N584">
        <f t="shared" si="61"/>
        <v>96.197414256198073</v>
      </c>
      <c r="O584">
        <f t="shared" si="62"/>
        <v>310</v>
      </c>
      <c r="P584">
        <f t="shared" si="63"/>
        <v>310</v>
      </c>
      <c r="Q584" t="e">
        <f t="shared" si="64"/>
        <v>#N/A</v>
      </c>
      <c r="U584">
        <f>C584/Navio!$J$4</f>
        <v>14.473971317022722</v>
      </c>
    </row>
    <row r="585" spans="1:21" x14ac:dyDescent="0.3">
      <c r="A585">
        <v>583</v>
      </c>
      <c r="B585" s="47">
        <v>702.50628048899739</v>
      </c>
      <c r="C585" s="46">
        <v>272.41347839824493</v>
      </c>
      <c r="D585" s="1">
        <v>9</v>
      </c>
      <c r="E585" s="1">
        <v>15</v>
      </c>
      <c r="F585" s="1">
        <v>12</v>
      </c>
      <c r="G585" s="1">
        <v>7</v>
      </c>
      <c r="H585" s="1">
        <v>8</v>
      </c>
      <c r="I585" s="1" t="s">
        <v>50</v>
      </c>
      <c r="J585" s="1" t="s">
        <v>50</v>
      </c>
      <c r="K585" s="1" t="s">
        <v>50</v>
      </c>
      <c r="L585">
        <f t="shared" si="60"/>
        <v>310</v>
      </c>
      <c r="M585">
        <f t="shared" si="65"/>
        <v>210.14742667389368</v>
      </c>
      <c r="N585">
        <f t="shared" si="61"/>
        <v>82.076561445310972</v>
      </c>
      <c r="O585">
        <f t="shared" si="62"/>
        <v>310</v>
      </c>
      <c r="P585">
        <f t="shared" si="63"/>
        <v>310</v>
      </c>
      <c r="Q585" t="e">
        <f t="shared" si="64"/>
        <v>#N/A</v>
      </c>
      <c r="U585">
        <f>C585/Navio!$J$4</f>
        <v>14.709163809118028</v>
      </c>
    </row>
    <row r="586" spans="1:21" x14ac:dyDescent="0.3">
      <c r="A586">
        <v>584</v>
      </c>
      <c r="B586" s="47">
        <v>550.01484895419526</v>
      </c>
      <c r="C586" s="46">
        <v>284.2733083794094</v>
      </c>
      <c r="D586" s="1">
        <v>9</v>
      </c>
      <c r="E586" s="1">
        <v>16</v>
      </c>
      <c r="F586" s="1">
        <v>12</v>
      </c>
      <c r="G586" s="1">
        <v>7</v>
      </c>
      <c r="H586" s="1">
        <v>8</v>
      </c>
      <c r="I586" s="1" t="s">
        <v>50</v>
      </c>
      <c r="J586" s="1" t="s">
        <v>50</v>
      </c>
      <c r="K586" s="1" t="s">
        <v>50</v>
      </c>
      <c r="L586">
        <f t="shared" si="60"/>
        <v>310</v>
      </c>
      <c r="M586">
        <f t="shared" si="65"/>
        <v>172.96798541727486</v>
      </c>
      <c r="N586">
        <f t="shared" si="61"/>
        <v>82.076561445310972</v>
      </c>
      <c r="O586">
        <f t="shared" si="62"/>
        <v>310</v>
      </c>
      <c r="P586">
        <f t="shared" si="63"/>
        <v>310</v>
      </c>
      <c r="Q586" t="e">
        <f t="shared" si="64"/>
        <v>#N/A</v>
      </c>
      <c r="U586">
        <f>C586/Navio!$J$4</f>
        <v>15.349543950978003</v>
      </c>
    </row>
    <row r="587" spans="1:21" x14ac:dyDescent="0.3">
      <c r="A587">
        <v>585</v>
      </c>
      <c r="B587" s="47">
        <v>796.75453159144638</v>
      </c>
      <c r="C587" s="46">
        <v>283.36267399555368</v>
      </c>
      <c r="D587" s="1">
        <v>9</v>
      </c>
      <c r="E587" s="1">
        <v>17</v>
      </c>
      <c r="F587" s="1">
        <v>12</v>
      </c>
      <c r="G587" s="1">
        <v>7</v>
      </c>
      <c r="H587" s="1">
        <v>8</v>
      </c>
      <c r="I587" s="1" t="s">
        <v>50</v>
      </c>
      <c r="J587" s="1" t="s">
        <v>50</v>
      </c>
      <c r="K587" s="1" t="s">
        <v>50</v>
      </c>
      <c r="L587">
        <f t="shared" si="60"/>
        <v>310</v>
      </c>
      <c r="M587">
        <f t="shared" si="65"/>
        <v>304.39567777634272</v>
      </c>
      <c r="N587">
        <f t="shared" si="61"/>
        <v>82.076561445310972</v>
      </c>
      <c r="O587">
        <f t="shared" si="62"/>
        <v>310</v>
      </c>
      <c r="P587">
        <f t="shared" si="63"/>
        <v>310</v>
      </c>
      <c r="Q587" t="e">
        <f t="shared" si="64"/>
        <v>#N/A</v>
      </c>
      <c r="U587">
        <f>C587/Navio!$J$4</f>
        <v>15.300373585395844</v>
      </c>
    </row>
    <row r="588" spans="1:21" x14ac:dyDescent="0.3">
      <c r="A588">
        <v>586</v>
      </c>
      <c r="B588" s="47">
        <v>746.76189969905988</v>
      </c>
      <c r="C588" s="46">
        <v>275.50921538362093</v>
      </c>
      <c r="D588" s="1">
        <v>9</v>
      </c>
      <c r="E588" s="1">
        <v>13</v>
      </c>
      <c r="F588" s="1">
        <v>14</v>
      </c>
      <c r="G588" s="1">
        <v>7</v>
      </c>
      <c r="H588" s="1">
        <v>8</v>
      </c>
      <c r="I588" s="1" t="s">
        <v>50</v>
      </c>
      <c r="J588" s="1" t="s">
        <v>50</v>
      </c>
      <c r="K588" s="1" t="s">
        <v>50</v>
      </c>
      <c r="L588">
        <f t="shared" si="60"/>
        <v>310</v>
      </c>
      <c r="M588">
        <f t="shared" si="65"/>
        <v>185.56448544286178</v>
      </c>
      <c r="N588">
        <f t="shared" si="61"/>
        <v>96.197414256198073</v>
      </c>
      <c r="O588">
        <f t="shared" si="62"/>
        <v>310</v>
      </c>
      <c r="P588">
        <f t="shared" si="63"/>
        <v>310</v>
      </c>
      <c r="Q588" t="e">
        <f t="shared" si="64"/>
        <v>#N/A</v>
      </c>
      <c r="U588">
        <f>C588/Navio!$J$4</f>
        <v>14.876320378226078</v>
      </c>
    </row>
    <row r="589" spans="1:21" x14ac:dyDescent="0.3">
      <c r="A589">
        <v>587</v>
      </c>
      <c r="B589" s="47">
        <v>860.71191211675546</v>
      </c>
      <c r="C589" s="46">
        <v>274.2098098676517</v>
      </c>
      <c r="D589" s="1">
        <v>9</v>
      </c>
      <c r="E589" s="1">
        <v>13</v>
      </c>
      <c r="F589" s="1">
        <v>15</v>
      </c>
      <c r="G589" s="1">
        <v>7</v>
      </c>
      <c r="H589" s="1">
        <v>8</v>
      </c>
      <c r="I589" s="1" t="s">
        <v>50</v>
      </c>
      <c r="J589" s="1" t="s">
        <v>50</v>
      </c>
      <c r="K589" s="1" t="s">
        <v>50</v>
      </c>
      <c r="L589">
        <f t="shared" ref="L589:L652" si="66">VLOOKUP(D589,$Y$2:$Z$80,2)</f>
        <v>310</v>
      </c>
      <c r="M589">
        <f t="shared" si="65"/>
        <v>185.56448544286178</v>
      </c>
      <c r="N589">
        <f t="shared" ref="N589:N652" si="67">VLOOKUP(F589,$Y$2:$Z$80,2)</f>
        <v>210.14742667389368</v>
      </c>
      <c r="O589">
        <f t="shared" ref="O589:O652" si="68">VLOOKUP(G589,$Y$2:$Z$80,2)</f>
        <v>310</v>
      </c>
      <c r="P589">
        <f t="shared" ref="P589:P652" si="69">VLOOKUP(H589,$Y$2:$Z$80,2)</f>
        <v>310</v>
      </c>
      <c r="Q589" t="e">
        <f t="shared" ref="Q589:Q652" si="70">VLOOKUP(I589,$Y$2:$Z$80,2)</f>
        <v>#N/A</v>
      </c>
      <c r="U589">
        <f>C589/Navio!$J$4</f>
        <v>14.806158032731114</v>
      </c>
    </row>
    <row r="590" spans="1:21" x14ac:dyDescent="0.3">
      <c r="A590">
        <v>588</v>
      </c>
      <c r="B590" s="47">
        <v>708.22048058195344</v>
      </c>
      <c r="C590" s="46">
        <v>285.03504335120749</v>
      </c>
      <c r="D590" s="1">
        <v>9</v>
      </c>
      <c r="E590" s="1">
        <v>13</v>
      </c>
      <c r="F590" s="1">
        <v>16</v>
      </c>
      <c r="G590" s="1">
        <v>7</v>
      </c>
      <c r="H590" s="1">
        <v>8</v>
      </c>
      <c r="I590" s="1" t="s">
        <v>50</v>
      </c>
      <c r="J590" s="1" t="s">
        <v>50</v>
      </c>
      <c r="K590" s="1" t="s">
        <v>50</v>
      </c>
      <c r="L590">
        <f t="shared" si="66"/>
        <v>310</v>
      </c>
      <c r="M590">
        <f t="shared" si="65"/>
        <v>185.56448544286178</v>
      </c>
      <c r="N590">
        <f t="shared" si="67"/>
        <v>172.96798541727486</v>
      </c>
      <c r="O590">
        <f t="shared" si="68"/>
        <v>310</v>
      </c>
      <c r="P590">
        <f t="shared" si="69"/>
        <v>310</v>
      </c>
      <c r="Q590" t="e">
        <f t="shared" si="70"/>
        <v>#N/A</v>
      </c>
      <c r="U590">
        <f>C590/Navio!$J$4</f>
        <v>15.390674384557107</v>
      </c>
    </row>
    <row r="591" spans="1:21" x14ac:dyDescent="0.3">
      <c r="A591">
        <v>589</v>
      </c>
      <c r="B591" s="47">
        <v>771.34484093009178</v>
      </c>
      <c r="C591" s="46">
        <v>278.41704607641509</v>
      </c>
      <c r="D591" s="1">
        <v>9</v>
      </c>
      <c r="E591" s="1">
        <v>15</v>
      </c>
      <c r="F591" s="1">
        <v>14</v>
      </c>
      <c r="G591" s="1">
        <v>7</v>
      </c>
      <c r="H591" s="1">
        <v>8</v>
      </c>
      <c r="I591" s="1" t="s">
        <v>50</v>
      </c>
      <c r="J591" s="1" t="s">
        <v>50</v>
      </c>
      <c r="K591" s="1" t="s">
        <v>50</v>
      </c>
      <c r="L591">
        <f t="shared" si="66"/>
        <v>310</v>
      </c>
      <c r="M591">
        <f t="shared" si="65"/>
        <v>210.14742667389368</v>
      </c>
      <c r="N591">
        <f t="shared" si="67"/>
        <v>96.197414256198073</v>
      </c>
      <c r="O591">
        <f t="shared" si="68"/>
        <v>310</v>
      </c>
      <c r="P591">
        <f t="shared" si="69"/>
        <v>310</v>
      </c>
      <c r="Q591" t="e">
        <f t="shared" si="70"/>
        <v>#N/A</v>
      </c>
      <c r="U591">
        <f>C591/Navio!$J$4</f>
        <v>15.033330810459397</v>
      </c>
    </row>
    <row r="592" spans="1:21" x14ac:dyDescent="0.3">
      <c r="A592">
        <v>590</v>
      </c>
      <c r="B592" s="47">
        <v>618.85340939528965</v>
      </c>
      <c r="C592" s="46">
        <v>288.40734137610229</v>
      </c>
      <c r="D592" s="1">
        <v>9</v>
      </c>
      <c r="E592" s="1">
        <v>16</v>
      </c>
      <c r="F592" s="1">
        <v>14</v>
      </c>
      <c r="G592" s="1">
        <v>7</v>
      </c>
      <c r="H592" s="1">
        <v>8</v>
      </c>
      <c r="I592" s="1" t="s">
        <v>50</v>
      </c>
      <c r="J592" s="1" t="s">
        <v>50</v>
      </c>
      <c r="K592" s="1" t="s">
        <v>50</v>
      </c>
      <c r="L592">
        <f t="shared" si="66"/>
        <v>310</v>
      </c>
      <c r="M592">
        <f t="shared" si="65"/>
        <v>172.96798541727486</v>
      </c>
      <c r="N592">
        <f t="shared" si="67"/>
        <v>96.197414256198073</v>
      </c>
      <c r="O592">
        <f t="shared" si="68"/>
        <v>310</v>
      </c>
      <c r="P592">
        <f t="shared" si="69"/>
        <v>310</v>
      </c>
      <c r="Q592" t="e">
        <f t="shared" si="70"/>
        <v>#N/A</v>
      </c>
      <c r="U592">
        <f>C592/Navio!$J$4</f>
        <v>15.572764068052233</v>
      </c>
    </row>
    <row r="593" spans="1:21" x14ac:dyDescent="0.3">
      <c r="A593">
        <v>591</v>
      </c>
      <c r="B593" s="47">
        <v>865.59309203254077</v>
      </c>
      <c r="C593" s="46">
        <v>291.72345729202954</v>
      </c>
      <c r="D593" s="1">
        <v>9</v>
      </c>
      <c r="E593" s="1">
        <v>17</v>
      </c>
      <c r="F593" s="1">
        <v>14</v>
      </c>
      <c r="G593" s="1">
        <v>7</v>
      </c>
      <c r="H593" s="1">
        <v>8</v>
      </c>
      <c r="I593" s="1" t="s">
        <v>50</v>
      </c>
      <c r="J593" s="1" t="s">
        <v>50</v>
      </c>
      <c r="K593" s="1" t="s">
        <v>50</v>
      </c>
      <c r="L593">
        <f t="shared" si="66"/>
        <v>310</v>
      </c>
      <c r="M593">
        <f t="shared" si="65"/>
        <v>304.39567777634272</v>
      </c>
      <c r="N593">
        <f t="shared" si="67"/>
        <v>96.197414256198073</v>
      </c>
      <c r="O593">
        <f t="shared" si="68"/>
        <v>310</v>
      </c>
      <c r="P593">
        <f t="shared" si="69"/>
        <v>310</v>
      </c>
      <c r="Q593" t="e">
        <f t="shared" si="70"/>
        <v>#N/A</v>
      </c>
      <c r="U593">
        <f>C593/Navio!$J$4</f>
        <v>15.751820157729592</v>
      </c>
    </row>
    <row r="594" spans="1:21" x14ac:dyDescent="0.3">
      <c r="A594">
        <v>592</v>
      </c>
      <c r="B594" s="47">
        <v>732.80342181298533</v>
      </c>
      <c r="C594" s="46">
        <v>284.26861613384642</v>
      </c>
      <c r="D594" s="1">
        <v>9</v>
      </c>
      <c r="E594" s="1">
        <v>16</v>
      </c>
      <c r="F594" s="1">
        <v>15</v>
      </c>
      <c r="G594" s="1">
        <v>7</v>
      </c>
      <c r="H594" s="1">
        <v>8</v>
      </c>
      <c r="I594" s="1" t="s">
        <v>50</v>
      </c>
      <c r="J594" s="1" t="s">
        <v>50</v>
      </c>
      <c r="K594" s="1" t="s">
        <v>50</v>
      </c>
      <c r="L594">
        <f t="shared" si="66"/>
        <v>310</v>
      </c>
      <c r="M594">
        <f t="shared" si="65"/>
        <v>172.96798541727486</v>
      </c>
      <c r="N594">
        <f t="shared" si="67"/>
        <v>210.14742667389368</v>
      </c>
      <c r="O594">
        <f t="shared" si="68"/>
        <v>310</v>
      </c>
      <c r="P594">
        <f t="shared" si="69"/>
        <v>310</v>
      </c>
      <c r="Q594" t="e">
        <f t="shared" si="70"/>
        <v>#N/A</v>
      </c>
      <c r="U594">
        <f>C594/Navio!$J$4</f>
        <v>15.349290589767595</v>
      </c>
    </row>
    <row r="595" spans="1:21" x14ac:dyDescent="0.3">
      <c r="A595">
        <v>593</v>
      </c>
      <c r="B595" s="47">
        <v>827.05167291543432</v>
      </c>
      <c r="C595" s="46">
        <v>289.67432945737198</v>
      </c>
      <c r="D595" s="1">
        <v>9</v>
      </c>
      <c r="E595" s="1">
        <v>17</v>
      </c>
      <c r="F595" s="1">
        <v>16</v>
      </c>
      <c r="G595" s="1">
        <v>7</v>
      </c>
      <c r="H595" s="1">
        <v>8</v>
      </c>
      <c r="I595" s="1" t="s">
        <v>50</v>
      </c>
      <c r="J595" s="1" t="s">
        <v>50</v>
      </c>
      <c r="K595" s="1" t="s">
        <v>50</v>
      </c>
      <c r="L595">
        <f t="shared" si="66"/>
        <v>310</v>
      </c>
      <c r="M595">
        <f t="shared" si="65"/>
        <v>304.39567777634272</v>
      </c>
      <c r="N595">
        <f t="shared" si="67"/>
        <v>172.96798541727486</v>
      </c>
      <c r="O595">
        <f t="shared" si="68"/>
        <v>310</v>
      </c>
      <c r="P595">
        <f t="shared" si="69"/>
        <v>310</v>
      </c>
      <c r="Q595" t="e">
        <f t="shared" si="70"/>
        <v>#N/A</v>
      </c>
      <c r="U595">
        <f>C595/Navio!$J$4</f>
        <v>15.641176010593313</v>
      </c>
    </row>
    <row r="596" spans="1:21" x14ac:dyDescent="0.3">
      <c r="A596">
        <v>594</v>
      </c>
      <c r="B596" s="47">
        <v>813.29073454117156</v>
      </c>
      <c r="C596" s="46">
        <v>259.24122473913548</v>
      </c>
      <c r="D596" s="1">
        <v>10</v>
      </c>
      <c r="E596" s="1">
        <v>13</v>
      </c>
      <c r="F596" s="1">
        <v>12</v>
      </c>
      <c r="G596" s="1">
        <v>7</v>
      </c>
      <c r="H596" s="1">
        <v>8</v>
      </c>
      <c r="I596" s="1" t="s">
        <v>50</v>
      </c>
      <c r="J596" s="1" t="s">
        <v>50</v>
      </c>
      <c r="K596" s="1" t="s">
        <v>50</v>
      </c>
      <c r="L596">
        <f t="shared" si="66"/>
        <v>290.36739528320618</v>
      </c>
      <c r="M596">
        <f t="shared" si="65"/>
        <v>185.56448544286178</v>
      </c>
      <c r="N596">
        <f t="shared" si="67"/>
        <v>82.076561445310972</v>
      </c>
      <c r="O596">
        <f t="shared" si="68"/>
        <v>310</v>
      </c>
      <c r="P596">
        <f t="shared" si="69"/>
        <v>310</v>
      </c>
      <c r="Q596" t="e">
        <f t="shared" si="70"/>
        <v>#N/A</v>
      </c>
      <c r="U596">
        <f>C596/Navio!$J$4</f>
        <v>13.997918396643078</v>
      </c>
    </row>
    <row r="597" spans="1:21" x14ac:dyDescent="0.3">
      <c r="A597">
        <v>595</v>
      </c>
      <c r="B597" s="47">
        <v>723.92366335450788</v>
      </c>
      <c r="C597" s="46">
        <v>273.82491257951534</v>
      </c>
      <c r="D597" s="1">
        <v>10</v>
      </c>
      <c r="E597" s="1">
        <v>12</v>
      </c>
      <c r="F597" s="1">
        <v>14</v>
      </c>
      <c r="G597" s="1">
        <v>7</v>
      </c>
      <c r="H597" s="1">
        <v>8</v>
      </c>
      <c r="I597" s="1" t="s">
        <v>50</v>
      </c>
      <c r="J597" s="1" t="s">
        <v>50</v>
      </c>
      <c r="K597" s="1" t="s">
        <v>50</v>
      </c>
      <c r="L597">
        <f t="shared" si="66"/>
        <v>290.36739528320618</v>
      </c>
      <c r="M597">
        <f t="shared" si="65"/>
        <v>82.076561445310972</v>
      </c>
      <c r="N597">
        <f t="shared" si="67"/>
        <v>96.197414256198073</v>
      </c>
      <c r="O597">
        <f t="shared" si="68"/>
        <v>310</v>
      </c>
      <c r="P597">
        <f t="shared" si="69"/>
        <v>310</v>
      </c>
      <c r="Q597" t="e">
        <f t="shared" si="70"/>
        <v>#N/A</v>
      </c>
      <c r="U597">
        <f>C597/Navio!$J$4</f>
        <v>14.785375223840115</v>
      </c>
    </row>
    <row r="598" spans="1:21" x14ac:dyDescent="0.3">
      <c r="A598">
        <v>596</v>
      </c>
      <c r="B598" s="47">
        <v>837.87367577220357</v>
      </c>
      <c r="C598" s="46">
        <v>275.76780175455855</v>
      </c>
      <c r="D598" s="1">
        <v>10</v>
      </c>
      <c r="E598" s="1">
        <v>15</v>
      </c>
      <c r="F598" s="1">
        <v>12</v>
      </c>
      <c r="G598" s="1">
        <v>7</v>
      </c>
      <c r="H598" s="1">
        <v>8</v>
      </c>
      <c r="I598" s="1" t="s">
        <v>50</v>
      </c>
      <c r="J598" s="1" t="s">
        <v>50</v>
      </c>
      <c r="K598" s="1" t="s">
        <v>50</v>
      </c>
      <c r="L598">
        <f t="shared" si="66"/>
        <v>290.36739528320618</v>
      </c>
      <c r="M598">
        <f t="shared" si="65"/>
        <v>210.14742667389368</v>
      </c>
      <c r="N598">
        <f t="shared" si="67"/>
        <v>82.076561445310972</v>
      </c>
      <c r="O598">
        <f t="shared" si="68"/>
        <v>310</v>
      </c>
      <c r="P598">
        <f t="shared" si="69"/>
        <v>310</v>
      </c>
      <c r="Q598" t="e">
        <f t="shared" si="70"/>
        <v>#N/A</v>
      </c>
      <c r="U598">
        <f>C598/Navio!$J$4</f>
        <v>14.890282937315634</v>
      </c>
    </row>
    <row r="599" spans="1:21" x14ac:dyDescent="0.3">
      <c r="A599">
        <v>597</v>
      </c>
      <c r="B599" s="47">
        <v>685.38224423740144</v>
      </c>
      <c r="C599" s="46">
        <v>287.07719176900122</v>
      </c>
      <c r="D599" s="1">
        <v>10</v>
      </c>
      <c r="E599" s="1">
        <v>16</v>
      </c>
      <c r="F599" s="1">
        <v>12</v>
      </c>
      <c r="G599" s="1">
        <v>7</v>
      </c>
      <c r="H599" s="1">
        <v>8</v>
      </c>
      <c r="I599" s="1" t="s">
        <v>50</v>
      </c>
      <c r="J599" s="1" t="s">
        <v>50</v>
      </c>
      <c r="K599" s="1" t="s">
        <v>50</v>
      </c>
      <c r="L599">
        <f t="shared" si="66"/>
        <v>290.36739528320618</v>
      </c>
      <c r="M599">
        <f t="shared" si="65"/>
        <v>172.96798541727486</v>
      </c>
      <c r="N599">
        <f t="shared" si="67"/>
        <v>82.076561445310972</v>
      </c>
      <c r="O599">
        <f t="shared" si="68"/>
        <v>310</v>
      </c>
      <c r="P599">
        <f t="shared" si="69"/>
        <v>310</v>
      </c>
      <c r="Q599" t="e">
        <f t="shared" si="70"/>
        <v>#N/A</v>
      </c>
      <c r="U599">
        <f>C599/Navio!$J$4</f>
        <v>15.50094167300583</v>
      </c>
    </row>
    <row r="600" spans="1:21" x14ac:dyDescent="0.3">
      <c r="A600">
        <v>598</v>
      </c>
      <c r="B600" s="47">
        <v>882.12929498226606</v>
      </c>
      <c r="C600" s="46">
        <v>277.60131281678599</v>
      </c>
      <c r="D600" s="1">
        <v>10</v>
      </c>
      <c r="E600" s="1">
        <v>13</v>
      </c>
      <c r="F600" s="1">
        <v>14</v>
      </c>
      <c r="G600" s="1">
        <v>7</v>
      </c>
      <c r="H600" s="1">
        <v>8</v>
      </c>
      <c r="I600" s="1" t="s">
        <v>50</v>
      </c>
      <c r="J600" s="1" t="s">
        <v>50</v>
      </c>
      <c r="K600" s="1" t="s">
        <v>50</v>
      </c>
      <c r="L600">
        <f t="shared" si="66"/>
        <v>290.36739528320618</v>
      </c>
      <c r="M600">
        <f t="shared" si="65"/>
        <v>185.56448544286178</v>
      </c>
      <c r="N600">
        <f t="shared" si="67"/>
        <v>96.197414256198073</v>
      </c>
      <c r="O600">
        <f t="shared" si="68"/>
        <v>310</v>
      </c>
      <c r="P600">
        <f t="shared" si="69"/>
        <v>310</v>
      </c>
      <c r="Q600" t="e">
        <f t="shared" si="70"/>
        <v>#N/A</v>
      </c>
      <c r="U600">
        <f>C600/Navio!$J$4</f>
        <v>14.989284700072417</v>
      </c>
    </row>
    <row r="601" spans="1:21" x14ac:dyDescent="0.3">
      <c r="A601">
        <v>599</v>
      </c>
      <c r="B601" s="47">
        <v>843.58787586515962</v>
      </c>
      <c r="C601" s="46">
        <v>287.12714078437256</v>
      </c>
      <c r="D601" s="1">
        <v>10</v>
      </c>
      <c r="E601" s="1">
        <v>13</v>
      </c>
      <c r="F601" s="1">
        <v>16</v>
      </c>
      <c r="G601" s="1">
        <v>7</v>
      </c>
      <c r="H601" s="1">
        <v>8</v>
      </c>
      <c r="I601" s="1" t="s">
        <v>50</v>
      </c>
      <c r="J601" s="1" t="s">
        <v>50</v>
      </c>
      <c r="K601" s="1" t="s">
        <v>50</v>
      </c>
      <c r="L601">
        <f t="shared" si="66"/>
        <v>290.36739528320618</v>
      </c>
      <c r="M601">
        <f t="shared" si="65"/>
        <v>185.56448544286178</v>
      </c>
      <c r="N601">
        <f t="shared" si="67"/>
        <v>172.96798541727486</v>
      </c>
      <c r="O601">
        <f t="shared" si="68"/>
        <v>310</v>
      </c>
      <c r="P601">
        <f t="shared" si="69"/>
        <v>310</v>
      </c>
      <c r="Q601" t="e">
        <f t="shared" si="70"/>
        <v>#N/A</v>
      </c>
      <c r="U601">
        <f>C601/Navio!$J$4</f>
        <v>15.503638706403448</v>
      </c>
    </row>
    <row r="602" spans="1:21" x14ac:dyDescent="0.3">
      <c r="A602">
        <v>600</v>
      </c>
      <c r="B602" s="47">
        <v>754.22080467849582</v>
      </c>
      <c r="C602" s="46">
        <v>291.21122476569411</v>
      </c>
      <c r="D602" s="1">
        <v>10</v>
      </c>
      <c r="E602" s="1">
        <v>16</v>
      </c>
      <c r="F602" s="1">
        <v>14</v>
      </c>
      <c r="G602" s="1">
        <v>7</v>
      </c>
      <c r="H602" s="1">
        <v>8</v>
      </c>
      <c r="I602" s="1" t="s">
        <v>50</v>
      </c>
      <c r="J602" s="1" t="s">
        <v>50</v>
      </c>
      <c r="K602" s="1" t="s">
        <v>50</v>
      </c>
      <c r="L602">
        <f t="shared" si="66"/>
        <v>290.36739528320618</v>
      </c>
      <c r="M602">
        <f t="shared" si="65"/>
        <v>172.96798541727486</v>
      </c>
      <c r="N602">
        <f t="shared" si="67"/>
        <v>96.197414256198073</v>
      </c>
      <c r="O602">
        <f t="shared" si="68"/>
        <v>310</v>
      </c>
      <c r="P602">
        <f t="shared" si="69"/>
        <v>310</v>
      </c>
      <c r="Q602" t="e">
        <f t="shared" si="70"/>
        <v>#N/A</v>
      </c>
      <c r="U602">
        <f>C602/Navio!$J$4</f>
        <v>15.724161790080062</v>
      </c>
    </row>
    <row r="603" spans="1:21" x14ac:dyDescent="0.3">
      <c r="A603">
        <v>601</v>
      </c>
      <c r="B603" s="47">
        <v>868.17081709619151</v>
      </c>
      <c r="C603" s="46">
        <v>287.07249952343824</v>
      </c>
      <c r="D603" s="1">
        <v>10</v>
      </c>
      <c r="E603" s="1">
        <v>16</v>
      </c>
      <c r="F603" s="1">
        <v>15</v>
      </c>
      <c r="G603" s="1">
        <v>7</v>
      </c>
      <c r="H603" s="1">
        <v>8</v>
      </c>
      <c r="I603" s="1" t="s">
        <v>50</v>
      </c>
      <c r="J603" s="1" t="s">
        <v>50</v>
      </c>
      <c r="K603" s="1" t="s">
        <v>50</v>
      </c>
      <c r="L603">
        <f t="shared" si="66"/>
        <v>290.36739528320618</v>
      </c>
      <c r="M603">
        <f t="shared" si="65"/>
        <v>172.96798541727486</v>
      </c>
      <c r="N603">
        <f t="shared" si="67"/>
        <v>210.14742667389368</v>
      </c>
      <c r="O603">
        <f t="shared" si="68"/>
        <v>310</v>
      </c>
      <c r="P603">
        <f t="shared" si="69"/>
        <v>310</v>
      </c>
      <c r="Q603" t="e">
        <f t="shared" si="70"/>
        <v>#N/A</v>
      </c>
      <c r="U603">
        <f>C603/Navio!$J$4</f>
        <v>15.500688311795422</v>
      </c>
    </row>
    <row r="604" spans="1:21" x14ac:dyDescent="0.3">
      <c r="A604">
        <v>602</v>
      </c>
      <c r="B604" s="47">
        <v>801.91592243833918</v>
      </c>
      <c r="C604" s="46">
        <v>256.36778233414071</v>
      </c>
      <c r="D604" s="1">
        <v>8</v>
      </c>
      <c r="E604" s="1">
        <v>11</v>
      </c>
      <c r="F604" s="1">
        <v>13</v>
      </c>
      <c r="G604" s="1">
        <v>12</v>
      </c>
      <c r="H604" s="1">
        <v>7</v>
      </c>
      <c r="I604" s="1" t="s">
        <v>50</v>
      </c>
      <c r="J604" s="1" t="s">
        <v>50</v>
      </c>
      <c r="K604" s="1" t="s">
        <v>50</v>
      </c>
      <c r="L604">
        <f t="shared" si="66"/>
        <v>310</v>
      </c>
      <c r="M604">
        <f t="shared" si="65"/>
        <v>278.99258318037374</v>
      </c>
      <c r="N604">
        <f t="shared" si="67"/>
        <v>185.56448544286178</v>
      </c>
      <c r="O604">
        <f t="shared" si="68"/>
        <v>82.076561445310972</v>
      </c>
      <c r="P604">
        <f t="shared" si="69"/>
        <v>310</v>
      </c>
      <c r="Q604" t="e">
        <f t="shared" si="70"/>
        <v>#N/A</v>
      </c>
      <c r="U604">
        <f>C604/Navio!$J$4</f>
        <v>13.842764785009571</v>
      </c>
    </row>
    <row r="605" spans="1:21" x14ac:dyDescent="0.3">
      <c r="A605">
        <v>603</v>
      </c>
      <c r="B605" s="47">
        <v>712.5488512516755</v>
      </c>
      <c r="C605" s="46">
        <v>271.78430275394112</v>
      </c>
      <c r="D605" s="1">
        <v>8</v>
      </c>
      <c r="E605" s="1">
        <v>11</v>
      </c>
      <c r="F605" s="1">
        <v>12</v>
      </c>
      <c r="G605" s="1">
        <v>14</v>
      </c>
      <c r="H605" s="1">
        <v>7</v>
      </c>
      <c r="I605" s="1" t="s">
        <v>50</v>
      </c>
      <c r="J605" s="1" t="s">
        <v>50</v>
      </c>
      <c r="K605" s="1" t="s">
        <v>50</v>
      </c>
      <c r="L605">
        <f t="shared" si="66"/>
        <v>310</v>
      </c>
      <c r="M605">
        <f t="shared" si="65"/>
        <v>278.99258318037374</v>
      </c>
      <c r="N605">
        <f t="shared" si="67"/>
        <v>82.076561445310972</v>
      </c>
      <c r="O605">
        <f t="shared" si="68"/>
        <v>96.197414256198073</v>
      </c>
      <c r="P605">
        <f t="shared" si="69"/>
        <v>310</v>
      </c>
      <c r="Q605" t="e">
        <f t="shared" si="70"/>
        <v>#N/A</v>
      </c>
      <c r="U605">
        <f>C605/Navio!$J$4</f>
        <v>14.675191012796832</v>
      </c>
    </row>
    <row r="606" spans="1:21" x14ac:dyDescent="0.3">
      <c r="A606">
        <v>604</v>
      </c>
      <c r="B606" s="47">
        <v>826.49886366937108</v>
      </c>
      <c r="C606" s="46">
        <v>272.66496172909387</v>
      </c>
      <c r="D606" s="1">
        <v>8</v>
      </c>
      <c r="E606" s="1">
        <v>11</v>
      </c>
      <c r="F606" s="1">
        <v>15</v>
      </c>
      <c r="G606" s="1">
        <v>12</v>
      </c>
      <c r="H606" s="1">
        <v>7</v>
      </c>
      <c r="I606" s="1" t="s">
        <v>50</v>
      </c>
      <c r="J606" s="1" t="s">
        <v>50</v>
      </c>
      <c r="K606" s="1" t="s">
        <v>50</v>
      </c>
      <c r="L606">
        <f t="shared" si="66"/>
        <v>310</v>
      </c>
      <c r="M606">
        <f t="shared" si="65"/>
        <v>278.99258318037374</v>
      </c>
      <c r="N606">
        <f t="shared" si="67"/>
        <v>210.14742667389368</v>
      </c>
      <c r="O606">
        <f t="shared" si="68"/>
        <v>82.076561445310972</v>
      </c>
      <c r="P606">
        <f t="shared" si="69"/>
        <v>310</v>
      </c>
      <c r="Q606" t="e">
        <f t="shared" si="70"/>
        <v>#N/A</v>
      </c>
      <c r="U606">
        <f>C606/Navio!$J$4</f>
        <v>14.722742834394126</v>
      </c>
    </row>
    <row r="607" spans="1:21" x14ac:dyDescent="0.3">
      <c r="A607">
        <v>605</v>
      </c>
      <c r="B607" s="47">
        <v>674.00743213456906</v>
      </c>
      <c r="C607" s="46">
        <v>284.04733587307726</v>
      </c>
      <c r="D607" s="1">
        <v>8</v>
      </c>
      <c r="E607" s="1">
        <v>11</v>
      </c>
      <c r="F607" s="1">
        <v>16</v>
      </c>
      <c r="G607" s="1">
        <v>12</v>
      </c>
      <c r="H607" s="1">
        <v>7</v>
      </c>
      <c r="I607" s="1" t="s">
        <v>50</v>
      </c>
      <c r="J607" s="1" t="s">
        <v>50</v>
      </c>
      <c r="K607" s="1" t="s">
        <v>50</v>
      </c>
      <c r="L607">
        <f t="shared" si="66"/>
        <v>310</v>
      </c>
      <c r="M607">
        <f t="shared" si="65"/>
        <v>278.99258318037374</v>
      </c>
      <c r="N607">
        <f t="shared" si="67"/>
        <v>172.96798541727486</v>
      </c>
      <c r="O607">
        <f t="shared" si="68"/>
        <v>82.076561445310972</v>
      </c>
      <c r="P607">
        <f t="shared" si="69"/>
        <v>310</v>
      </c>
      <c r="Q607" t="e">
        <f t="shared" si="70"/>
        <v>#N/A</v>
      </c>
      <c r="U607">
        <f>C607/Navio!$J$4</f>
        <v>15.337342401217908</v>
      </c>
    </row>
    <row r="608" spans="1:21" x14ac:dyDescent="0.3">
      <c r="A608">
        <v>606</v>
      </c>
      <c r="B608" s="47">
        <v>870.75448287943357</v>
      </c>
      <c r="C608" s="46">
        <v>274.72787041179123</v>
      </c>
      <c r="D608" s="1">
        <v>8</v>
      </c>
      <c r="E608" s="1">
        <v>11</v>
      </c>
      <c r="F608" s="1">
        <v>13</v>
      </c>
      <c r="G608" s="1">
        <v>14</v>
      </c>
      <c r="H608" s="1">
        <v>7</v>
      </c>
      <c r="I608" s="1" t="s">
        <v>50</v>
      </c>
      <c r="J608" s="1" t="s">
        <v>50</v>
      </c>
      <c r="K608" s="1" t="s">
        <v>50</v>
      </c>
      <c r="L608">
        <f t="shared" si="66"/>
        <v>310</v>
      </c>
      <c r="M608">
        <f t="shared" si="65"/>
        <v>278.99258318037374</v>
      </c>
      <c r="N608">
        <f t="shared" si="67"/>
        <v>185.56448544286178</v>
      </c>
      <c r="O608">
        <f t="shared" si="68"/>
        <v>96.197414256198073</v>
      </c>
      <c r="P608">
        <f t="shared" si="69"/>
        <v>310</v>
      </c>
      <c r="Q608" t="e">
        <f t="shared" si="70"/>
        <v>#N/A</v>
      </c>
      <c r="U608">
        <f>C608/Navio!$J$4</f>
        <v>14.834131088438911</v>
      </c>
    </row>
    <row r="609" spans="1:21" x14ac:dyDescent="0.3">
      <c r="A609">
        <v>607</v>
      </c>
      <c r="B609" s="47">
        <v>832.21306376232712</v>
      </c>
      <c r="C609" s="46">
        <v>284.25369837937774</v>
      </c>
      <c r="D609" s="1">
        <v>8</v>
      </c>
      <c r="E609" s="1">
        <v>11</v>
      </c>
      <c r="F609" s="1">
        <v>13</v>
      </c>
      <c r="G609" s="1">
        <v>16</v>
      </c>
      <c r="H609" s="1">
        <v>7</v>
      </c>
      <c r="I609" s="1" t="s">
        <v>50</v>
      </c>
      <c r="J609" s="1" t="s">
        <v>50</v>
      </c>
      <c r="K609" s="1" t="s">
        <v>50</v>
      </c>
      <c r="L609">
        <f t="shared" si="66"/>
        <v>310</v>
      </c>
      <c r="M609">
        <f t="shared" si="65"/>
        <v>278.99258318037374</v>
      </c>
      <c r="N609">
        <f t="shared" si="67"/>
        <v>185.56448544286178</v>
      </c>
      <c r="O609">
        <f t="shared" si="68"/>
        <v>172.96798541727486</v>
      </c>
      <c r="P609">
        <f t="shared" si="69"/>
        <v>310</v>
      </c>
      <c r="Q609" t="e">
        <f t="shared" si="70"/>
        <v>#N/A</v>
      </c>
      <c r="U609">
        <f>C609/Navio!$J$4</f>
        <v>15.348485094769938</v>
      </c>
    </row>
    <row r="610" spans="1:21" x14ac:dyDescent="0.3">
      <c r="A610">
        <v>608</v>
      </c>
      <c r="B610" s="47">
        <v>895.33742411046546</v>
      </c>
      <c r="C610" s="46">
        <v>278.66852940726403</v>
      </c>
      <c r="D610" s="1">
        <v>8</v>
      </c>
      <c r="E610" s="1">
        <v>11</v>
      </c>
      <c r="F610" s="1">
        <v>15</v>
      </c>
      <c r="G610" s="1">
        <v>14</v>
      </c>
      <c r="H610" s="1">
        <v>7</v>
      </c>
      <c r="I610" s="1" t="s">
        <v>50</v>
      </c>
      <c r="J610" s="1" t="s">
        <v>50</v>
      </c>
      <c r="K610" s="1" t="s">
        <v>50</v>
      </c>
      <c r="L610">
        <f t="shared" si="66"/>
        <v>310</v>
      </c>
      <c r="M610">
        <f t="shared" si="65"/>
        <v>278.99258318037374</v>
      </c>
      <c r="N610">
        <f t="shared" si="67"/>
        <v>210.14742667389368</v>
      </c>
      <c r="O610">
        <f t="shared" si="68"/>
        <v>96.197414256198073</v>
      </c>
      <c r="P610">
        <f t="shared" si="69"/>
        <v>310</v>
      </c>
      <c r="Q610" t="e">
        <f t="shared" si="70"/>
        <v>#N/A</v>
      </c>
      <c r="U610">
        <f>C610/Navio!$J$4</f>
        <v>15.046909835735496</v>
      </c>
    </row>
    <row r="611" spans="1:21" x14ac:dyDescent="0.3">
      <c r="A611">
        <v>609</v>
      </c>
      <c r="B611" s="47">
        <v>742.84599257566344</v>
      </c>
      <c r="C611" s="46">
        <v>288.18136886977015</v>
      </c>
      <c r="D611" s="1">
        <v>8</v>
      </c>
      <c r="E611" s="1">
        <v>11</v>
      </c>
      <c r="F611" s="1">
        <v>16</v>
      </c>
      <c r="G611" s="1">
        <v>14</v>
      </c>
      <c r="H611" s="1">
        <v>7</v>
      </c>
      <c r="I611" s="1" t="s">
        <v>50</v>
      </c>
      <c r="J611" s="1" t="s">
        <v>50</v>
      </c>
      <c r="K611" s="1" t="s">
        <v>50</v>
      </c>
      <c r="L611">
        <f t="shared" si="66"/>
        <v>310</v>
      </c>
      <c r="M611">
        <f t="shared" si="65"/>
        <v>278.99258318037374</v>
      </c>
      <c r="N611">
        <f t="shared" si="67"/>
        <v>172.96798541727486</v>
      </c>
      <c r="O611">
        <f t="shared" si="68"/>
        <v>96.197414256198073</v>
      </c>
      <c r="P611">
        <f t="shared" si="69"/>
        <v>310</v>
      </c>
      <c r="Q611" t="e">
        <f t="shared" si="70"/>
        <v>#N/A</v>
      </c>
      <c r="U611">
        <f>C611/Navio!$J$4</f>
        <v>15.560562518292141</v>
      </c>
    </row>
    <row r="612" spans="1:21" x14ac:dyDescent="0.3">
      <c r="A612">
        <v>610</v>
      </c>
      <c r="B612" s="47">
        <v>856.79600499335902</v>
      </c>
      <c r="C612" s="46">
        <v>284.04264362751428</v>
      </c>
      <c r="D612" s="1">
        <v>8</v>
      </c>
      <c r="E612" s="1">
        <v>11</v>
      </c>
      <c r="F612" s="1">
        <v>16</v>
      </c>
      <c r="G612" s="1">
        <v>15</v>
      </c>
      <c r="H612" s="1">
        <v>7</v>
      </c>
      <c r="I612" s="1" t="s">
        <v>50</v>
      </c>
      <c r="J612" s="1" t="s">
        <v>50</v>
      </c>
      <c r="K612" s="1" t="s">
        <v>50</v>
      </c>
      <c r="L612">
        <f t="shared" si="66"/>
        <v>310</v>
      </c>
      <c r="M612">
        <f t="shared" si="65"/>
        <v>278.99258318037374</v>
      </c>
      <c r="N612">
        <f t="shared" si="67"/>
        <v>172.96798541727486</v>
      </c>
      <c r="O612">
        <f t="shared" si="68"/>
        <v>210.14742667389368</v>
      </c>
      <c r="P612">
        <f t="shared" si="69"/>
        <v>310</v>
      </c>
      <c r="Q612" t="e">
        <f t="shared" si="70"/>
        <v>#N/A</v>
      </c>
      <c r="U612">
        <f>C612/Navio!$J$4</f>
        <v>15.3370890400075</v>
      </c>
    </row>
    <row r="613" spans="1:21" x14ac:dyDescent="0.3">
      <c r="A613">
        <v>611</v>
      </c>
      <c r="B613" s="47">
        <v>619.12075351416354</v>
      </c>
      <c r="C613" s="46">
        <v>274.34699625578423</v>
      </c>
      <c r="D613" s="1">
        <v>8</v>
      </c>
      <c r="E613" s="1">
        <v>13</v>
      </c>
      <c r="F613" s="1">
        <v>14</v>
      </c>
      <c r="G613" s="1">
        <v>12</v>
      </c>
      <c r="H613" s="1">
        <v>7</v>
      </c>
      <c r="I613" s="1" t="s">
        <v>50</v>
      </c>
      <c r="J613" s="1" t="s">
        <v>50</v>
      </c>
      <c r="K613" s="1" t="s">
        <v>50</v>
      </c>
      <c r="L613">
        <f t="shared" si="66"/>
        <v>310</v>
      </c>
      <c r="M613">
        <f t="shared" si="65"/>
        <v>185.56448544286178</v>
      </c>
      <c r="N613">
        <f t="shared" si="67"/>
        <v>96.197414256198073</v>
      </c>
      <c r="O613">
        <f t="shared" si="68"/>
        <v>82.076561445310972</v>
      </c>
      <c r="P613">
        <f t="shared" si="69"/>
        <v>310</v>
      </c>
      <c r="Q613" t="e">
        <f t="shared" si="70"/>
        <v>#N/A</v>
      </c>
      <c r="U613">
        <f>C613/Navio!$J$4</f>
        <v>14.81356551149203</v>
      </c>
    </row>
    <row r="614" spans="1:21" x14ac:dyDescent="0.3">
      <c r="A614">
        <v>612</v>
      </c>
      <c r="B614" s="47">
        <v>733.07076593185911</v>
      </c>
      <c r="C614" s="46">
        <v>270.5899926710465</v>
      </c>
      <c r="D614" s="1">
        <v>8</v>
      </c>
      <c r="E614" s="1">
        <v>13</v>
      </c>
      <c r="F614" s="1">
        <v>15</v>
      </c>
      <c r="G614" s="1">
        <v>12</v>
      </c>
      <c r="H614" s="1">
        <v>7</v>
      </c>
      <c r="I614" s="1" t="s">
        <v>50</v>
      </c>
      <c r="J614" s="1" t="s">
        <v>50</v>
      </c>
      <c r="K614" s="1" t="s">
        <v>50</v>
      </c>
      <c r="L614">
        <f t="shared" si="66"/>
        <v>310</v>
      </c>
      <c r="M614">
        <f t="shared" si="65"/>
        <v>185.56448544286178</v>
      </c>
      <c r="N614">
        <f t="shared" si="67"/>
        <v>210.14742667389368</v>
      </c>
      <c r="O614">
        <f t="shared" si="68"/>
        <v>82.076561445310972</v>
      </c>
      <c r="P614">
        <f t="shared" si="69"/>
        <v>310</v>
      </c>
      <c r="Q614" t="e">
        <f t="shared" si="70"/>
        <v>#N/A</v>
      </c>
      <c r="U614">
        <f>C614/Navio!$J$4</f>
        <v>14.610703371614495</v>
      </c>
    </row>
    <row r="615" spans="1:21" x14ac:dyDescent="0.3">
      <c r="A615">
        <v>613</v>
      </c>
      <c r="B615" s="47">
        <v>580.5793343970571</v>
      </c>
      <c r="C615" s="46">
        <v>281.41316470533116</v>
      </c>
      <c r="D615" s="1">
        <v>8</v>
      </c>
      <c r="E615" s="1">
        <v>13</v>
      </c>
      <c r="F615" s="1">
        <v>16</v>
      </c>
      <c r="G615" s="1">
        <v>12</v>
      </c>
      <c r="H615" s="1">
        <v>7</v>
      </c>
      <c r="I615" s="1" t="s">
        <v>50</v>
      </c>
      <c r="J615" s="1" t="s">
        <v>50</v>
      </c>
      <c r="K615" s="1" t="s">
        <v>50</v>
      </c>
      <c r="L615">
        <f t="shared" si="66"/>
        <v>310</v>
      </c>
      <c r="M615">
        <f t="shared" si="65"/>
        <v>185.56448544286178</v>
      </c>
      <c r="N615">
        <f t="shared" si="67"/>
        <v>172.96798541727486</v>
      </c>
      <c r="O615">
        <f t="shared" si="68"/>
        <v>82.076561445310972</v>
      </c>
      <c r="P615">
        <f t="shared" si="69"/>
        <v>310</v>
      </c>
      <c r="Q615" t="e">
        <f t="shared" si="70"/>
        <v>#N/A</v>
      </c>
      <c r="U615">
        <f>C615/Navio!$J$4</f>
        <v>15.195108413988432</v>
      </c>
    </row>
    <row r="616" spans="1:21" x14ac:dyDescent="0.3">
      <c r="A616">
        <v>614</v>
      </c>
      <c r="B616" s="47">
        <v>827.31901703430822</v>
      </c>
      <c r="C616" s="46">
        <v>279.74546593803609</v>
      </c>
      <c r="D616" s="1">
        <v>8</v>
      </c>
      <c r="E616" s="1">
        <v>13</v>
      </c>
      <c r="F616" s="1">
        <v>17</v>
      </c>
      <c r="G616" s="1">
        <v>12</v>
      </c>
      <c r="H616" s="1">
        <v>7</v>
      </c>
      <c r="I616" s="1" t="s">
        <v>50</v>
      </c>
      <c r="J616" s="1" t="s">
        <v>50</v>
      </c>
      <c r="K616" s="1" t="s">
        <v>50</v>
      </c>
      <c r="L616">
        <f t="shared" si="66"/>
        <v>310</v>
      </c>
      <c r="M616">
        <f t="shared" si="65"/>
        <v>185.56448544286178</v>
      </c>
      <c r="N616">
        <f t="shared" si="67"/>
        <v>304.39567777634272</v>
      </c>
      <c r="O616">
        <f t="shared" si="68"/>
        <v>82.076561445310972</v>
      </c>
      <c r="P616">
        <f t="shared" si="69"/>
        <v>310</v>
      </c>
      <c r="Q616" t="e">
        <f t="shared" si="70"/>
        <v>#N/A</v>
      </c>
      <c r="U616">
        <f>C616/Navio!$J$4</f>
        <v>15.105059806641091</v>
      </c>
    </row>
    <row r="617" spans="1:21" x14ac:dyDescent="0.3">
      <c r="A617">
        <v>615</v>
      </c>
      <c r="B617" s="47">
        <v>643.70369474519543</v>
      </c>
      <c r="C617" s="46">
        <v>271.31796780067953</v>
      </c>
      <c r="D617" s="1">
        <v>8</v>
      </c>
      <c r="E617" s="1">
        <v>12</v>
      </c>
      <c r="F617" s="1">
        <v>15</v>
      </c>
      <c r="G617" s="1">
        <v>14</v>
      </c>
      <c r="H617" s="1">
        <v>7</v>
      </c>
      <c r="I617" s="1" t="s">
        <v>50</v>
      </c>
      <c r="J617" s="1" t="s">
        <v>50</v>
      </c>
      <c r="K617" s="1" t="s">
        <v>50</v>
      </c>
      <c r="L617">
        <f t="shared" si="66"/>
        <v>310</v>
      </c>
      <c r="M617">
        <f t="shared" si="65"/>
        <v>82.076561445310972</v>
      </c>
      <c r="N617">
        <f t="shared" si="67"/>
        <v>210.14742667389368</v>
      </c>
      <c r="O617">
        <f t="shared" si="68"/>
        <v>96.197414256198073</v>
      </c>
      <c r="P617">
        <f t="shared" si="69"/>
        <v>310</v>
      </c>
      <c r="Q617" t="e">
        <f t="shared" si="70"/>
        <v>#N/A</v>
      </c>
      <c r="U617">
        <f>C617/Navio!$J$4</f>
        <v>14.65001091797269</v>
      </c>
    </row>
    <row r="618" spans="1:21" x14ac:dyDescent="0.3">
      <c r="A618">
        <v>616</v>
      </c>
      <c r="B618" s="47">
        <v>491.21226321039336</v>
      </c>
      <c r="C618" s="46">
        <v>281.79668222799319</v>
      </c>
      <c r="D618" s="1">
        <v>8</v>
      </c>
      <c r="E618" s="1">
        <v>12</v>
      </c>
      <c r="F618" s="1">
        <v>16</v>
      </c>
      <c r="G618" s="1">
        <v>14</v>
      </c>
      <c r="H618" s="1">
        <v>7</v>
      </c>
      <c r="I618" s="1" t="s">
        <v>50</v>
      </c>
      <c r="J618" s="1" t="s">
        <v>50</v>
      </c>
      <c r="K618" s="1" t="s">
        <v>50</v>
      </c>
      <c r="L618">
        <f t="shared" si="66"/>
        <v>310</v>
      </c>
      <c r="M618">
        <f t="shared" si="65"/>
        <v>82.076561445310972</v>
      </c>
      <c r="N618">
        <f t="shared" si="67"/>
        <v>172.96798541727486</v>
      </c>
      <c r="O618">
        <f t="shared" si="68"/>
        <v>96.197414256198073</v>
      </c>
      <c r="P618">
        <f t="shared" si="69"/>
        <v>310</v>
      </c>
      <c r="Q618" t="e">
        <f t="shared" si="70"/>
        <v>#N/A</v>
      </c>
      <c r="U618">
        <f>C618/Navio!$J$4</f>
        <v>15.215816721439564</v>
      </c>
    </row>
    <row r="619" spans="1:21" x14ac:dyDescent="0.3">
      <c r="A619">
        <v>617</v>
      </c>
      <c r="B619" s="47">
        <v>737.95194584764442</v>
      </c>
      <c r="C619" s="46">
        <v>288.46001003530392</v>
      </c>
      <c r="D619" s="1">
        <v>8</v>
      </c>
      <c r="E619" s="1">
        <v>12</v>
      </c>
      <c r="F619" s="1">
        <v>17</v>
      </c>
      <c r="G619" s="1">
        <v>14</v>
      </c>
      <c r="H619" s="1">
        <v>7</v>
      </c>
      <c r="I619" s="1" t="s">
        <v>50</v>
      </c>
      <c r="J619" s="1" t="s">
        <v>50</v>
      </c>
      <c r="K619" s="1" t="s">
        <v>50</v>
      </c>
      <c r="L619">
        <f t="shared" si="66"/>
        <v>310</v>
      </c>
      <c r="M619">
        <f t="shared" si="65"/>
        <v>82.076561445310972</v>
      </c>
      <c r="N619">
        <f t="shared" si="67"/>
        <v>304.39567777634272</v>
      </c>
      <c r="O619">
        <f t="shared" si="68"/>
        <v>96.197414256198073</v>
      </c>
      <c r="P619">
        <f t="shared" si="69"/>
        <v>310</v>
      </c>
      <c r="Q619" t="e">
        <f t="shared" si="70"/>
        <v>#N/A</v>
      </c>
      <c r="U619">
        <f>C619/Navio!$J$4</f>
        <v>15.575607950595632</v>
      </c>
    </row>
    <row r="620" spans="1:21" x14ac:dyDescent="0.3">
      <c r="A620">
        <v>618</v>
      </c>
      <c r="B620" s="47">
        <v>605.16227562808899</v>
      </c>
      <c r="C620" s="46">
        <v>277.57000142844186</v>
      </c>
      <c r="D620" s="1">
        <v>8</v>
      </c>
      <c r="E620" s="1">
        <v>16</v>
      </c>
      <c r="F620" s="1">
        <v>15</v>
      </c>
      <c r="G620" s="1">
        <v>12</v>
      </c>
      <c r="H620" s="1">
        <v>7</v>
      </c>
      <c r="I620" s="1" t="s">
        <v>50</v>
      </c>
      <c r="J620" s="1" t="s">
        <v>50</v>
      </c>
      <c r="K620" s="1" t="s">
        <v>50</v>
      </c>
      <c r="L620">
        <f t="shared" si="66"/>
        <v>310</v>
      </c>
      <c r="M620">
        <f t="shared" si="65"/>
        <v>172.96798541727486</v>
      </c>
      <c r="N620">
        <f t="shared" si="67"/>
        <v>210.14742667389368</v>
      </c>
      <c r="O620">
        <f t="shared" si="68"/>
        <v>82.076561445310972</v>
      </c>
      <c r="P620">
        <f t="shared" si="69"/>
        <v>310</v>
      </c>
      <c r="Q620" t="e">
        <f t="shared" si="70"/>
        <v>#N/A</v>
      </c>
      <c r="U620">
        <f>C620/Navio!$J$4</f>
        <v>14.98759401889558</v>
      </c>
    </row>
    <row r="621" spans="1:21" x14ac:dyDescent="0.3">
      <c r="A621">
        <v>619</v>
      </c>
      <c r="B621" s="47">
        <v>851.90195826534</v>
      </c>
      <c r="C621" s="46">
        <v>281.23541733864465</v>
      </c>
      <c r="D621" s="1">
        <v>8</v>
      </c>
      <c r="E621" s="1">
        <v>17</v>
      </c>
      <c r="F621" s="1">
        <v>15</v>
      </c>
      <c r="G621" s="1">
        <v>12</v>
      </c>
      <c r="H621" s="1">
        <v>7</v>
      </c>
      <c r="I621" s="1" t="s">
        <v>50</v>
      </c>
      <c r="J621" s="1" t="s">
        <v>50</v>
      </c>
      <c r="K621" s="1" t="s">
        <v>50</v>
      </c>
      <c r="L621">
        <f t="shared" si="66"/>
        <v>310</v>
      </c>
      <c r="M621">
        <f t="shared" si="65"/>
        <v>304.39567777634272</v>
      </c>
      <c r="N621">
        <f t="shared" si="67"/>
        <v>210.14742667389368</v>
      </c>
      <c r="O621">
        <f t="shared" si="68"/>
        <v>82.076561445310972</v>
      </c>
      <c r="P621">
        <f t="shared" si="69"/>
        <v>310</v>
      </c>
      <c r="Q621" t="e">
        <f t="shared" si="70"/>
        <v>#N/A</v>
      </c>
      <c r="U621">
        <f>C621/Navio!$J$4</f>
        <v>15.1855108157029</v>
      </c>
    </row>
    <row r="622" spans="1:21" x14ac:dyDescent="0.3">
      <c r="A622">
        <v>620</v>
      </c>
      <c r="B622" s="47">
        <v>699.41052673053798</v>
      </c>
      <c r="C622" s="46">
        <v>285.15958079165387</v>
      </c>
      <c r="D622" s="1">
        <v>8</v>
      </c>
      <c r="E622" s="1">
        <v>17</v>
      </c>
      <c r="F622" s="1">
        <v>16</v>
      </c>
      <c r="G622" s="1">
        <v>12</v>
      </c>
      <c r="H622" s="1">
        <v>7</v>
      </c>
      <c r="I622" s="1" t="s">
        <v>50</v>
      </c>
      <c r="J622" s="1" t="s">
        <v>50</v>
      </c>
      <c r="K622" s="1" t="s">
        <v>50</v>
      </c>
      <c r="L622">
        <f t="shared" si="66"/>
        <v>310</v>
      </c>
      <c r="M622">
        <f t="shared" si="65"/>
        <v>304.39567777634272</v>
      </c>
      <c r="N622">
        <f t="shared" si="67"/>
        <v>172.96798541727486</v>
      </c>
      <c r="O622">
        <f t="shared" si="68"/>
        <v>82.076561445310972</v>
      </c>
      <c r="P622">
        <f t="shared" si="69"/>
        <v>310</v>
      </c>
      <c r="Q622" t="e">
        <f t="shared" si="70"/>
        <v>#N/A</v>
      </c>
      <c r="U622">
        <f>C622/Navio!$J$4</f>
        <v>15.397398874192</v>
      </c>
    </row>
    <row r="623" spans="1:21" x14ac:dyDescent="0.3">
      <c r="A623">
        <v>621</v>
      </c>
      <c r="B623" s="47">
        <v>801.9093263729535</v>
      </c>
      <c r="C623" s="46">
        <v>276.59356034921666</v>
      </c>
      <c r="D623" s="1">
        <v>8</v>
      </c>
      <c r="E623" s="1">
        <v>13</v>
      </c>
      <c r="F623" s="1">
        <v>15</v>
      </c>
      <c r="G623" s="1">
        <v>14</v>
      </c>
      <c r="H623" s="1">
        <v>7</v>
      </c>
      <c r="I623" s="1" t="s">
        <v>50</v>
      </c>
      <c r="J623" s="1" t="s">
        <v>50</v>
      </c>
      <c r="K623" s="1" t="s">
        <v>50</v>
      </c>
      <c r="L623">
        <f t="shared" si="66"/>
        <v>310</v>
      </c>
      <c r="M623">
        <f t="shared" si="65"/>
        <v>185.56448544286178</v>
      </c>
      <c r="N623">
        <f t="shared" si="67"/>
        <v>210.14742667389368</v>
      </c>
      <c r="O623">
        <f t="shared" si="68"/>
        <v>96.197414256198073</v>
      </c>
      <c r="P623">
        <f t="shared" si="69"/>
        <v>310</v>
      </c>
      <c r="Q623" t="e">
        <f t="shared" si="70"/>
        <v>#N/A</v>
      </c>
      <c r="U623">
        <f>C623/Navio!$J$4</f>
        <v>14.934870372955865</v>
      </c>
    </row>
    <row r="624" spans="1:21" x14ac:dyDescent="0.3">
      <c r="A624">
        <v>622</v>
      </c>
      <c r="B624" s="47">
        <v>649.41789483815148</v>
      </c>
      <c r="C624" s="46">
        <v>285.54719770202405</v>
      </c>
      <c r="D624" s="1">
        <v>8</v>
      </c>
      <c r="E624" s="1">
        <v>13</v>
      </c>
      <c r="F624" s="1">
        <v>16</v>
      </c>
      <c r="G624" s="1">
        <v>14</v>
      </c>
      <c r="H624" s="1">
        <v>7</v>
      </c>
      <c r="I624" s="1" t="s">
        <v>50</v>
      </c>
      <c r="J624" s="1" t="s">
        <v>50</v>
      </c>
      <c r="K624" s="1" t="s">
        <v>50</v>
      </c>
      <c r="L624">
        <f t="shared" si="66"/>
        <v>310</v>
      </c>
      <c r="M624">
        <f t="shared" si="65"/>
        <v>185.56448544286178</v>
      </c>
      <c r="N624">
        <f t="shared" si="67"/>
        <v>172.96798541727486</v>
      </c>
      <c r="O624">
        <f t="shared" si="68"/>
        <v>96.197414256198073</v>
      </c>
      <c r="P624">
        <f t="shared" si="69"/>
        <v>310</v>
      </c>
      <c r="Q624" t="e">
        <f t="shared" si="70"/>
        <v>#N/A</v>
      </c>
      <c r="U624">
        <f>C624/Navio!$J$4</f>
        <v>15.418328531062663</v>
      </c>
    </row>
    <row r="625" spans="1:21" x14ac:dyDescent="0.3">
      <c r="A625">
        <v>623</v>
      </c>
      <c r="B625" s="47">
        <v>896.1575774754026</v>
      </c>
      <c r="C625" s="46">
        <v>288.10624923451189</v>
      </c>
      <c r="D625" s="1">
        <v>8</v>
      </c>
      <c r="E625" s="1">
        <v>13</v>
      </c>
      <c r="F625" s="1">
        <v>17</v>
      </c>
      <c r="G625" s="1">
        <v>14</v>
      </c>
      <c r="H625" s="1">
        <v>7</v>
      </c>
      <c r="I625" s="1" t="s">
        <v>50</v>
      </c>
      <c r="J625" s="1" t="s">
        <v>50</v>
      </c>
      <c r="K625" s="1" t="s">
        <v>50</v>
      </c>
      <c r="L625">
        <f t="shared" si="66"/>
        <v>310</v>
      </c>
      <c r="M625">
        <f t="shared" si="65"/>
        <v>185.56448544286178</v>
      </c>
      <c r="N625">
        <f t="shared" si="67"/>
        <v>304.39567777634272</v>
      </c>
      <c r="O625">
        <f t="shared" si="68"/>
        <v>96.197414256198073</v>
      </c>
      <c r="P625">
        <f t="shared" si="69"/>
        <v>310</v>
      </c>
      <c r="Q625" t="e">
        <f t="shared" si="70"/>
        <v>#N/A</v>
      </c>
      <c r="U625">
        <f>C625/Navio!$J$4</f>
        <v>15.556506378974834</v>
      </c>
    </row>
    <row r="626" spans="1:21" x14ac:dyDescent="0.3">
      <c r="A626">
        <v>624</v>
      </c>
      <c r="B626" s="6">
        <v>763.36790725584706</v>
      </c>
      <c r="C626" s="46">
        <v>281.40847245976818</v>
      </c>
      <c r="D626" s="1">
        <v>8</v>
      </c>
      <c r="E626" s="1">
        <v>13</v>
      </c>
      <c r="F626" s="1">
        <v>16</v>
      </c>
      <c r="G626" s="1">
        <v>15</v>
      </c>
      <c r="H626" s="1">
        <v>7</v>
      </c>
      <c r="I626" s="1" t="s">
        <v>50</v>
      </c>
      <c r="J626" s="1" t="s">
        <v>50</v>
      </c>
      <c r="K626" s="1" t="s">
        <v>50</v>
      </c>
      <c r="L626">
        <f t="shared" si="66"/>
        <v>310</v>
      </c>
      <c r="M626">
        <f t="shared" si="65"/>
        <v>185.56448544286178</v>
      </c>
      <c r="N626">
        <f t="shared" si="67"/>
        <v>172.96798541727486</v>
      </c>
      <c r="O626">
        <f t="shared" si="68"/>
        <v>210.14742667389368</v>
      </c>
      <c r="P626">
        <f t="shared" si="69"/>
        <v>310</v>
      </c>
      <c r="Q626" t="e">
        <f t="shared" si="70"/>
        <v>#N/A</v>
      </c>
      <c r="U626">
        <f>C626/Navio!$J$4</f>
        <v>15.194855052778024</v>
      </c>
    </row>
    <row r="627" spans="1:21" x14ac:dyDescent="0.3">
      <c r="A627">
        <v>625</v>
      </c>
      <c r="B627" s="6">
        <v>857.61615835829616</v>
      </c>
      <c r="C627" s="46">
        <v>286.0571213998544</v>
      </c>
      <c r="D627" s="1">
        <v>8</v>
      </c>
      <c r="E627" s="1">
        <v>13</v>
      </c>
      <c r="F627" s="1">
        <v>17</v>
      </c>
      <c r="G627" s="1">
        <v>16</v>
      </c>
      <c r="H627" s="1">
        <v>7</v>
      </c>
      <c r="I627" s="1" t="s">
        <v>50</v>
      </c>
      <c r="J627" s="1" t="s">
        <v>50</v>
      </c>
      <c r="K627" s="1" t="s">
        <v>50</v>
      </c>
      <c r="L627">
        <f t="shared" si="66"/>
        <v>310</v>
      </c>
      <c r="M627">
        <f t="shared" si="65"/>
        <v>185.56448544286178</v>
      </c>
      <c r="N627">
        <f t="shared" si="67"/>
        <v>304.39567777634272</v>
      </c>
      <c r="O627">
        <f t="shared" si="68"/>
        <v>172.96798541727486</v>
      </c>
      <c r="P627">
        <f t="shared" si="69"/>
        <v>310</v>
      </c>
      <c r="Q627" t="e">
        <f t="shared" si="70"/>
        <v>#N/A</v>
      </c>
      <c r="U627">
        <f>C627/Navio!$J$4</f>
        <v>15.445862231838557</v>
      </c>
    </row>
    <row r="628" spans="1:21" x14ac:dyDescent="0.3">
      <c r="A628">
        <v>626</v>
      </c>
      <c r="B628" s="6">
        <v>674.00083606918338</v>
      </c>
      <c r="C628" s="46">
        <v>281.7313947682693</v>
      </c>
      <c r="D628" s="1">
        <v>8</v>
      </c>
      <c r="E628" s="1">
        <v>15</v>
      </c>
      <c r="F628" s="1">
        <v>16</v>
      </c>
      <c r="G628" s="1">
        <v>14</v>
      </c>
      <c r="H628" s="1">
        <v>7</v>
      </c>
      <c r="I628" s="1" t="s">
        <v>50</v>
      </c>
      <c r="J628" s="1" t="s">
        <v>50</v>
      </c>
      <c r="K628" s="1" t="s">
        <v>50</v>
      </c>
      <c r="L628">
        <f t="shared" si="66"/>
        <v>310</v>
      </c>
      <c r="M628">
        <f t="shared" si="65"/>
        <v>210.14742667389368</v>
      </c>
      <c r="N628">
        <f t="shared" si="67"/>
        <v>172.96798541727486</v>
      </c>
      <c r="O628">
        <f t="shared" si="68"/>
        <v>96.197414256198073</v>
      </c>
      <c r="P628">
        <f t="shared" si="69"/>
        <v>310</v>
      </c>
      <c r="Q628" t="e">
        <f t="shared" si="70"/>
        <v>#N/A</v>
      </c>
      <c r="U628">
        <f>C628/Navio!$J$4</f>
        <v>15.21229147758817</v>
      </c>
    </row>
    <row r="629" spans="1:21" x14ac:dyDescent="0.3">
      <c r="A629">
        <v>627</v>
      </c>
      <c r="B629" s="6">
        <v>768.24908717163237</v>
      </c>
      <c r="C629" s="46">
        <v>289.29361378834676</v>
      </c>
      <c r="D629" s="1">
        <v>8</v>
      </c>
      <c r="E629" s="1">
        <v>17</v>
      </c>
      <c r="F629" s="1">
        <v>16</v>
      </c>
      <c r="G629" s="1">
        <v>14</v>
      </c>
      <c r="H629" s="1">
        <v>7</v>
      </c>
      <c r="I629" s="1" t="s">
        <v>50</v>
      </c>
      <c r="J629" s="1" t="s">
        <v>50</v>
      </c>
      <c r="K629" s="1" t="s">
        <v>50</v>
      </c>
      <c r="L629">
        <f t="shared" si="66"/>
        <v>310</v>
      </c>
      <c r="M629">
        <f t="shared" si="65"/>
        <v>304.39567777634272</v>
      </c>
      <c r="N629">
        <f t="shared" si="67"/>
        <v>172.96798541727486</v>
      </c>
      <c r="O629">
        <f t="shared" si="68"/>
        <v>96.197414256198073</v>
      </c>
      <c r="P629">
        <f t="shared" si="69"/>
        <v>310</v>
      </c>
      <c r="Q629" t="e">
        <f t="shared" si="70"/>
        <v>#N/A</v>
      </c>
      <c r="U629">
        <f>C629/Navio!$J$4</f>
        <v>15.620618991266232</v>
      </c>
    </row>
    <row r="630" spans="1:21" x14ac:dyDescent="0.3">
      <c r="A630">
        <v>628</v>
      </c>
      <c r="B630" s="6">
        <v>882.19909958932806</v>
      </c>
      <c r="C630" s="46">
        <v>285.15488854609089</v>
      </c>
      <c r="D630" s="1">
        <v>8</v>
      </c>
      <c r="E630" s="1">
        <v>17</v>
      </c>
      <c r="F630" s="1">
        <v>16</v>
      </c>
      <c r="G630" s="1">
        <v>15</v>
      </c>
      <c r="H630" s="1">
        <v>7</v>
      </c>
      <c r="I630" s="1" t="s">
        <v>50</v>
      </c>
      <c r="J630" s="1" t="s">
        <v>50</v>
      </c>
      <c r="K630" s="1" t="s">
        <v>50</v>
      </c>
      <c r="L630">
        <f t="shared" si="66"/>
        <v>310</v>
      </c>
      <c r="M630">
        <f t="shared" si="65"/>
        <v>304.39567777634272</v>
      </c>
      <c r="N630">
        <f t="shared" si="67"/>
        <v>172.96798541727486</v>
      </c>
      <c r="O630">
        <f t="shared" si="68"/>
        <v>210.14742667389368</v>
      </c>
      <c r="P630">
        <f t="shared" si="69"/>
        <v>310</v>
      </c>
      <c r="Q630" t="e">
        <f t="shared" si="70"/>
        <v>#N/A</v>
      </c>
      <c r="U630">
        <f>C630/Navio!$J$4</f>
        <v>15.397145512981592</v>
      </c>
    </row>
    <row r="631" spans="1:21" x14ac:dyDescent="0.3">
      <c r="A631">
        <v>629</v>
      </c>
      <c r="B631" s="6">
        <v>813.29073454117156</v>
      </c>
      <c r="C631" s="46">
        <v>256.39854215368723</v>
      </c>
      <c r="D631" s="1">
        <v>9</v>
      </c>
      <c r="E631" s="1">
        <v>10</v>
      </c>
      <c r="F631" s="1">
        <v>13</v>
      </c>
      <c r="G631" s="1">
        <v>12</v>
      </c>
      <c r="H631" s="1">
        <v>7</v>
      </c>
      <c r="I631" s="1" t="s">
        <v>50</v>
      </c>
      <c r="J631" s="1" t="s">
        <v>50</v>
      </c>
      <c r="K631" s="1" t="s">
        <v>50</v>
      </c>
      <c r="L631">
        <f t="shared" si="66"/>
        <v>310</v>
      </c>
      <c r="M631">
        <f t="shared" si="65"/>
        <v>290.36739528320618</v>
      </c>
      <c r="N631">
        <f t="shared" si="67"/>
        <v>185.56448544286178</v>
      </c>
      <c r="O631">
        <f t="shared" si="68"/>
        <v>82.076561445310972</v>
      </c>
      <c r="P631">
        <f t="shared" si="69"/>
        <v>310</v>
      </c>
      <c r="Q631" t="e">
        <f t="shared" si="70"/>
        <v>#N/A</v>
      </c>
      <c r="U631">
        <f>C631/Navio!$J$4</f>
        <v>13.844425683828195</v>
      </c>
    </row>
    <row r="632" spans="1:21" x14ac:dyDescent="0.3">
      <c r="A632">
        <v>630</v>
      </c>
      <c r="B632" s="6">
        <v>723.92366335450788</v>
      </c>
      <c r="C632" s="46">
        <v>270.9822299940671</v>
      </c>
      <c r="D632" s="1">
        <v>9</v>
      </c>
      <c r="E632" s="1">
        <v>10</v>
      </c>
      <c r="F632" s="1">
        <v>12</v>
      </c>
      <c r="G632" s="1">
        <v>14</v>
      </c>
      <c r="H632" s="1">
        <v>7</v>
      </c>
      <c r="I632" s="1" t="s">
        <v>50</v>
      </c>
      <c r="J632" s="1" t="s">
        <v>50</v>
      </c>
      <c r="K632" s="1" t="s">
        <v>50</v>
      </c>
      <c r="L632">
        <f t="shared" si="66"/>
        <v>310</v>
      </c>
      <c r="M632">
        <f t="shared" si="65"/>
        <v>290.36739528320618</v>
      </c>
      <c r="N632">
        <f t="shared" si="67"/>
        <v>82.076561445310972</v>
      </c>
      <c r="O632">
        <f t="shared" si="68"/>
        <v>96.197414256198073</v>
      </c>
      <c r="P632">
        <f t="shared" si="69"/>
        <v>310</v>
      </c>
      <c r="Q632" t="e">
        <f t="shared" si="70"/>
        <v>#N/A</v>
      </c>
      <c r="U632">
        <f>C632/Navio!$J$4</f>
        <v>14.63188251102523</v>
      </c>
    </row>
    <row r="633" spans="1:21" x14ac:dyDescent="0.3">
      <c r="A633">
        <v>631</v>
      </c>
      <c r="B633" s="6">
        <v>837.87367577220357</v>
      </c>
      <c r="C633" s="46">
        <v>272.9251191691103</v>
      </c>
      <c r="D633" s="1">
        <v>9</v>
      </c>
      <c r="E633" s="1">
        <v>10</v>
      </c>
      <c r="F633" s="1">
        <v>15</v>
      </c>
      <c r="G633" s="1">
        <v>12</v>
      </c>
      <c r="H633" s="1">
        <v>7</v>
      </c>
      <c r="I633" s="1" t="s">
        <v>50</v>
      </c>
      <c r="J633" s="1" t="s">
        <v>50</v>
      </c>
      <c r="K633" s="1" t="s">
        <v>50</v>
      </c>
      <c r="L633">
        <f t="shared" si="66"/>
        <v>310</v>
      </c>
      <c r="M633">
        <f t="shared" si="65"/>
        <v>290.36739528320618</v>
      </c>
      <c r="N633">
        <f t="shared" si="67"/>
        <v>210.14742667389368</v>
      </c>
      <c r="O633">
        <f t="shared" si="68"/>
        <v>82.076561445310972</v>
      </c>
      <c r="P633">
        <f t="shared" si="69"/>
        <v>310</v>
      </c>
      <c r="Q633" t="e">
        <f t="shared" si="70"/>
        <v>#N/A</v>
      </c>
      <c r="U633">
        <f>C633/Navio!$J$4</f>
        <v>14.73679022450075</v>
      </c>
    </row>
    <row r="634" spans="1:21" x14ac:dyDescent="0.3">
      <c r="A634">
        <v>632</v>
      </c>
      <c r="B634" s="6">
        <v>685.38224423740144</v>
      </c>
      <c r="C634" s="46">
        <v>284.23450918355297</v>
      </c>
      <c r="D634" s="1">
        <v>9</v>
      </c>
      <c r="E634" s="1">
        <v>10</v>
      </c>
      <c r="F634" s="1">
        <v>16</v>
      </c>
      <c r="G634" s="1">
        <v>12</v>
      </c>
      <c r="H634" s="1">
        <v>7</v>
      </c>
      <c r="I634" s="1" t="s">
        <v>50</v>
      </c>
      <c r="J634" s="1" t="s">
        <v>50</v>
      </c>
      <c r="K634" s="1" t="s">
        <v>50</v>
      </c>
      <c r="L634">
        <f t="shared" si="66"/>
        <v>310</v>
      </c>
      <c r="M634">
        <f t="shared" si="65"/>
        <v>290.36739528320618</v>
      </c>
      <c r="N634">
        <f t="shared" si="67"/>
        <v>172.96798541727486</v>
      </c>
      <c r="O634">
        <f t="shared" si="68"/>
        <v>82.076561445310972</v>
      </c>
      <c r="P634">
        <f t="shared" si="69"/>
        <v>310</v>
      </c>
      <c r="Q634" t="e">
        <f t="shared" si="70"/>
        <v>#N/A</v>
      </c>
      <c r="U634">
        <f>C634/Navio!$J$4</f>
        <v>15.347448960190945</v>
      </c>
    </row>
    <row r="635" spans="1:21" x14ac:dyDescent="0.3">
      <c r="A635">
        <v>633</v>
      </c>
      <c r="B635" s="6">
        <v>882.12929498226606</v>
      </c>
      <c r="C635" s="46">
        <v>274.75863023133769</v>
      </c>
      <c r="D635" s="1">
        <v>9</v>
      </c>
      <c r="E635" s="1">
        <v>10</v>
      </c>
      <c r="F635" s="1">
        <v>13</v>
      </c>
      <c r="G635" s="1">
        <v>14</v>
      </c>
      <c r="H635" s="1">
        <v>7</v>
      </c>
      <c r="I635" s="1" t="s">
        <v>50</v>
      </c>
      <c r="J635" s="1" t="s">
        <v>50</v>
      </c>
      <c r="K635" s="1" t="s">
        <v>50</v>
      </c>
      <c r="L635">
        <f t="shared" si="66"/>
        <v>310</v>
      </c>
      <c r="M635">
        <f t="shared" si="65"/>
        <v>290.36739528320618</v>
      </c>
      <c r="N635">
        <f t="shared" si="67"/>
        <v>185.56448544286178</v>
      </c>
      <c r="O635">
        <f t="shared" si="68"/>
        <v>96.197414256198073</v>
      </c>
      <c r="P635">
        <f t="shared" si="69"/>
        <v>310</v>
      </c>
      <c r="Q635" t="e">
        <f t="shared" si="70"/>
        <v>#N/A</v>
      </c>
      <c r="U635">
        <f>C635/Navio!$J$4</f>
        <v>14.835791987257531</v>
      </c>
    </row>
    <row r="636" spans="1:21" x14ac:dyDescent="0.3">
      <c r="A636">
        <v>634</v>
      </c>
      <c r="B636" s="6">
        <v>843.58787586515962</v>
      </c>
      <c r="C636" s="46">
        <v>284.28445819892426</v>
      </c>
      <c r="D636" s="1">
        <v>9</v>
      </c>
      <c r="E636" s="1">
        <v>10</v>
      </c>
      <c r="F636" s="1">
        <v>13</v>
      </c>
      <c r="G636" s="1">
        <v>16</v>
      </c>
      <c r="H636" s="1">
        <v>7</v>
      </c>
      <c r="I636" s="1" t="s">
        <v>50</v>
      </c>
      <c r="J636" s="1" t="s">
        <v>50</v>
      </c>
      <c r="K636" s="1" t="s">
        <v>50</v>
      </c>
      <c r="L636">
        <f t="shared" si="66"/>
        <v>310</v>
      </c>
      <c r="M636">
        <f t="shared" si="65"/>
        <v>290.36739528320618</v>
      </c>
      <c r="N636">
        <f t="shared" si="67"/>
        <v>185.56448544286178</v>
      </c>
      <c r="O636">
        <f t="shared" si="68"/>
        <v>172.96798541727486</v>
      </c>
      <c r="P636">
        <f t="shared" si="69"/>
        <v>310</v>
      </c>
      <c r="Q636" t="e">
        <f t="shared" si="70"/>
        <v>#N/A</v>
      </c>
      <c r="U636">
        <f>C636/Navio!$J$4</f>
        <v>15.35014599358856</v>
      </c>
    </row>
    <row r="637" spans="1:21" x14ac:dyDescent="0.3">
      <c r="A637">
        <v>635</v>
      </c>
      <c r="B637" s="6">
        <v>754.22080467849582</v>
      </c>
      <c r="C637" s="46">
        <v>288.36854218024587</v>
      </c>
      <c r="D637" s="1">
        <v>9</v>
      </c>
      <c r="E637" s="1">
        <v>10</v>
      </c>
      <c r="F637" s="1">
        <v>16</v>
      </c>
      <c r="G637" s="1">
        <v>14</v>
      </c>
      <c r="H637" s="1">
        <v>7</v>
      </c>
      <c r="I637" s="1" t="s">
        <v>50</v>
      </c>
      <c r="J637" s="1" t="s">
        <v>50</v>
      </c>
      <c r="K637" s="1" t="s">
        <v>50</v>
      </c>
      <c r="L637">
        <f t="shared" si="66"/>
        <v>310</v>
      </c>
      <c r="M637">
        <f t="shared" si="65"/>
        <v>290.36739528320618</v>
      </c>
      <c r="N637">
        <f t="shared" si="67"/>
        <v>172.96798541727486</v>
      </c>
      <c r="O637">
        <f t="shared" si="68"/>
        <v>96.197414256198073</v>
      </c>
      <c r="P637">
        <f t="shared" si="69"/>
        <v>310</v>
      </c>
      <c r="Q637" t="e">
        <f t="shared" si="70"/>
        <v>#N/A</v>
      </c>
      <c r="U637">
        <f>C637/Navio!$J$4</f>
        <v>15.570669077265178</v>
      </c>
    </row>
    <row r="638" spans="1:21" x14ac:dyDescent="0.3">
      <c r="A638">
        <v>636</v>
      </c>
      <c r="B638" s="6">
        <v>868.17081709619151</v>
      </c>
      <c r="C638" s="46">
        <v>284.22981693798999</v>
      </c>
      <c r="D638" s="1">
        <v>9</v>
      </c>
      <c r="E638" s="1">
        <v>10</v>
      </c>
      <c r="F638" s="1">
        <v>16</v>
      </c>
      <c r="G638" s="1">
        <v>15</v>
      </c>
      <c r="H638" s="1">
        <v>7</v>
      </c>
      <c r="I638" s="1" t="s">
        <v>50</v>
      </c>
      <c r="J638" s="1" t="s">
        <v>50</v>
      </c>
      <c r="K638" s="1" t="s">
        <v>50</v>
      </c>
      <c r="L638">
        <f t="shared" si="66"/>
        <v>310</v>
      </c>
      <c r="M638">
        <f t="shared" si="65"/>
        <v>290.36739528320618</v>
      </c>
      <c r="N638">
        <f t="shared" si="67"/>
        <v>172.96798541727486</v>
      </c>
      <c r="O638">
        <f t="shared" si="68"/>
        <v>210.14742667389368</v>
      </c>
      <c r="P638">
        <f t="shared" si="69"/>
        <v>310</v>
      </c>
      <c r="Q638" t="e">
        <f t="shared" si="70"/>
        <v>#N/A</v>
      </c>
      <c r="U638">
        <f>C638/Navio!$J$4</f>
        <v>15.347195598980537</v>
      </c>
    </row>
    <row r="639" spans="1:21" x14ac:dyDescent="0.3">
      <c r="A639">
        <v>637</v>
      </c>
      <c r="B639" s="6">
        <v>801.91592243833918</v>
      </c>
      <c r="C639" s="46">
        <v>254.19890582889155</v>
      </c>
      <c r="D639" s="1">
        <v>9</v>
      </c>
      <c r="E639" s="1">
        <v>11</v>
      </c>
      <c r="F639" s="1">
        <v>13</v>
      </c>
      <c r="G639" s="1">
        <v>12</v>
      </c>
      <c r="H639" s="1">
        <v>7</v>
      </c>
      <c r="I639" s="1" t="s">
        <v>50</v>
      </c>
      <c r="J639" s="1" t="s">
        <v>50</v>
      </c>
      <c r="K639" s="1" t="s">
        <v>50</v>
      </c>
      <c r="L639">
        <f t="shared" si="66"/>
        <v>310</v>
      </c>
      <c r="M639">
        <f t="shared" si="65"/>
        <v>278.99258318037374</v>
      </c>
      <c r="N639">
        <f t="shared" si="67"/>
        <v>185.56448544286178</v>
      </c>
      <c r="O639">
        <f t="shared" si="68"/>
        <v>82.076561445310972</v>
      </c>
      <c r="P639">
        <f t="shared" si="69"/>
        <v>310</v>
      </c>
      <c r="Q639" t="e">
        <f t="shared" si="70"/>
        <v>#N/A</v>
      </c>
      <c r="U639">
        <f>C639/Navio!$J$4</f>
        <v>13.725654721348114</v>
      </c>
    </row>
    <row r="640" spans="1:21" x14ac:dyDescent="0.3">
      <c r="A640">
        <v>638</v>
      </c>
      <c r="B640" s="6">
        <v>712.5488512516755</v>
      </c>
      <c r="C640" s="46">
        <v>269.61542624869196</v>
      </c>
      <c r="D640" s="1">
        <v>9</v>
      </c>
      <c r="E640" s="1">
        <v>11</v>
      </c>
      <c r="F640" s="1">
        <v>12</v>
      </c>
      <c r="G640" s="1">
        <v>14</v>
      </c>
      <c r="H640" s="1">
        <v>7</v>
      </c>
      <c r="I640" s="1" t="s">
        <v>50</v>
      </c>
      <c r="J640" s="1" t="s">
        <v>50</v>
      </c>
      <c r="K640" s="1" t="s">
        <v>50</v>
      </c>
      <c r="L640">
        <f t="shared" si="66"/>
        <v>310</v>
      </c>
      <c r="M640">
        <f t="shared" si="65"/>
        <v>278.99258318037374</v>
      </c>
      <c r="N640">
        <f t="shared" si="67"/>
        <v>82.076561445310972</v>
      </c>
      <c r="O640">
        <f t="shared" si="68"/>
        <v>96.197414256198073</v>
      </c>
      <c r="P640">
        <f t="shared" si="69"/>
        <v>310</v>
      </c>
      <c r="Q640" t="e">
        <f t="shared" si="70"/>
        <v>#N/A</v>
      </c>
      <c r="U640">
        <f>C640/Navio!$J$4</f>
        <v>14.558080949135375</v>
      </c>
    </row>
    <row r="641" spans="1:21" x14ac:dyDescent="0.3">
      <c r="A641">
        <v>639</v>
      </c>
      <c r="B641" s="6">
        <v>826.49886366937108</v>
      </c>
      <c r="C641" s="46">
        <v>270.49608522384472</v>
      </c>
      <c r="D641" s="1">
        <v>9</v>
      </c>
      <c r="E641" s="1">
        <v>11</v>
      </c>
      <c r="F641" s="1">
        <v>15</v>
      </c>
      <c r="G641" s="1">
        <v>12</v>
      </c>
      <c r="H641" s="1">
        <v>7</v>
      </c>
      <c r="I641" s="1" t="s">
        <v>50</v>
      </c>
      <c r="J641" s="1" t="s">
        <v>50</v>
      </c>
      <c r="K641" s="1" t="s">
        <v>50</v>
      </c>
      <c r="L641">
        <f t="shared" si="66"/>
        <v>310</v>
      </c>
      <c r="M641">
        <f t="shared" si="65"/>
        <v>278.99258318037374</v>
      </c>
      <c r="N641">
        <f t="shared" si="67"/>
        <v>210.14742667389368</v>
      </c>
      <c r="O641">
        <f t="shared" si="68"/>
        <v>82.076561445310972</v>
      </c>
      <c r="P641">
        <f t="shared" si="69"/>
        <v>310</v>
      </c>
      <c r="Q641" t="e">
        <f t="shared" si="70"/>
        <v>#N/A</v>
      </c>
      <c r="U641">
        <f>C641/Navio!$J$4</f>
        <v>14.605632770732669</v>
      </c>
    </row>
    <row r="642" spans="1:21" x14ac:dyDescent="0.3">
      <c r="A642">
        <v>640</v>
      </c>
      <c r="B642" s="6">
        <v>674.00743213456906</v>
      </c>
      <c r="C642" s="46">
        <v>281.8784593678281</v>
      </c>
      <c r="D642" s="1">
        <v>9</v>
      </c>
      <c r="E642" s="1">
        <v>11</v>
      </c>
      <c r="F642" s="1">
        <v>16</v>
      </c>
      <c r="G642" s="1">
        <v>12</v>
      </c>
      <c r="H642" s="1">
        <v>7</v>
      </c>
      <c r="I642" s="1" t="s">
        <v>50</v>
      </c>
      <c r="J642" s="1" t="s">
        <v>50</v>
      </c>
      <c r="K642" s="1" t="s">
        <v>50</v>
      </c>
      <c r="L642">
        <f t="shared" si="66"/>
        <v>310</v>
      </c>
      <c r="M642">
        <f t="shared" si="65"/>
        <v>278.99258318037374</v>
      </c>
      <c r="N642">
        <f t="shared" si="67"/>
        <v>172.96798541727486</v>
      </c>
      <c r="O642">
        <f t="shared" si="68"/>
        <v>82.076561445310972</v>
      </c>
      <c r="P642">
        <f t="shared" si="69"/>
        <v>310</v>
      </c>
      <c r="Q642" t="e">
        <f t="shared" si="70"/>
        <v>#N/A</v>
      </c>
      <c r="U642">
        <f>C642/Navio!$J$4</f>
        <v>15.220232337556451</v>
      </c>
    </row>
    <row r="643" spans="1:21" x14ac:dyDescent="0.3">
      <c r="A643">
        <v>641</v>
      </c>
      <c r="B643" s="6">
        <v>870.75448287943357</v>
      </c>
      <c r="C643" s="46">
        <v>272.55899390654207</v>
      </c>
      <c r="D643" s="1">
        <v>9</v>
      </c>
      <c r="E643" s="1">
        <v>11</v>
      </c>
      <c r="F643" s="1">
        <v>13</v>
      </c>
      <c r="G643" s="1">
        <v>14</v>
      </c>
      <c r="H643" s="1">
        <v>7</v>
      </c>
      <c r="I643" s="1" t="s">
        <v>50</v>
      </c>
      <c r="J643" s="1" t="s">
        <v>50</v>
      </c>
      <c r="K643" s="1" t="s">
        <v>50</v>
      </c>
      <c r="L643">
        <f t="shared" si="66"/>
        <v>310</v>
      </c>
      <c r="M643">
        <f t="shared" ref="M643:M706" si="71">VLOOKUP(E643,$Y$2:$Z$80,2)</f>
        <v>278.99258318037374</v>
      </c>
      <c r="N643">
        <f t="shared" si="67"/>
        <v>185.56448544286178</v>
      </c>
      <c r="O643">
        <f t="shared" si="68"/>
        <v>96.197414256198073</v>
      </c>
      <c r="P643">
        <f t="shared" si="69"/>
        <v>310</v>
      </c>
      <c r="Q643" t="e">
        <f t="shared" si="70"/>
        <v>#N/A</v>
      </c>
      <c r="U643">
        <f>C643/Navio!$J$4</f>
        <v>14.717021024777454</v>
      </c>
    </row>
    <row r="644" spans="1:21" x14ac:dyDescent="0.3">
      <c r="A644">
        <v>642</v>
      </c>
      <c r="B644" s="6">
        <v>832.21306376232712</v>
      </c>
      <c r="C644" s="46">
        <v>282.08482187412858</v>
      </c>
      <c r="D644" s="1">
        <v>9</v>
      </c>
      <c r="E644" s="1">
        <v>11</v>
      </c>
      <c r="F644" s="1">
        <v>13</v>
      </c>
      <c r="G644" s="1">
        <v>16</v>
      </c>
      <c r="H644" s="1">
        <v>7</v>
      </c>
      <c r="I644" s="1" t="s">
        <v>50</v>
      </c>
      <c r="J644" s="1" t="s">
        <v>50</v>
      </c>
      <c r="K644" s="1" t="s">
        <v>50</v>
      </c>
      <c r="L644">
        <f t="shared" si="66"/>
        <v>310</v>
      </c>
      <c r="M644">
        <f t="shared" si="71"/>
        <v>278.99258318037374</v>
      </c>
      <c r="N644">
        <f t="shared" si="67"/>
        <v>185.56448544286178</v>
      </c>
      <c r="O644">
        <f t="shared" si="68"/>
        <v>172.96798541727486</v>
      </c>
      <c r="P644">
        <f t="shared" si="69"/>
        <v>310</v>
      </c>
      <c r="Q644" t="e">
        <f t="shared" si="70"/>
        <v>#N/A</v>
      </c>
      <c r="U644">
        <f>C644/Navio!$J$4</f>
        <v>15.231375031108481</v>
      </c>
    </row>
    <row r="645" spans="1:21" x14ac:dyDescent="0.3">
      <c r="A645">
        <v>643</v>
      </c>
      <c r="B645" s="6">
        <v>895.33742411046546</v>
      </c>
      <c r="C645" s="46">
        <v>276.49965290201487</v>
      </c>
      <c r="D645" s="1">
        <v>9</v>
      </c>
      <c r="E645" s="1">
        <v>11</v>
      </c>
      <c r="F645" s="1">
        <v>15</v>
      </c>
      <c r="G645" s="1">
        <v>14</v>
      </c>
      <c r="H645" s="1">
        <v>7</v>
      </c>
      <c r="I645" s="1" t="s">
        <v>50</v>
      </c>
      <c r="J645" s="1" t="s">
        <v>50</v>
      </c>
      <c r="K645" s="1" t="s">
        <v>50</v>
      </c>
      <c r="L645">
        <f t="shared" si="66"/>
        <v>310</v>
      </c>
      <c r="M645">
        <f t="shared" si="71"/>
        <v>278.99258318037374</v>
      </c>
      <c r="N645">
        <f t="shared" si="67"/>
        <v>210.14742667389368</v>
      </c>
      <c r="O645">
        <f t="shared" si="68"/>
        <v>96.197414256198073</v>
      </c>
      <c r="P645">
        <f t="shared" si="69"/>
        <v>310</v>
      </c>
      <c r="Q645" t="e">
        <f t="shared" si="70"/>
        <v>#N/A</v>
      </c>
      <c r="U645">
        <f>C645/Navio!$J$4</f>
        <v>14.929799772074039</v>
      </c>
    </row>
    <row r="646" spans="1:21" x14ac:dyDescent="0.3">
      <c r="A646">
        <v>644</v>
      </c>
      <c r="B646" s="6">
        <v>742.84599257566344</v>
      </c>
      <c r="C646" s="46">
        <v>286.01249236452099</v>
      </c>
      <c r="D646" s="1">
        <v>9</v>
      </c>
      <c r="E646" s="1">
        <v>11</v>
      </c>
      <c r="F646" s="1">
        <v>16</v>
      </c>
      <c r="G646" s="1">
        <v>14</v>
      </c>
      <c r="H646" s="1">
        <v>7</v>
      </c>
      <c r="I646" s="1" t="s">
        <v>50</v>
      </c>
      <c r="J646" s="1" t="s">
        <v>50</v>
      </c>
      <c r="K646" s="1" t="s">
        <v>50</v>
      </c>
      <c r="L646">
        <f t="shared" si="66"/>
        <v>310</v>
      </c>
      <c r="M646">
        <f t="shared" si="71"/>
        <v>278.99258318037374</v>
      </c>
      <c r="N646">
        <f t="shared" si="67"/>
        <v>172.96798541727486</v>
      </c>
      <c r="O646">
        <f t="shared" si="68"/>
        <v>96.197414256198073</v>
      </c>
      <c r="P646">
        <f t="shared" si="69"/>
        <v>310</v>
      </c>
      <c r="Q646" t="e">
        <f t="shared" si="70"/>
        <v>#N/A</v>
      </c>
      <c r="U646">
        <f>C646/Navio!$J$4</f>
        <v>15.443452454630684</v>
      </c>
    </row>
    <row r="647" spans="1:21" x14ac:dyDescent="0.3">
      <c r="A647">
        <v>645</v>
      </c>
      <c r="B647" s="6">
        <v>856.79600499335902</v>
      </c>
      <c r="C647" s="46">
        <v>281.87376712226512</v>
      </c>
      <c r="D647" s="1">
        <v>9</v>
      </c>
      <c r="E647" s="1">
        <v>11</v>
      </c>
      <c r="F647" s="1">
        <v>16</v>
      </c>
      <c r="G647" s="1">
        <v>15</v>
      </c>
      <c r="H647" s="1">
        <v>7</v>
      </c>
      <c r="I647" s="1" t="s">
        <v>50</v>
      </c>
      <c r="J647" s="1" t="s">
        <v>50</v>
      </c>
      <c r="K647" s="1" t="s">
        <v>50</v>
      </c>
      <c r="L647">
        <f t="shared" si="66"/>
        <v>310</v>
      </c>
      <c r="M647">
        <f t="shared" si="71"/>
        <v>278.99258318037374</v>
      </c>
      <c r="N647">
        <f t="shared" si="67"/>
        <v>172.96798541727486</v>
      </c>
      <c r="O647">
        <f t="shared" si="68"/>
        <v>210.14742667389368</v>
      </c>
      <c r="P647">
        <f t="shared" si="69"/>
        <v>310</v>
      </c>
      <c r="Q647" t="e">
        <f t="shared" si="70"/>
        <v>#N/A</v>
      </c>
      <c r="U647">
        <f>C647/Navio!$J$4</f>
        <v>15.219978976346043</v>
      </c>
    </row>
    <row r="648" spans="1:21" x14ac:dyDescent="0.3">
      <c r="A648">
        <v>646</v>
      </c>
      <c r="B648" s="6">
        <v>619.12075351416354</v>
      </c>
      <c r="C648" s="46">
        <v>274.89194353892913</v>
      </c>
      <c r="D648" s="1">
        <v>9</v>
      </c>
      <c r="E648" s="1">
        <v>13</v>
      </c>
      <c r="F648" s="1">
        <v>14</v>
      </c>
      <c r="G648" s="1">
        <v>12</v>
      </c>
      <c r="H648" s="1">
        <v>7</v>
      </c>
      <c r="I648" s="1" t="s">
        <v>50</v>
      </c>
      <c r="J648" s="1" t="s">
        <v>50</v>
      </c>
      <c r="K648" s="1" t="s">
        <v>50</v>
      </c>
      <c r="L648">
        <f t="shared" si="66"/>
        <v>310</v>
      </c>
      <c r="M648">
        <f t="shared" si="71"/>
        <v>185.56448544286178</v>
      </c>
      <c r="N648">
        <f t="shared" si="67"/>
        <v>96.197414256198073</v>
      </c>
      <c r="O648">
        <f t="shared" si="68"/>
        <v>82.076561445310972</v>
      </c>
      <c r="P648">
        <f t="shared" si="69"/>
        <v>310</v>
      </c>
      <c r="Q648" t="e">
        <f t="shared" si="70"/>
        <v>#N/A</v>
      </c>
      <c r="U648">
        <f>C648/Navio!$J$4</f>
        <v>14.842990336218925</v>
      </c>
    </row>
    <row r="649" spans="1:21" x14ac:dyDescent="0.3">
      <c r="A649">
        <v>647</v>
      </c>
      <c r="B649" s="6">
        <v>733.07076593185911</v>
      </c>
      <c r="C649" s="46">
        <v>271.1349399541914</v>
      </c>
      <c r="D649" s="1">
        <v>9</v>
      </c>
      <c r="E649" s="1">
        <v>13</v>
      </c>
      <c r="F649" s="1">
        <v>15</v>
      </c>
      <c r="G649" s="1">
        <v>12</v>
      </c>
      <c r="H649" s="1">
        <v>7</v>
      </c>
      <c r="I649" s="1" t="s">
        <v>50</v>
      </c>
      <c r="J649" s="1" t="s">
        <v>50</v>
      </c>
      <c r="K649" s="1" t="s">
        <v>50</v>
      </c>
      <c r="L649">
        <f t="shared" si="66"/>
        <v>310</v>
      </c>
      <c r="M649">
        <f t="shared" si="71"/>
        <v>185.56448544286178</v>
      </c>
      <c r="N649">
        <f t="shared" si="67"/>
        <v>210.14742667389368</v>
      </c>
      <c r="O649">
        <f t="shared" si="68"/>
        <v>82.076561445310972</v>
      </c>
      <c r="P649">
        <f t="shared" si="69"/>
        <v>310</v>
      </c>
      <c r="Q649" t="e">
        <f t="shared" si="70"/>
        <v>#N/A</v>
      </c>
      <c r="U649">
        <f>C649/Navio!$J$4</f>
        <v>14.640128196341388</v>
      </c>
    </row>
    <row r="650" spans="1:21" x14ac:dyDescent="0.3">
      <c r="A650">
        <v>648</v>
      </c>
      <c r="B650" s="6">
        <v>580.5793343970571</v>
      </c>
      <c r="C650" s="46">
        <v>281.95811198847605</v>
      </c>
      <c r="D650" s="1">
        <v>9</v>
      </c>
      <c r="E650" s="1">
        <v>13</v>
      </c>
      <c r="F650" s="1">
        <v>16</v>
      </c>
      <c r="G650" s="1">
        <v>12</v>
      </c>
      <c r="H650" s="1">
        <v>7</v>
      </c>
      <c r="I650" s="1" t="s">
        <v>50</v>
      </c>
      <c r="J650" s="1" t="s">
        <v>50</v>
      </c>
      <c r="K650" s="1" t="s">
        <v>50</v>
      </c>
      <c r="L650">
        <f t="shared" si="66"/>
        <v>310</v>
      </c>
      <c r="M650">
        <f t="shared" si="71"/>
        <v>185.56448544286178</v>
      </c>
      <c r="N650">
        <f t="shared" si="67"/>
        <v>172.96798541727486</v>
      </c>
      <c r="O650">
        <f t="shared" si="68"/>
        <v>82.076561445310972</v>
      </c>
      <c r="P650">
        <f t="shared" si="69"/>
        <v>310</v>
      </c>
      <c r="Q650" t="e">
        <f t="shared" si="70"/>
        <v>#N/A</v>
      </c>
      <c r="U650">
        <f>C650/Navio!$J$4</f>
        <v>15.224533238715328</v>
      </c>
    </row>
    <row r="651" spans="1:21" x14ac:dyDescent="0.3">
      <c r="A651">
        <v>649</v>
      </c>
      <c r="B651" s="6">
        <v>827.31901703430822</v>
      </c>
      <c r="C651" s="46">
        <v>280.29041322118098</v>
      </c>
      <c r="D651" s="1">
        <v>9</v>
      </c>
      <c r="E651" s="1">
        <v>13</v>
      </c>
      <c r="F651" s="1">
        <v>17</v>
      </c>
      <c r="G651" s="1">
        <v>12</v>
      </c>
      <c r="H651" s="1">
        <v>7</v>
      </c>
      <c r="I651" s="1" t="s">
        <v>50</v>
      </c>
      <c r="J651" s="1" t="s">
        <v>50</v>
      </c>
      <c r="K651" s="1" t="s">
        <v>50</v>
      </c>
      <c r="L651">
        <f t="shared" si="66"/>
        <v>310</v>
      </c>
      <c r="M651">
        <f t="shared" si="71"/>
        <v>185.56448544286178</v>
      </c>
      <c r="N651">
        <f t="shared" si="67"/>
        <v>304.39567777634272</v>
      </c>
      <c r="O651">
        <f t="shared" si="68"/>
        <v>82.076561445310972</v>
      </c>
      <c r="P651">
        <f t="shared" si="69"/>
        <v>310</v>
      </c>
      <c r="Q651" t="e">
        <f t="shared" si="70"/>
        <v>#N/A</v>
      </c>
      <c r="U651">
        <f>C651/Navio!$J$4</f>
        <v>15.134484631367984</v>
      </c>
    </row>
    <row r="652" spans="1:21" x14ac:dyDescent="0.3">
      <c r="A652">
        <v>650</v>
      </c>
      <c r="B652" s="6">
        <v>643.70369474519543</v>
      </c>
      <c r="C652" s="46">
        <v>277.08037324889938</v>
      </c>
      <c r="D652" s="1">
        <v>9</v>
      </c>
      <c r="E652" s="1">
        <v>12</v>
      </c>
      <c r="F652" s="1">
        <v>15</v>
      </c>
      <c r="G652" s="1">
        <v>14</v>
      </c>
      <c r="H652" s="1">
        <v>7</v>
      </c>
      <c r="I652" s="1" t="s">
        <v>50</v>
      </c>
      <c r="J652" s="1" t="s">
        <v>50</v>
      </c>
      <c r="K652" s="1" t="s">
        <v>50</v>
      </c>
      <c r="L652">
        <f t="shared" si="66"/>
        <v>310</v>
      </c>
      <c r="M652">
        <f t="shared" si="71"/>
        <v>82.076561445310972</v>
      </c>
      <c r="N652">
        <f t="shared" si="67"/>
        <v>210.14742667389368</v>
      </c>
      <c r="O652">
        <f t="shared" si="68"/>
        <v>96.197414256198073</v>
      </c>
      <c r="P652">
        <f t="shared" si="69"/>
        <v>310</v>
      </c>
      <c r="Q652" t="e">
        <f t="shared" si="70"/>
        <v>#N/A</v>
      </c>
      <c r="U652">
        <f>C652/Navio!$J$4</f>
        <v>14.961156189384363</v>
      </c>
    </row>
    <row r="653" spans="1:21" x14ac:dyDescent="0.3">
      <c r="A653">
        <v>651</v>
      </c>
      <c r="B653" s="6">
        <v>491.21226321039336</v>
      </c>
      <c r="C653" s="46">
        <v>287.5590876762131</v>
      </c>
      <c r="D653" s="1">
        <v>9</v>
      </c>
      <c r="E653" s="1">
        <v>12</v>
      </c>
      <c r="F653" s="1">
        <v>16</v>
      </c>
      <c r="G653" s="1">
        <v>14</v>
      </c>
      <c r="H653" s="1">
        <v>7</v>
      </c>
      <c r="I653" s="1" t="s">
        <v>50</v>
      </c>
      <c r="J653" s="1" t="s">
        <v>50</v>
      </c>
      <c r="K653" s="1" t="s">
        <v>50</v>
      </c>
      <c r="L653">
        <f t="shared" ref="L653:L716" si="72">VLOOKUP(D653,$Y$2:$Z$80,2)</f>
        <v>310</v>
      </c>
      <c r="M653">
        <f t="shared" si="71"/>
        <v>82.076561445310972</v>
      </c>
      <c r="N653">
        <f t="shared" ref="N653:N716" si="73">VLOOKUP(F653,$Y$2:$Z$80,2)</f>
        <v>172.96798541727486</v>
      </c>
      <c r="O653">
        <f t="shared" ref="O653:O716" si="74">VLOOKUP(G653,$Y$2:$Z$80,2)</f>
        <v>96.197414256198073</v>
      </c>
      <c r="P653">
        <f t="shared" ref="P653:P716" si="75">VLOOKUP(H653,$Y$2:$Z$80,2)</f>
        <v>310</v>
      </c>
      <c r="Q653" t="e">
        <f t="shared" ref="Q653:Q716" si="76">VLOOKUP(I653,$Y$2:$Z$80,2)</f>
        <v>#N/A</v>
      </c>
      <c r="U653">
        <f>C653/Navio!$J$4</f>
        <v>15.526961992851239</v>
      </c>
    </row>
    <row r="654" spans="1:21" x14ac:dyDescent="0.3">
      <c r="A654">
        <v>652</v>
      </c>
      <c r="B654" s="6">
        <v>737.95194584764442</v>
      </c>
      <c r="C654" s="46">
        <v>291.10618544733768</v>
      </c>
      <c r="D654" s="1">
        <v>9</v>
      </c>
      <c r="E654" s="1">
        <v>17</v>
      </c>
      <c r="F654" s="1">
        <v>14</v>
      </c>
      <c r="G654" s="1">
        <v>12</v>
      </c>
      <c r="H654" s="1">
        <v>7</v>
      </c>
      <c r="I654" s="1" t="s">
        <v>50</v>
      </c>
      <c r="J654" s="1" t="s">
        <v>50</v>
      </c>
      <c r="K654" s="1" t="s">
        <v>50</v>
      </c>
      <c r="L654">
        <f t="shared" si="72"/>
        <v>310</v>
      </c>
      <c r="M654">
        <f t="shared" si="71"/>
        <v>304.39567777634272</v>
      </c>
      <c r="N654">
        <f t="shared" si="73"/>
        <v>96.197414256198073</v>
      </c>
      <c r="O654">
        <f t="shared" si="74"/>
        <v>82.076561445310972</v>
      </c>
      <c r="P654">
        <f t="shared" si="75"/>
        <v>310</v>
      </c>
      <c r="Q654" t="e">
        <f t="shared" si="76"/>
        <v>#N/A</v>
      </c>
      <c r="U654">
        <f>C654/Navio!$J$4</f>
        <v>15.718490115722435</v>
      </c>
    </row>
    <row r="655" spans="1:21" x14ac:dyDescent="0.3">
      <c r="A655">
        <v>653</v>
      </c>
      <c r="B655" s="6">
        <v>605.16227562808899</v>
      </c>
      <c r="C655" s="46">
        <v>281.19374622038617</v>
      </c>
      <c r="D655" s="1">
        <v>9</v>
      </c>
      <c r="E655" s="1">
        <v>16</v>
      </c>
      <c r="F655" s="1">
        <v>15</v>
      </c>
      <c r="G655" s="1">
        <v>12</v>
      </c>
      <c r="H655" s="1">
        <v>7</v>
      </c>
      <c r="I655" s="1" t="s">
        <v>50</v>
      </c>
      <c r="J655" s="1" t="s">
        <v>50</v>
      </c>
      <c r="K655" s="1" t="s">
        <v>50</v>
      </c>
      <c r="L655">
        <f t="shared" si="72"/>
        <v>310</v>
      </c>
      <c r="M655">
        <f t="shared" si="71"/>
        <v>172.96798541727486</v>
      </c>
      <c r="N655">
        <f t="shared" si="73"/>
        <v>210.14742667389368</v>
      </c>
      <c r="O655">
        <f t="shared" si="74"/>
        <v>82.076561445310972</v>
      </c>
      <c r="P655">
        <f t="shared" si="75"/>
        <v>310</v>
      </c>
      <c r="Q655" t="e">
        <f t="shared" si="76"/>
        <v>#N/A</v>
      </c>
      <c r="U655">
        <f>C655/Navio!$J$4</f>
        <v>15.183260753377873</v>
      </c>
    </row>
    <row r="656" spans="1:21" x14ac:dyDescent="0.3">
      <c r="A656">
        <v>654</v>
      </c>
      <c r="B656" s="6">
        <v>851.90195826534</v>
      </c>
      <c r="C656" s="46">
        <v>282.67323464163138</v>
      </c>
      <c r="D656" s="1">
        <v>9</v>
      </c>
      <c r="E656" s="1">
        <v>17</v>
      </c>
      <c r="F656" s="1">
        <v>15</v>
      </c>
      <c r="G656" s="1">
        <v>12</v>
      </c>
      <c r="H656" s="1">
        <v>7</v>
      </c>
      <c r="I656" s="1" t="s">
        <v>50</v>
      </c>
      <c r="J656" s="1" t="s">
        <v>50</v>
      </c>
      <c r="K656" s="1" t="s">
        <v>50</v>
      </c>
      <c r="L656">
        <f t="shared" si="72"/>
        <v>310</v>
      </c>
      <c r="M656">
        <f t="shared" si="71"/>
        <v>304.39567777634272</v>
      </c>
      <c r="N656">
        <f t="shared" si="73"/>
        <v>210.14742667389368</v>
      </c>
      <c r="O656">
        <f t="shared" si="74"/>
        <v>82.076561445310972</v>
      </c>
      <c r="P656">
        <f t="shared" si="75"/>
        <v>310</v>
      </c>
      <c r="Q656" t="e">
        <f t="shared" si="76"/>
        <v>#N/A</v>
      </c>
      <c r="U656">
        <f>C656/Navio!$J$4</f>
        <v>15.263146806262434</v>
      </c>
    </row>
    <row r="657" spans="1:21" x14ac:dyDescent="0.3">
      <c r="A657">
        <v>655</v>
      </c>
      <c r="B657" s="6">
        <v>699.41052673053798</v>
      </c>
      <c r="C657" s="46">
        <v>286.59739809464054</v>
      </c>
      <c r="D657" s="1">
        <v>9</v>
      </c>
      <c r="E657" s="1">
        <v>17</v>
      </c>
      <c r="F657" s="1">
        <v>16</v>
      </c>
      <c r="G657" s="1">
        <v>12</v>
      </c>
      <c r="H657" s="1">
        <v>7</v>
      </c>
      <c r="I657" s="1" t="s">
        <v>50</v>
      </c>
      <c r="J657" s="1" t="s">
        <v>50</v>
      </c>
      <c r="K657" s="1" t="s">
        <v>50</v>
      </c>
      <c r="L657">
        <f t="shared" si="72"/>
        <v>310</v>
      </c>
      <c r="M657">
        <f t="shared" si="71"/>
        <v>304.39567777634272</v>
      </c>
      <c r="N657">
        <f t="shared" si="73"/>
        <v>172.96798541727486</v>
      </c>
      <c r="O657">
        <f t="shared" si="74"/>
        <v>82.076561445310972</v>
      </c>
      <c r="P657">
        <f t="shared" si="75"/>
        <v>310</v>
      </c>
      <c r="Q657" t="e">
        <f t="shared" si="76"/>
        <v>#N/A</v>
      </c>
      <c r="U657">
        <f>C657/Navio!$J$4</f>
        <v>15.475034864751532</v>
      </c>
    </row>
    <row r="658" spans="1:21" x14ac:dyDescent="0.3">
      <c r="A658">
        <v>656</v>
      </c>
      <c r="B658" s="6">
        <v>801.9093263729535</v>
      </c>
      <c r="C658" s="46">
        <v>277.13850763236155</v>
      </c>
      <c r="D658" s="1">
        <v>9</v>
      </c>
      <c r="E658" s="1">
        <v>13</v>
      </c>
      <c r="F658" s="1">
        <v>15</v>
      </c>
      <c r="G658" s="1">
        <v>14</v>
      </c>
      <c r="H658" s="1">
        <v>7</v>
      </c>
      <c r="I658" s="1" t="s">
        <v>50</v>
      </c>
      <c r="J658" s="1" t="s">
        <v>50</v>
      </c>
      <c r="K658" s="1" t="s">
        <v>50</v>
      </c>
      <c r="L658">
        <f t="shared" si="72"/>
        <v>310</v>
      </c>
      <c r="M658">
        <f t="shared" si="71"/>
        <v>185.56448544286178</v>
      </c>
      <c r="N658">
        <f t="shared" si="73"/>
        <v>210.14742667389368</v>
      </c>
      <c r="O658">
        <f t="shared" si="74"/>
        <v>96.197414256198073</v>
      </c>
      <c r="P658">
        <f t="shared" si="75"/>
        <v>310</v>
      </c>
      <c r="Q658" t="e">
        <f t="shared" si="76"/>
        <v>#N/A</v>
      </c>
      <c r="U658">
        <f>C658/Navio!$J$4</f>
        <v>14.964295197682759</v>
      </c>
    </row>
    <row r="659" spans="1:21" x14ac:dyDescent="0.3">
      <c r="A659">
        <v>657</v>
      </c>
      <c r="B659" s="6">
        <v>649.41789483815148</v>
      </c>
      <c r="C659" s="46">
        <v>286.09214498516894</v>
      </c>
      <c r="D659" s="1">
        <v>9</v>
      </c>
      <c r="E659" s="1">
        <v>13</v>
      </c>
      <c r="F659" s="1">
        <v>16</v>
      </c>
      <c r="G659" s="1">
        <v>14</v>
      </c>
      <c r="H659" s="1">
        <v>7</v>
      </c>
      <c r="I659" s="1" t="s">
        <v>50</v>
      </c>
      <c r="J659" s="1" t="s">
        <v>50</v>
      </c>
      <c r="K659" s="1" t="s">
        <v>50</v>
      </c>
      <c r="L659">
        <f t="shared" si="72"/>
        <v>310</v>
      </c>
      <c r="M659">
        <f t="shared" si="71"/>
        <v>185.56448544286178</v>
      </c>
      <c r="N659">
        <f t="shared" si="73"/>
        <v>172.96798541727486</v>
      </c>
      <c r="O659">
        <f t="shared" si="74"/>
        <v>96.197414256198073</v>
      </c>
      <c r="P659">
        <f t="shared" si="75"/>
        <v>310</v>
      </c>
      <c r="Q659" t="e">
        <f t="shared" si="76"/>
        <v>#N/A</v>
      </c>
      <c r="U659">
        <f>C659/Navio!$J$4</f>
        <v>15.447753355789558</v>
      </c>
    </row>
    <row r="660" spans="1:21" x14ac:dyDescent="0.3">
      <c r="A660">
        <v>658</v>
      </c>
      <c r="B660" s="6">
        <v>896.1575774754026</v>
      </c>
      <c r="C660" s="46">
        <v>288.65119651765679</v>
      </c>
      <c r="D660" s="1">
        <v>9</v>
      </c>
      <c r="E660" s="1">
        <v>13</v>
      </c>
      <c r="F660" s="1">
        <v>17</v>
      </c>
      <c r="G660" s="1">
        <v>14</v>
      </c>
      <c r="H660" s="1">
        <v>7</v>
      </c>
      <c r="I660" s="1" t="s">
        <v>50</v>
      </c>
      <c r="J660" s="1" t="s">
        <v>50</v>
      </c>
      <c r="K660" s="1" t="s">
        <v>50</v>
      </c>
      <c r="L660">
        <f t="shared" si="72"/>
        <v>310</v>
      </c>
      <c r="M660">
        <f t="shared" si="71"/>
        <v>185.56448544286178</v>
      </c>
      <c r="N660">
        <f t="shared" si="73"/>
        <v>304.39567777634272</v>
      </c>
      <c r="O660">
        <f t="shared" si="74"/>
        <v>96.197414256198073</v>
      </c>
      <c r="P660">
        <f t="shared" si="75"/>
        <v>310</v>
      </c>
      <c r="Q660" t="e">
        <f t="shared" si="76"/>
        <v>#N/A</v>
      </c>
      <c r="U660">
        <f>C660/Navio!$J$4</f>
        <v>15.58593120370173</v>
      </c>
    </row>
    <row r="661" spans="1:21" x14ac:dyDescent="0.3">
      <c r="A661">
        <v>659</v>
      </c>
      <c r="B661" s="6">
        <v>763.36790725584706</v>
      </c>
      <c r="C661" s="46">
        <v>281.95341974291307</v>
      </c>
      <c r="D661" s="1">
        <v>9</v>
      </c>
      <c r="E661" s="1">
        <v>13</v>
      </c>
      <c r="F661" s="1">
        <v>16</v>
      </c>
      <c r="G661" s="1">
        <v>15</v>
      </c>
      <c r="H661" s="1">
        <v>7</v>
      </c>
      <c r="I661" s="1" t="s">
        <v>50</v>
      </c>
      <c r="J661" s="1" t="s">
        <v>50</v>
      </c>
      <c r="K661" s="1" t="s">
        <v>50</v>
      </c>
      <c r="L661">
        <f t="shared" si="72"/>
        <v>310</v>
      </c>
      <c r="M661">
        <f t="shared" si="71"/>
        <v>185.56448544286178</v>
      </c>
      <c r="N661">
        <f t="shared" si="73"/>
        <v>172.96798541727486</v>
      </c>
      <c r="O661">
        <f t="shared" si="74"/>
        <v>210.14742667389368</v>
      </c>
      <c r="P661">
        <f t="shared" si="75"/>
        <v>310</v>
      </c>
      <c r="Q661" t="e">
        <f t="shared" si="76"/>
        <v>#N/A</v>
      </c>
      <c r="U661">
        <f>C661/Navio!$J$4</f>
        <v>15.22427987750492</v>
      </c>
    </row>
    <row r="662" spans="1:21" x14ac:dyDescent="0.3">
      <c r="A662">
        <v>660</v>
      </c>
      <c r="B662" s="6">
        <v>857.61615835829616</v>
      </c>
      <c r="C662" s="46">
        <v>286.60206868299929</v>
      </c>
      <c r="D662" s="1">
        <v>9</v>
      </c>
      <c r="E662" s="1">
        <v>13</v>
      </c>
      <c r="F662" s="1">
        <v>17</v>
      </c>
      <c r="G662" s="1">
        <v>16</v>
      </c>
      <c r="H662" s="1">
        <v>7</v>
      </c>
      <c r="I662" s="1" t="s">
        <v>50</v>
      </c>
      <c r="J662" s="1" t="s">
        <v>50</v>
      </c>
      <c r="K662" s="1" t="s">
        <v>50</v>
      </c>
      <c r="L662">
        <f t="shared" si="72"/>
        <v>310</v>
      </c>
      <c r="M662">
        <f t="shared" si="71"/>
        <v>185.56448544286178</v>
      </c>
      <c r="N662">
        <f t="shared" si="73"/>
        <v>304.39567777634272</v>
      </c>
      <c r="O662">
        <f t="shared" si="74"/>
        <v>172.96798541727486</v>
      </c>
      <c r="P662">
        <f t="shared" si="75"/>
        <v>310</v>
      </c>
      <c r="Q662" t="e">
        <f t="shared" si="76"/>
        <v>#N/A</v>
      </c>
      <c r="U662">
        <f>C662/Navio!$J$4</f>
        <v>15.475287056565453</v>
      </c>
    </row>
    <row r="663" spans="1:21" x14ac:dyDescent="0.3">
      <c r="A663">
        <v>661</v>
      </c>
      <c r="B663" s="6">
        <v>674.00083606918338</v>
      </c>
      <c r="C663" s="46">
        <v>285.81619834470553</v>
      </c>
      <c r="D663" s="1">
        <v>9</v>
      </c>
      <c r="E663" s="1">
        <v>15</v>
      </c>
      <c r="F663" s="1">
        <v>16</v>
      </c>
      <c r="G663" s="1">
        <v>14</v>
      </c>
      <c r="H663" s="1">
        <v>7</v>
      </c>
      <c r="I663" s="1" t="s">
        <v>50</v>
      </c>
      <c r="J663" s="1" t="s">
        <v>50</v>
      </c>
      <c r="K663" s="1" t="s">
        <v>50</v>
      </c>
      <c r="L663">
        <f t="shared" si="72"/>
        <v>310</v>
      </c>
      <c r="M663">
        <f t="shared" si="71"/>
        <v>210.14742667389368</v>
      </c>
      <c r="N663">
        <f t="shared" si="73"/>
        <v>172.96798541727486</v>
      </c>
      <c r="O663">
        <f t="shared" si="74"/>
        <v>96.197414256198073</v>
      </c>
      <c r="P663">
        <f t="shared" si="75"/>
        <v>310</v>
      </c>
      <c r="Q663" t="e">
        <f t="shared" si="76"/>
        <v>#N/A</v>
      </c>
      <c r="U663">
        <f>C663/Navio!$J$4</f>
        <v>15.432853416326143</v>
      </c>
    </row>
    <row r="664" spans="1:21" x14ac:dyDescent="0.3">
      <c r="A664">
        <v>662</v>
      </c>
      <c r="B664" s="6">
        <v>768.24908717163237</v>
      </c>
      <c r="C664" s="46">
        <v>290.73143109133343</v>
      </c>
      <c r="D664" s="1">
        <v>9</v>
      </c>
      <c r="E664" s="1">
        <v>17</v>
      </c>
      <c r="F664" s="1">
        <v>16</v>
      </c>
      <c r="G664" s="1">
        <v>14</v>
      </c>
      <c r="H664" s="1">
        <v>7</v>
      </c>
      <c r="I664" s="1" t="s">
        <v>50</v>
      </c>
      <c r="J664" s="1" t="s">
        <v>50</v>
      </c>
      <c r="K664" s="1" t="s">
        <v>50</v>
      </c>
      <c r="L664">
        <f t="shared" si="72"/>
        <v>310</v>
      </c>
      <c r="M664">
        <f t="shared" si="71"/>
        <v>304.39567777634272</v>
      </c>
      <c r="N664">
        <f t="shared" si="73"/>
        <v>172.96798541727486</v>
      </c>
      <c r="O664">
        <f t="shared" si="74"/>
        <v>96.197414256198073</v>
      </c>
      <c r="P664">
        <f t="shared" si="75"/>
        <v>310</v>
      </c>
      <c r="Q664" t="e">
        <f t="shared" si="76"/>
        <v>#N/A</v>
      </c>
      <c r="U664">
        <f>C664/Navio!$J$4</f>
        <v>15.698254981825762</v>
      </c>
    </row>
    <row r="665" spans="1:21" x14ac:dyDescent="0.3">
      <c r="A665">
        <v>663</v>
      </c>
      <c r="B665" s="6">
        <v>882.19909958932806</v>
      </c>
      <c r="C665" s="46">
        <v>286.59270584907756</v>
      </c>
      <c r="D665" s="1">
        <v>9</v>
      </c>
      <c r="E665" s="1">
        <v>17</v>
      </c>
      <c r="F665" s="1">
        <v>16</v>
      </c>
      <c r="G665" s="1">
        <v>15</v>
      </c>
      <c r="H665" s="1">
        <v>7</v>
      </c>
      <c r="I665" s="1" t="s">
        <v>50</v>
      </c>
      <c r="J665" s="1" t="s">
        <v>50</v>
      </c>
      <c r="K665" s="1" t="s">
        <v>50</v>
      </c>
      <c r="L665">
        <f t="shared" si="72"/>
        <v>310</v>
      </c>
      <c r="M665">
        <f t="shared" si="71"/>
        <v>304.39567777634272</v>
      </c>
      <c r="N665">
        <f t="shared" si="73"/>
        <v>172.96798541727486</v>
      </c>
      <c r="O665">
        <f t="shared" si="74"/>
        <v>210.14742667389368</v>
      </c>
      <c r="P665">
        <f t="shared" si="75"/>
        <v>310</v>
      </c>
      <c r="Q665" t="e">
        <f t="shared" si="76"/>
        <v>#N/A</v>
      </c>
      <c r="U665">
        <f>C665/Navio!$J$4</f>
        <v>15.474781503541124</v>
      </c>
    </row>
    <row r="666" spans="1:21" x14ac:dyDescent="0.3">
      <c r="A666">
        <v>664</v>
      </c>
      <c r="B666" s="6">
        <v>847.91624653488168</v>
      </c>
      <c r="C666" s="46">
        <v>271.80604886292952</v>
      </c>
      <c r="D666" s="1">
        <v>10</v>
      </c>
      <c r="E666" s="1">
        <v>11</v>
      </c>
      <c r="F666" s="1">
        <v>12</v>
      </c>
      <c r="G666" s="1">
        <v>14</v>
      </c>
      <c r="H666" s="1">
        <v>7</v>
      </c>
      <c r="I666" s="1" t="s">
        <v>50</v>
      </c>
      <c r="J666" s="1" t="s">
        <v>50</v>
      </c>
      <c r="K666" s="1" t="s">
        <v>50</v>
      </c>
      <c r="L666">
        <f t="shared" si="72"/>
        <v>290.36739528320618</v>
      </c>
      <c r="M666">
        <f t="shared" si="71"/>
        <v>278.99258318037374</v>
      </c>
      <c r="N666">
        <f t="shared" si="73"/>
        <v>82.076561445310972</v>
      </c>
      <c r="O666">
        <f t="shared" si="74"/>
        <v>96.197414256198073</v>
      </c>
      <c r="P666">
        <f t="shared" si="75"/>
        <v>310</v>
      </c>
      <c r="Q666" t="e">
        <f t="shared" si="76"/>
        <v>#N/A</v>
      </c>
      <c r="U666">
        <f>C666/Navio!$J$4</f>
        <v>14.676365209760954</v>
      </c>
    </row>
    <row r="667" spans="1:21" x14ac:dyDescent="0.3">
      <c r="A667">
        <v>665</v>
      </c>
      <c r="B667" s="6">
        <v>809.37482741777524</v>
      </c>
      <c r="C667" s="46">
        <v>284.06908198206554</v>
      </c>
      <c r="D667" s="1">
        <v>10</v>
      </c>
      <c r="E667" s="1">
        <v>11</v>
      </c>
      <c r="F667" s="1">
        <v>16</v>
      </c>
      <c r="G667" s="1">
        <v>12</v>
      </c>
      <c r="H667" s="1">
        <v>7</v>
      </c>
      <c r="I667" s="1" t="s">
        <v>50</v>
      </c>
      <c r="J667" s="1" t="s">
        <v>50</v>
      </c>
      <c r="K667" s="1" t="s">
        <v>50</v>
      </c>
      <c r="L667">
        <f t="shared" si="72"/>
        <v>290.36739528320618</v>
      </c>
      <c r="M667">
        <f t="shared" si="71"/>
        <v>278.99258318037374</v>
      </c>
      <c r="N667">
        <f t="shared" si="73"/>
        <v>172.96798541727486</v>
      </c>
      <c r="O667">
        <f t="shared" si="74"/>
        <v>82.076561445310972</v>
      </c>
      <c r="P667">
        <f t="shared" si="75"/>
        <v>310</v>
      </c>
      <c r="Q667" t="e">
        <f t="shared" si="76"/>
        <v>#N/A</v>
      </c>
      <c r="U667">
        <f>C667/Navio!$J$4</f>
        <v>15.338516598182025</v>
      </c>
    </row>
    <row r="668" spans="1:21" x14ac:dyDescent="0.3">
      <c r="A668">
        <v>666</v>
      </c>
      <c r="B668" s="6">
        <v>878.21338785886962</v>
      </c>
      <c r="C668" s="46">
        <v>288.20311497875844</v>
      </c>
      <c r="D668" s="1">
        <v>10</v>
      </c>
      <c r="E668" s="1">
        <v>11</v>
      </c>
      <c r="F668" s="1">
        <v>16</v>
      </c>
      <c r="G668" s="1">
        <v>14</v>
      </c>
      <c r="H668" s="1">
        <v>7</v>
      </c>
      <c r="I668" s="1" t="s">
        <v>50</v>
      </c>
      <c r="J668" s="1" t="s">
        <v>50</v>
      </c>
      <c r="K668" s="1" t="s">
        <v>50</v>
      </c>
      <c r="L668">
        <f t="shared" si="72"/>
        <v>290.36739528320618</v>
      </c>
      <c r="M668">
        <f t="shared" si="71"/>
        <v>278.99258318037374</v>
      </c>
      <c r="N668">
        <f t="shared" si="73"/>
        <v>172.96798541727486</v>
      </c>
      <c r="O668">
        <f t="shared" si="74"/>
        <v>96.197414256198073</v>
      </c>
      <c r="P668">
        <f t="shared" si="75"/>
        <v>310</v>
      </c>
      <c r="Q668" t="e">
        <f t="shared" si="76"/>
        <v>#N/A</v>
      </c>
      <c r="U668">
        <f>C668/Navio!$J$4</f>
        <v>15.561736715256256</v>
      </c>
    </row>
    <row r="669" spans="1:21" x14ac:dyDescent="0.3">
      <c r="A669">
        <v>667</v>
      </c>
      <c r="B669" s="6">
        <v>754.48814879736972</v>
      </c>
      <c r="C669" s="46">
        <v>276.98404097209414</v>
      </c>
      <c r="D669" s="1">
        <v>10</v>
      </c>
      <c r="E669" s="1">
        <v>13</v>
      </c>
      <c r="F669" s="1">
        <v>14</v>
      </c>
      <c r="G669" s="1">
        <v>12</v>
      </c>
      <c r="H669" s="1">
        <v>7</v>
      </c>
      <c r="I669" s="1" t="s">
        <v>50</v>
      </c>
      <c r="J669" s="1" t="s">
        <v>50</v>
      </c>
      <c r="K669" s="1" t="s">
        <v>50</v>
      </c>
      <c r="L669">
        <f t="shared" si="72"/>
        <v>290.36739528320618</v>
      </c>
      <c r="M669">
        <f t="shared" si="71"/>
        <v>185.56448544286178</v>
      </c>
      <c r="N669">
        <f t="shared" si="73"/>
        <v>96.197414256198073</v>
      </c>
      <c r="O669">
        <f t="shared" si="74"/>
        <v>82.076561445310972</v>
      </c>
      <c r="P669">
        <f t="shared" si="75"/>
        <v>310</v>
      </c>
      <c r="Q669" t="e">
        <f t="shared" si="76"/>
        <v>#N/A</v>
      </c>
      <c r="U669">
        <f>C669/Navio!$J$4</f>
        <v>14.955954658065261</v>
      </c>
    </row>
    <row r="670" spans="1:21" x14ac:dyDescent="0.3">
      <c r="A670">
        <v>668</v>
      </c>
      <c r="B670" s="6">
        <v>868.43816121506529</v>
      </c>
      <c r="C670" s="46">
        <v>273.22703738735646</v>
      </c>
      <c r="D670" s="1">
        <v>10</v>
      </c>
      <c r="E670" s="1">
        <v>13</v>
      </c>
      <c r="F670" s="1">
        <v>15</v>
      </c>
      <c r="G670" s="1">
        <v>12</v>
      </c>
      <c r="H670" s="1">
        <v>7</v>
      </c>
      <c r="I670" s="1" t="s">
        <v>50</v>
      </c>
      <c r="J670" s="1" t="s">
        <v>50</v>
      </c>
      <c r="K670" s="1" t="s">
        <v>50</v>
      </c>
      <c r="L670">
        <f t="shared" si="72"/>
        <v>290.36739528320618</v>
      </c>
      <c r="M670">
        <f t="shared" si="71"/>
        <v>185.56448544286178</v>
      </c>
      <c r="N670">
        <f t="shared" si="73"/>
        <v>210.14742667389368</v>
      </c>
      <c r="O670">
        <f t="shared" si="74"/>
        <v>82.076561445310972</v>
      </c>
      <c r="P670">
        <f t="shared" si="75"/>
        <v>310</v>
      </c>
      <c r="Q670" t="e">
        <f t="shared" si="76"/>
        <v>#N/A</v>
      </c>
      <c r="U670">
        <f>C670/Navio!$J$4</f>
        <v>14.75309251818773</v>
      </c>
    </row>
    <row r="671" spans="1:21" x14ac:dyDescent="0.3">
      <c r="A671">
        <v>669</v>
      </c>
      <c r="B671" s="6">
        <v>715.94672968026327</v>
      </c>
      <c r="C671" s="46">
        <v>284.05020942164111</v>
      </c>
      <c r="D671" s="1">
        <v>10</v>
      </c>
      <c r="E671" s="1">
        <v>13</v>
      </c>
      <c r="F671" s="1">
        <v>16</v>
      </c>
      <c r="G671" s="1">
        <v>12</v>
      </c>
      <c r="H671" s="1">
        <v>7</v>
      </c>
      <c r="I671" s="1" t="s">
        <v>50</v>
      </c>
      <c r="J671" s="1" t="s">
        <v>50</v>
      </c>
      <c r="K671" s="1" t="s">
        <v>50</v>
      </c>
      <c r="L671">
        <f t="shared" si="72"/>
        <v>290.36739528320618</v>
      </c>
      <c r="M671">
        <f t="shared" si="71"/>
        <v>185.56448544286178</v>
      </c>
      <c r="N671">
        <f t="shared" si="73"/>
        <v>172.96798541727486</v>
      </c>
      <c r="O671">
        <f t="shared" si="74"/>
        <v>82.076561445310972</v>
      </c>
      <c r="P671">
        <f t="shared" si="75"/>
        <v>310</v>
      </c>
      <c r="Q671" t="e">
        <f t="shared" si="76"/>
        <v>#N/A</v>
      </c>
      <c r="U671">
        <f>C671/Navio!$J$4</f>
        <v>15.337497560561667</v>
      </c>
    </row>
    <row r="672" spans="1:21" x14ac:dyDescent="0.3">
      <c r="A672">
        <v>670</v>
      </c>
      <c r="B672" s="6">
        <v>779.07109002840161</v>
      </c>
      <c r="C672" s="46">
        <v>281.1540975880369</v>
      </c>
      <c r="D672" s="1">
        <v>10</v>
      </c>
      <c r="E672" s="1">
        <v>15</v>
      </c>
      <c r="F672" s="1">
        <v>14</v>
      </c>
      <c r="G672" s="1">
        <v>12</v>
      </c>
      <c r="H672" s="1">
        <v>7</v>
      </c>
      <c r="I672" s="1" t="s">
        <v>50</v>
      </c>
      <c r="J672" s="1" t="s">
        <v>50</v>
      </c>
      <c r="K672" s="1" t="s">
        <v>50</v>
      </c>
      <c r="L672">
        <f t="shared" si="72"/>
        <v>290.36739528320618</v>
      </c>
      <c r="M672">
        <f t="shared" si="71"/>
        <v>210.14742667389368</v>
      </c>
      <c r="N672">
        <f t="shared" si="73"/>
        <v>96.197414256198073</v>
      </c>
      <c r="O672">
        <f t="shared" si="74"/>
        <v>82.076561445310972</v>
      </c>
      <c r="P672">
        <f t="shared" si="75"/>
        <v>310</v>
      </c>
      <c r="Q672" t="e">
        <f t="shared" si="76"/>
        <v>#N/A</v>
      </c>
      <c r="U672">
        <f>C672/Navio!$J$4</f>
        <v>15.18111989664985</v>
      </c>
    </row>
    <row r="673" spans="1:21" x14ac:dyDescent="0.3">
      <c r="A673">
        <v>671</v>
      </c>
      <c r="B673" s="6">
        <v>626.57965849359948</v>
      </c>
      <c r="C673" s="46">
        <v>290.59395292100231</v>
      </c>
      <c r="D673" s="1">
        <v>10</v>
      </c>
      <c r="E673" s="1">
        <v>16</v>
      </c>
      <c r="F673" s="1">
        <v>14</v>
      </c>
      <c r="G673" s="1">
        <v>12</v>
      </c>
      <c r="H673" s="1">
        <v>7</v>
      </c>
      <c r="I673" s="1" t="s">
        <v>50</v>
      </c>
      <c r="J673" s="1" t="s">
        <v>50</v>
      </c>
      <c r="K673" s="1" t="s">
        <v>50</v>
      </c>
      <c r="L673">
        <f t="shared" si="72"/>
        <v>290.36739528320618</v>
      </c>
      <c r="M673">
        <f t="shared" si="71"/>
        <v>172.96798541727486</v>
      </c>
      <c r="N673">
        <f t="shared" si="73"/>
        <v>96.197414256198073</v>
      </c>
      <c r="O673">
        <f t="shared" si="74"/>
        <v>82.076561445310972</v>
      </c>
      <c r="P673">
        <f t="shared" si="75"/>
        <v>310</v>
      </c>
      <c r="Q673" t="e">
        <f t="shared" si="76"/>
        <v>#N/A</v>
      </c>
      <c r="U673">
        <f>C673/Navio!$J$4</f>
        <v>15.690831748072908</v>
      </c>
    </row>
    <row r="674" spans="1:21" x14ac:dyDescent="0.3">
      <c r="A674">
        <v>672</v>
      </c>
      <c r="B674" s="6">
        <v>873.3193411308506</v>
      </c>
      <c r="C674" s="46">
        <v>292.785784348231</v>
      </c>
      <c r="D674" s="1">
        <v>10</v>
      </c>
      <c r="E674" s="1">
        <v>17</v>
      </c>
      <c r="F674" s="1">
        <v>14</v>
      </c>
      <c r="G674" s="1">
        <v>12</v>
      </c>
      <c r="H674" s="1">
        <v>7</v>
      </c>
      <c r="I674" s="1" t="s">
        <v>50</v>
      </c>
      <c r="J674" s="1" t="s">
        <v>50</v>
      </c>
      <c r="K674" s="1" t="s">
        <v>50</v>
      </c>
      <c r="L674">
        <f t="shared" si="72"/>
        <v>290.36739528320618</v>
      </c>
      <c r="M674">
        <f t="shared" si="71"/>
        <v>304.39567777634272</v>
      </c>
      <c r="N674">
        <f t="shared" si="73"/>
        <v>96.197414256198073</v>
      </c>
      <c r="O674">
        <f t="shared" si="74"/>
        <v>82.076561445310972</v>
      </c>
      <c r="P674">
        <f t="shared" si="75"/>
        <v>310</v>
      </c>
      <c r="Q674" t="e">
        <f t="shared" si="76"/>
        <v>#N/A</v>
      </c>
      <c r="U674">
        <f>C674/Navio!$J$4</f>
        <v>15.809181279434744</v>
      </c>
    </row>
    <row r="675" spans="1:21" x14ac:dyDescent="0.3">
      <c r="A675">
        <v>673</v>
      </c>
      <c r="B675" s="6">
        <v>740.52967091129517</v>
      </c>
      <c r="C675" s="46">
        <v>283.99762960997793</v>
      </c>
      <c r="D675" s="1">
        <v>10</v>
      </c>
      <c r="E675" s="1">
        <v>16</v>
      </c>
      <c r="F675" s="1">
        <v>15</v>
      </c>
      <c r="G675" s="1">
        <v>12</v>
      </c>
      <c r="H675" s="1">
        <v>7</v>
      </c>
      <c r="I675" s="1" t="s">
        <v>50</v>
      </c>
      <c r="J675" s="1" t="s">
        <v>50</v>
      </c>
      <c r="K675" s="1" t="s">
        <v>50</v>
      </c>
      <c r="L675">
        <f t="shared" si="72"/>
        <v>290.36739528320618</v>
      </c>
      <c r="M675">
        <f t="shared" si="71"/>
        <v>172.96798541727486</v>
      </c>
      <c r="N675">
        <f t="shared" si="73"/>
        <v>210.14742667389368</v>
      </c>
      <c r="O675">
        <f t="shared" si="74"/>
        <v>82.076561445310972</v>
      </c>
      <c r="P675">
        <f t="shared" si="75"/>
        <v>310</v>
      </c>
      <c r="Q675" t="e">
        <f t="shared" si="76"/>
        <v>#N/A</v>
      </c>
      <c r="U675">
        <f>C675/Navio!$J$4</f>
        <v>15.334658475405698</v>
      </c>
    </row>
    <row r="676" spans="1:21" x14ac:dyDescent="0.3">
      <c r="A676">
        <v>674</v>
      </c>
      <c r="B676" s="6">
        <v>834.77792201374416</v>
      </c>
      <c r="C676" s="46">
        <v>288.27699699553386</v>
      </c>
      <c r="D676" s="1">
        <v>10</v>
      </c>
      <c r="E676" s="1">
        <v>17</v>
      </c>
      <c r="F676" s="1">
        <v>16</v>
      </c>
      <c r="G676" s="1">
        <v>12</v>
      </c>
      <c r="H676" s="1">
        <v>7</v>
      </c>
      <c r="I676" s="1" t="s">
        <v>50</v>
      </c>
      <c r="J676" s="1" t="s">
        <v>50</v>
      </c>
      <c r="K676" s="1" t="s">
        <v>50</v>
      </c>
      <c r="L676">
        <f t="shared" si="72"/>
        <v>290.36739528320618</v>
      </c>
      <c r="M676">
        <f t="shared" si="71"/>
        <v>304.39567777634272</v>
      </c>
      <c r="N676">
        <f t="shared" si="73"/>
        <v>172.96798541727486</v>
      </c>
      <c r="O676">
        <f t="shared" si="74"/>
        <v>82.076561445310972</v>
      </c>
      <c r="P676">
        <f t="shared" si="75"/>
        <v>310</v>
      </c>
      <c r="Q676" t="e">
        <f t="shared" si="76"/>
        <v>#N/A</v>
      </c>
      <c r="U676">
        <f>C676/Navio!$J$4</f>
        <v>15.565726028463839</v>
      </c>
    </row>
    <row r="677" spans="1:21" x14ac:dyDescent="0.3">
      <c r="A677">
        <v>675</v>
      </c>
      <c r="B677" s="6">
        <v>784.78529012135766</v>
      </c>
      <c r="C677" s="46">
        <v>288.18424241833401</v>
      </c>
      <c r="D677" s="1">
        <v>10</v>
      </c>
      <c r="E677" s="1">
        <v>13</v>
      </c>
      <c r="F677" s="1">
        <v>16</v>
      </c>
      <c r="G677" s="1">
        <v>14</v>
      </c>
      <c r="H677" s="1">
        <v>7</v>
      </c>
      <c r="I677" s="1" t="s">
        <v>50</v>
      </c>
      <c r="J677" s="1" t="s">
        <v>50</v>
      </c>
      <c r="K677" s="1" t="s">
        <v>50</v>
      </c>
      <c r="L677">
        <f t="shared" si="72"/>
        <v>290.36739528320618</v>
      </c>
      <c r="M677">
        <f t="shared" si="71"/>
        <v>185.56448544286178</v>
      </c>
      <c r="N677">
        <f t="shared" si="73"/>
        <v>172.96798541727486</v>
      </c>
      <c r="O677">
        <f t="shared" si="74"/>
        <v>96.197414256198073</v>
      </c>
      <c r="P677">
        <f t="shared" si="75"/>
        <v>310</v>
      </c>
      <c r="Q677" t="e">
        <f t="shared" si="76"/>
        <v>#N/A</v>
      </c>
      <c r="U677">
        <f>C677/Navio!$J$4</f>
        <v>15.560717677635898</v>
      </c>
    </row>
    <row r="678" spans="1:21" x14ac:dyDescent="0.3">
      <c r="A678">
        <v>676</v>
      </c>
      <c r="B678" s="6">
        <v>898.73530253905324</v>
      </c>
      <c r="C678" s="46">
        <v>284.04551717607814</v>
      </c>
      <c r="D678" s="1">
        <v>10</v>
      </c>
      <c r="E678" s="1">
        <v>13</v>
      </c>
      <c r="F678" s="1">
        <v>16</v>
      </c>
      <c r="G678" s="1">
        <v>15</v>
      </c>
      <c r="H678" s="1">
        <v>7</v>
      </c>
      <c r="I678" s="1" t="s">
        <v>50</v>
      </c>
      <c r="J678" s="1" t="s">
        <v>50</v>
      </c>
      <c r="K678" s="1" t="s">
        <v>50</v>
      </c>
      <c r="L678">
        <f t="shared" si="72"/>
        <v>290.36739528320618</v>
      </c>
      <c r="M678">
        <f t="shared" si="71"/>
        <v>185.56448544286178</v>
      </c>
      <c r="N678">
        <f t="shared" si="73"/>
        <v>172.96798541727486</v>
      </c>
      <c r="O678">
        <f t="shared" si="74"/>
        <v>210.14742667389368</v>
      </c>
      <c r="P678">
        <f t="shared" si="75"/>
        <v>310</v>
      </c>
      <c r="Q678" t="e">
        <f t="shared" si="76"/>
        <v>#N/A</v>
      </c>
      <c r="U678">
        <f>C678/Navio!$J$4</f>
        <v>15.337244199351259</v>
      </c>
    </row>
    <row r="679" spans="1:21" x14ac:dyDescent="0.3">
      <c r="A679">
        <v>677</v>
      </c>
      <c r="B679" s="6">
        <v>809.36823135238956</v>
      </c>
      <c r="C679" s="46">
        <v>289.1705217010192</v>
      </c>
      <c r="D679" s="1">
        <v>10</v>
      </c>
      <c r="E679" s="1">
        <v>15</v>
      </c>
      <c r="F679" s="1">
        <v>16</v>
      </c>
      <c r="G679" s="1">
        <v>14</v>
      </c>
      <c r="H679" s="1">
        <v>7</v>
      </c>
      <c r="I679" s="1" t="s">
        <v>50</v>
      </c>
      <c r="J679" s="1" t="s">
        <v>50</v>
      </c>
      <c r="K679" s="1" t="s">
        <v>50</v>
      </c>
      <c r="L679">
        <f t="shared" si="72"/>
        <v>290.36739528320618</v>
      </c>
      <c r="M679">
        <f t="shared" si="71"/>
        <v>210.14742667389368</v>
      </c>
      <c r="N679">
        <f t="shared" si="73"/>
        <v>172.96798541727486</v>
      </c>
      <c r="O679">
        <f t="shared" si="74"/>
        <v>96.197414256198073</v>
      </c>
      <c r="P679">
        <f t="shared" si="75"/>
        <v>310</v>
      </c>
      <c r="Q679" t="e">
        <f t="shared" si="76"/>
        <v>#N/A</v>
      </c>
      <c r="U679">
        <f>C679/Navio!$J$4</f>
        <v>15.613972544523753</v>
      </c>
    </row>
    <row r="680" spans="1:21" x14ac:dyDescent="0.3">
      <c r="A680">
        <v>678</v>
      </c>
      <c r="B680" s="6">
        <v>743.11333669453722</v>
      </c>
      <c r="C680" s="46">
        <v>274.48635969760704</v>
      </c>
      <c r="D680" s="1">
        <v>11</v>
      </c>
      <c r="E680" s="1">
        <v>13</v>
      </c>
      <c r="F680" s="1">
        <v>14</v>
      </c>
      <c r="G680" s="1">
        <v>12</v>
      </c>
      <c r="H680" s="1">
        <v>7</v>
      </c>
      <c r="I680" s="1" t="s">
        <v>50</v>
      </c>
      <c r="J680" s="1" t="s">
        <v>50</v>
      </c>
      <c r="K680" s="1" t="s">
        <v>50</v>
      </c>
      <c r="L680">
        <f t="shared" si="72"/>
        <v>278.99258318037374</v>
      </c>
      <c r="M680">
        <f t="shared" si="71"/>
        <v>185.56448544286178</v>
      </c>
      <c r="N680">
        <f t="shared" si="73"/>
        <v>96.197414256198073</v>
      </c>
      <c r="O680">
        <f t="shared" si="74"/>
        <v>82.076561445310972</v>
      </c>
      <c r="P680">
        <f t="shared" si="75"/>
        <v>310</v>
      </c>
      <c r="Q680" t="e">
        <f t="shared" si="76"/>
        <v>#N/A</v>
      </c>
      <c r="U680">
        <f>C680/Navio!$J$4</f>
        <v>14.82109054184966</v>
      </c>
    </row>
    <row r="681" spans="1:21" x14ac:dyDescent="0.3">
      <c r="A681">
        <v>679</v>
      </c>
      <c r="B681" s="6">
        <v>857.0633491122328</v>
      </c>
      <c r="C681" s="46">
        <v>270.72935611286931</v>
      </c>
      <c r="D681" s="1">
        <v>11</v>
      </c>
      <c r="E681" s="1">
        <v>13</v>
      </c>
      <c r="F681" s="1">
        <v>15</v>
      </c>
      <c r="G681" s="1">
        <v>12</v>
      </c>
      <c r="H681" s="1">
        <v>7</v>
      </c>
      <c r="I681" s="1" t="s">
        <v>50</v>
      </c>
      <c r="J681" s="1" t="s">
        <v>50</v>
      </c>
      <c r="K681" s="1" t="s">
        <v>50</v>
      </c>
      <c r="L681">
        <f t="shared" si="72"/>
        <v>278.99258318037374</v>
      </c>
      <c r="M681">
        <f t="shared" si="71"/>
        <v>185.56448544286178</v>
      </c>
      <c r="N681">
        <f t="shared" si="73"/>
        <v>210.14742667389368</v>
      </c>
      <c r="O681">
        <f t="shared" si="74"/>
        <v>82.076561445310972</v>
      </c>
      <c r="P681">
        <f t="shared" si="75"/>
        <v>310</v>
      </c>
      <c r="Q681" t="e">
        <f t="shared" si="76"/>
        <v>#N/A</v>
      </c>
      <c r="U681">
        <f>C681/Navio!$J$4</f>
        <v>14.618228401972123</v>
      </c>
    </row>
    <row r="682" spans="1:21" x14ac:dyDescent="0.3">
      <c r="A682">
        <v>680</v>
      </c>
      <c r="B682" s="6">
        <v>704.57191757743078</v>
      </c>
      <c r="C682" s="46">
        <v>281.55252814715396</v>
      </c>
      <c r="D682" s="1">
        <v>11</v>
      </c>
      <c r="E682" s="1">
        <v>13</v>
      </c>
      <c r="F682" s="1">
        <v>16</v>
      </c>
      <c r="G682" s="1">
        <v>12</v>
      </c>
      <c r="H682" s="1">
        <v>7</v>
      </c>
      <c r="I682" s="1" t="s">
        <v>50</v>
      </c>
      <c r="J682" s="1" t="s">
        <v>50</v>
      </c>
      <c r="K682" s="1" t="s">
        <v>50</v>
      </c>
      <c r="L682">
        <f t="shared" si="72"/>
        <v>278.99258318037374</v>
      </c>
      <c r="M682">
        <f t="shared" si="71"/>
        <v>185.56448544286178</v>
      </c>
      <c r="N682">
        <f t="shared" si="73"/>
        <v>172.96798541727486</v>
      </c>
      <c r="O682">
        <f t="shared" si="74"/>
        <v>82.076561445310972</v>
      </c>
      <c r="P682">
        <f t="shared" si="75"/>
        <v>310</v>
      </c>
      <c r="Q682" t="e">
        <f t="shared" si="76"/>
        <v>#N/A</v>
      </c>
      <c r="U682">
        <f>C682/Navio!$J$4</f>
        <v>15.202633444346061</v>
      </c>
    </row>
    <row r="683" spans="1:21" x14ac:dyDescent="0.3">
      <c r="A683">
        <v>681</v>
      </c>
      <c r="B683" s="6">
        <v>767.69627792556912</v>
      </c>
      <c r="C683" s="46">
        <v>278.42701869307984</v>
      </c>
      <c r="D683" s="1">
        <v>11</v>
      </c>
      <c r="E683" s="1">
        <v>15</v>
      </c>
      <c r="F683" s="1">
        <v>14</v>
      </c>
      <c r="G683" s="1">
        <v>12</v>
      </c>
      <c r="H683" s="1">
        <v>7</v>
      </c>
      <c r="I683" s="1" t="s">
        <v>50</v>
      </c>
      <c r="J683" s="1" t="s">
        <v>50</v>
      </c>
      <c r="K683" s="1" t="s">
        <v>50</v>
      </c>
      <c r="L683">
        <f t="shared" si="72"/>
        <v>278.99258318037374</v>
      </c>
      <c r="M683">
        <f t="shared" si="71"/>
        <v>210.14742667389368</v>
      </c>
      <c r="N683">
        <f t="shared" si="73"/>
        <v>96.197414256198073</v>
      </c>
      <c r="O683">
        <f t="shared" si="74"/>
        <v>82.076561445310972</v>
      </c>
      <c r="P683">
        <f t="shared" si="75"/>
        <v>310</v>
      </c>
      <c r="Q683" t="e">
        <f t="shared" si="76"/>
        <v>#N/A</v>
      </c>
      <c r="U683">
        <f>C683/Navio!$J$4</f>
        <v>15.033869289146246</v>
      </c>
    </row>
    <row r="684" spans="1:21" x14ac:dyDescent="0.3">
      <c r="A684">
        <v>682</v>
      </c>
      <c r="B684" s="6">
        <v>615.2048463907671</v>
      </c>
      <c r="C684" s="46">
        <v>287.93985815558597</v>
      </c>
      <c r="D684" s="1">
        <v>11</v>
      </c>
      <c r="E684" s="1">
        <v>16</v>
      </c>
      <c r="F684" s="1">
        <v>14</v>
      </c>
      <c r="G684" s="1">
        <v>12</v>
      </c>
      <c r="H684" s="1">
        <v>7</v>
      </c>
      <c r="I684" s="1" t="s">
        <v>50</v>
      </c>
      <c r="J684" s="1" t="s">
        <v>50</v>
      </c>
      <c r="K684" s="1" t="s">
        <v>50</v>
      </c>
      <c r="L684">
        <f t="shared" si="72"/>
        <v>278.99258318037374</v>
      </c>
      <c r="M684">
        <f t="shared" si="71"/>
        <v>172.96798541727486</v>
      </c>
      <c r="N684">
        <f t="shared" si="73"/>
        <v>96.197414256198073</v>
      </c>
      <c r="O684">
        <f t="shared" si="74"/>
        <v>82.076561445310972</v>
      </c>
      <c r="P684">
        <f t="shared" si="75"/>
        <v>310</v>
      </c>
      <c r="Q684" t="e">
        <f t="shared" si="76"/>
        <v>#N/A</v>
      </c>
      <c r="U684">
        <f>C684/Navio!$J$4</f>
        <v>15.547521971702889</v>
      </c>
    </row>
    <row r="685" spans="1:21" x14ac:dyDescent="0.3">
      <c r="A685">
        <v>683</v>
      </c>
      <c r="B685" s="6">
        <v>861.94452902801822</v>
      </c>
      <c r="C685" s="46">
        <v>290.62199497615421</v>
      </c>
      <c r="D685" s="1">
        <v>11</v>
      </c>
      <c r="E685" s="1">
        <v>17</v>
      </c>
      <c r="F685" s="1">
        <v>14</v>
      </c>
      <c r="G685" s="1">
        <v>12</v>
      </c>
      <c r="H685" s="1">
        <v>7</v>
      </c>
      <c r="I685" s="1" t="s">
        <v>50</v>
      </c>
      <c r="J685" s="1" t="s">
        <v>50</v>
      </c>
      <c r="K685" s="1" t="s">
        <v>50</v>
      </c>
      <c r="L685">
        <f t="shared" si="72"/>
        <v>278.99258318037374</v>
      </c>
      <c r="M685">
        <f t="shared" si="71"/>
        <v>304.39567777634272</v>
      </c>
      <c r="N685">
        <f t="shared" si="73"/>
        <v>96.197414256198073</v>
      </c>
      <c r="O685">
        <f t="shared" si="74"/>
        <v>82.076561445310972</v>
      </c>
      <c r="P685">
        <f t="shared" si="75"/>
        <v>310</v>
      </c>
      <c r="Q685" t="e">
        <f t="shared" si="76"/>
        <v>#N/A</v>
      </c>
      <c r="U685">
        <f>C685/Navio!$J$4</f>
        <v>15.692345899227245</v>
      </c>
    </row>
    <row r="686" spans="1:21" x14ac:dyDescent="0.3">
      <c r="A686">
        <v>684</v>
      </c>
      <c r="B686" s="6">
        <v>729.15485880846268</v>
      </c>
      <c r="C686" s="46">
        <v>281.34353484456159</v>
      </c>
      <c r="D686" s="1">
        <v>11</v>
      </c>
      <c r="E686" s="1">
        <v>16</v>
      </c>
      <c r="F686" s="1">
        <v>15</v>
      </c>
      <c r="G686" s="1">
        <v>12</v>
      </c>
      <c r="H686" s="1">
        <v>7</v>
      </c>
      <c r="I686" s="1" t="s">
        <v>50</v>
      </c>
      <c r="J686" s="1" t="s">
        <v>50</v>
      </c>
      <c r="K686" s="1" t="s">
        <v>50</v>
      </c>
      <c r="L686">
        <f t="shared" si="72"/>
        <v>278.99258318037374</v>
      </c>
      <c r="M686">
        <f t="shared" si="71"/>
        <v>172.96798541727486</v>
      </c>
      <c r="N686">
        <f t="shared" si="73"/>
        <v>210.14742667389368</v>
      </c>
      <c r="O686">
        <f t="shared" si="74"/>
        <v>82.076561445310972</v>
      </c>
      <c r="P686">
        <f t="shared" si="75"/>
        <v>310</v>
      </c>
      <c r="Q686" t="e">
        <f t="shared" si="76"/>
        <v>#N/A</v>
      </c>
      <c r="U686">
        <f>C686/Navio!$J$4</f>
        <v>15.191348699035679</v>
      </c>
    </row>
    <row r="687" spans="1:21" x14ac:dyDescent="0.3">
      <c r="A687">
        <v>685</v>
      </c>
      <c r="B687" s="6">
        <v>823.40310991091178</v>
      </c>
      <c r="C687" s="46">
        <v>286.11320762345707</v>
      </c>
      <c r="D687" s="1">
        <v>11</v>
      </c>
      <c r="E687" s="1">
        <v>17</v>
      </c>
      <c r="F687" s="1">
        <v>16</v>
      </c>
      <c r="G687" s="1">
        <v>12</v>
      </c>
      <c r="H687" s="1">
        <v>7</v>
      </c>
      <c r="I687" s="1" t="s">
        <v>50</v>
      </c>
      <c r="J687" s="1" t="s">
        <v>50</v>
      </c>
      <c r="K687" s="1" t="s">
        <v>50</v>
      </c>
      <c r="L687">
        <f t="shared" si="72"/>
        <v>278.99258318037374</v>
      </c>
      <c r="M687">
        <f t="shared" si="71"/>
        <v>304.39567777634272</v>
      </c>
      <c r="N687">
        <f t="shared" si="73"/>
        <v>172.96798541727486</v>
      </c>
      <c r="O687">
        <f t="shared" si="74"/>
        <v>82.076561445310972</v>
      </c>
      <c r="P687">
        <f t="shared" si="75"/>
        <v>310</v>
      </c>
      <c r="Q687" t="e">
        <f t="shared" si="76"/>
        <v>#N/A</v>
      </c>
      <c r="U687">
        <f>C687/Navio!$J$4</f>
        <v>15.448890648256342</v>
      </c>
    </row>
    <row r="688" spans="1:21" x14ac:dyDescent="0.3">
      <c r="A688">
        <v>686</v>
      </c>
      <c r="B688" s="6">
        <v>773.41047801852517</v>
      </c>
      <c r="C688" s="46">
        <v>285.68656114384686</v>
      </c>
      <c r="D688" s="1">
        <v>11</v>
      </c>
      <c r="E688" s="1">
        <v>13</v>
      </c>
      <c r="F688" s="1">
        <v>16</v>
      </c>
      <c r="G688" s="1">
        <v>14</v>
      </c>
      <c r="H688" s="1">
        <v>7</v>
      </c>
      <c r="I688" s="1" t="s">
        <v>50</v>
      </c>
      <c r="J688" s="1" t="s">
        <v>50</v>
      </c>
      <c r="K688" s="1" t="s">
        <v>50</v>
      </c>
      <c r="L688">
        <f t="shared" si="72"/>
        <v>278.99258318037374</v>
      </c>
      <c r="M688">
        <f t="shared" si="71"/>
        <v>185.56448544286178</v>
      </c>
      <c r="N688">
        <f t="shared" si="73"/>
        <v>172.96798541727486</v>
      </c>
      <c r="O688">
        <f t="shared" si="74"/>
        <v>96.197414256198073</v>
      </c>
      <c r="P688">
        <f t="shared" si="75"/>
        <v>310</v>
      </c>
      <c r="Q688" t="e">
        <f t="shared" si="76"/>
        <v>#N/A</v>
      </c>
      <c r="U688">
        <f>C688/Navio!$J$4</f>
        <v>15.425853561420293</v>
      </c>
    </row>
    <row r="689" spans="1:21" x14ac:dyDescent="0.3">
      <c r="A689">
        <v>687</v>
      </c>
      <c r="B689" s="6">
        <v>887.36049043622086</v>
      </c>
      <c r="C689" s="46">
        <v>281.54783590159099</v>
      </c>
      <c r="D689" s="1">
        <v>11</v>
      </c>
      <c r="E689" s="1">
        <v>13</v>
      </c>
      <c r="F689" s="1">
        <v>16</v>
      </c>
      <c r="G689" s="1">
        <v>15</v>
      </c>
      <c r="H689" s="1">
        <v>7</v>
      </c>
      <c r="I689" s="1" t="s">
        <v>50</v>
      </c>
      <c r="J689" s="1" t="s">
        <v>50</v>
      </c>
      <c r="K689" s="1" t="s">
        <v>50</v>
      </c>
      <c r="L689">
        <f t="shared" si="72"/>
        <v>278.99258318037374</v>
      </c>
      <c r="M689">
        <f t="shared" si="71"/>
        <v>185.56448544286178</v>
      </c>
      <c r="N689">
        <f t="shared" si="73"/>
        <v>172.96798541727486</v>
      </c>
      <c r="O689">
        <f t="shared" si="74"/>
        <v>210.14742667389368</v>
      </c>
      <c r="P689">
        <f t="shared" si="75"/>
        <v>310</v>
      </c>
      <c r="Q689" t="e">
        <f t="shared" si="76"/>
        <v>#N/A</v>
      </c>
      <c r="U689">
        <f>C689/Navio!$J$4</f>
        <v>15.202380083135653</v>
      </c>
    </row>
    <row r="690" spans="1:21" x14ac:dyDescent="0.3">
      <c r="A690">
        <v>688</v>
      </c>
      <c r="B690" s="6">
        <v>797.99341924955706</v>
      </c>
      <c r="C690" s="46">
        <v>286.44344280606208</v>
      </c>
      <c r="D690" s="1">
        <v>11</v>
      </c>
      <c r="E690" s="1">
        <v>15</v>
      </c>
      <c r="F690" s="1">
        <v>16</v>
      </c>
      <c r="G690" s="1">
        <v>14</v>
      </c>
      <c r="H690" s="1">
        <v>7</v>
      </c>
      <c r="I690" s="1" t="s">
        <v>50</v>
      </c>
      <c r="J690" s="1" t="s">
        <v>50</v>
      </c>
      <c r="K690" s="1" t="s">
        <v>50</v>
      </c>
      <c r="L690">
        <f t="shared" si="72"/>
        <v>278.99258318037374</v>
      </c>
      <c r="M690">
        <f t="shared" si="71"/>
        <v>210.14742667389368</v>
      </c>
      <c r="N690">
        <f t="shared" si="73"/>
        <v>172.96798541727486</v>
      </c>
      <c r="O690">
        <f t="shared" si="74"/>
        <v>96.197414256198073</v>
      </c>
      <c r="P690">
        <f t="shared" si="75"/>
        <v>310</v>
      </c>
      <c r="Q690" t="e">
        <f t="shared" si="76"/>
        <v>#N/A</v>
      </c>
      <c r="U690">
        <f>C690/Navio!$J$4</f>
        <v>15.466721937020143</v>
      </c>
    </row>
    <row r="691" spans="1:21" x14ac:dyDescent="0.3">
      <c r="A691">
        <v>689</v>
      </c>
      <c r="B691" s="6">
        <v>892.24167035200617</v>
      </c>
      <c r="C691" s="46">
        <v>290.24724062014997</v>
      </c>
      <c r="D691" s="1">
        <v>11</v>
      </c>
      <c r="E691" s="1">
        <v>17</v>
      </c>
      <c r="F691" s="1">
        <v>16</v>
      </c>
      <c r="G691" s="1">
        <v>14</v>
      </c>
      <c r="H691" s="1">
        <v>7</v>
      </c>
      <c r="I691" s="1" t="s">
        <v>50</v>
      </c>
      <c r="J691" s="1" t="s">
        <v>50</v>
      </c>
      <c r="K691" s="1" t="s">
        <v>50</v>
      </c>
      <c r="L691">
        <f t="shared" si="72"/>
        <v>278.99258318037374</v>
      </c>
      <c r="M691">
        <f t="shared" si="71"/>
        <v>304.39567777634272</v>
      </c>
      <c r="N691">
        <f t="shared" si="73"/>
        <v>172.96798541727486</v>
      </c>
      <c r="O691">
        <f t="shared" si="74"/>
        <v>96.197414256198073</v>
      </c>
      <c r="P691">
        <f t="shared" si="75"/>
        <v>310</v>
      </c>
      <c r="Q691" t="e">
        <f t="shared" si="76"/>
        <v>#N/A</v>
      </c>
      <c r="U691">
        <f>C691/Navio!$J$4</f>
        <v>15.672110765330572</v>
      </c>
    </row>
    <row r="692" spans="1:21" x14ac:dyDescent="0.3">
      <c r="A692">
        <v>690</v>
      </c>
      <c r="B692" s="6">
        <v>674.26818018805716</v>
      </c>
      <c r="C692" s="46">
        <v>278.31224063577974</v>
      </c>
      <c r="D692" s="1">
        <v>13</v>
      </c>
      <c r="E692" s="1">
        <v>15</v>
      </c>
      <c r="F692" s="1">
        <v>14</v>
      </c>
      <c r="G692" s="1">
        <v>12</v>
      </c>
      <c r="H692" s="1">
        <v>7</v>
      </c>
      <c r="I692" s="1" t="s">
        <v>50</v>
      </c>
      <c r="J692" s="1" t="s">
        <v>50</v>
      </c>
      <c r="K692" s="1" t="s">
        <v>50</v>
      </c>
      <c r="L692">
        <f t="shared" si="72"/>
        <v>185.56448544286178</v>
      </c>
      <c r="M692">
        <f t="shared" si="71"/>
        <v>210.14742667389368</v>
      </c>
      <c r="N692">
        <f t="shared" si="73"/>
        <v>96.197414256198073</v>
      </c>
      <c r="O692">
        <f t="shared" si="74"/>
        <v>82.076561445310972</v>
      </c>
      <c r="P692">
        <f t="shared" si="75"/>
        <v>310</v>
      </c>
      <c r="Q692" t="e">
        <f t="shared" si="76"/>
        <v>#N/A</v>
      </c>
      <c r="U692">
        <f>C692/Navio!$J$4</f>
        <v>15.027671764499351</v>
      </c>
    </row>
    <row r="693" spans="1:21" x14ac:dyDescent="0.3">
      <c r="A693">
        <v>691</v>
      </c>
      <c r="B693" s="6">
        <v>521.77674865325514</v>
      </c>
      <c r="C693" s="46">
        <v>287.26587798858714</v>
      </c>
      <c r="D693" s="1">
        <v>13</v>
      </c>
      <c r="E693" s="1">
        <v>16</v>
      </c>
      <c r="F693" s="1">
        <v>14</v>
      </c>
      <c r="G693" s="1">
        <v>12</v>
      </c>
      <c r="H693" s="1">
        <v>7</v>
      </c>
      <c r="I693" s="1" t="s">
        <v>50</v>
      </c>
      <c r="J693" s="1" t="s">
        <v>50</v>
      </c>
      <c r="K693" s="1" t="s">
        <v>50</v>
      </c>
      <c r="L693">
        <f t="shared" si="72"/>
        <v>185.56448544286178</v>
      </c>
      <c r="M693">
        <f t="shared" si="71"/>
        <v>172.96798541727486</v>
      </c>
      <c r="N693">
        <f t="shared" si="73"/>
        <v>96.197414256198073</v>
      </c>
      <c r="O693">
        <f t="shared" si="74"/>
        <v>82.076561445310972</v>
      </c>
      <c r="P693">
        <f t="shared" si="75"/>
        <v>310</v>
      </c>
      <c r="Q693" t="e">
        <f t="shared" si="76"/>
        <v>#N/A</v>
      </c>
      <c r="U693">
        <f>C693/Navio!$J$4</f>
        <v>15.51112992260615</v>
      </c>
    </row>
    <row r="694" spans="1:21" x14ac:dyDescent="0.3">
      <c r="A694">
        <v>692</v>
      </c>
      <c r="B694" s="6">
        <v>768.51643129050626</v>
      </c>
      <c r="C694" s="46">
        <v>289.82492952107498</v>
      </c>
      <c r="D694" s="1">
        <v>13</v>
      </c>
      <c r="E694" s="1">
        <v>17</v>
      </c>
      <c r="F694" s="1">
        <v>14</v>
      </c>
      <c r="G694" s="1">
        <v>12</v>
      </c>
      <c r="H694" s="1">
        <v>7</v>
      </c>
      <c r="I694" s="1" t="s">
        <v>50</v>
      </c>
      <c r="J694" s="1" t="s">
        <v>50</v>
      </c>
      <c r="K694" s="1" t="s">
        <v>50</v>
      </c>
      <c r="L694">
        <f t="shared" si="72"/>
        <v>185.56448544286178</v>
      </c>
      <c r="M694">
        <f t="shared" si="71"/>
        <v>304.39567777634272</v>
      </c>
      <c r="N694">
        <f t="shared" si="73"/>
        <v>96.197414256198073</v>
      </c>
      <c r="O694">
        <f t="shared" si="74"/>
        <v>82.076561445310972</v>
      </c>
      <c r="P694">
        <f t="shared" si="75"/>
        <v>310</v>
      </c>
      <c r="Q694" t="e">
        <f t="shared" si="76"/>
        <v>#N/A</v>
      </c>
      <c r="U694">
        <f>C694/Navio!$J$4</f>
        <v>15.64930777051832</v>
      </c>
    </row>
    <row r="695" spans="1:21" x14ac:dyDescent="0.3">
      <c r="A695">
        <v>693</v>
      </c>
      <c r="B695" s="6">
        <v>635.72676107095072</v>
      </c>
      <c r="C695" s="46">
        <v>280.66955467756276</v>
      </c>
      <c r="D695" s="1">
        <v>13</v>
      </c>
      <c r="E695" s="1">
        <v>16</v>
      </c>
      <c r="F695" s="1">
        <v>15</v>
      </c>
      <c r="G695" s="1">
        <v>12</v>
      </c>
      <c r="H695" s="1">
        <v>7</v>
      </c>
      <c r="I695" s="1" t="s">
        <v>50</v>
      </c>
      <c r="J695" s="1" t="s">
        <v>50</v>
      </c>
      <c r="K695" s="1" t="s">
        <v>50</v>
      </c>
      <c r="L695">
        <f t="shared" si="72"/>
        <v>185.56448544286178</v>
      </c>
      <c r="M695">
        <f t="shared" si="71"/>
        <v>172.96798541727486</v>
      </c>
      <c r="N695">
        <f t="shared" si="73"/>
        <v>210.14742667389368</v>
      </c>
      <c r="O695">
        <f t="shared" si="74"/>
        <v>82.076561445310972</v>
      </c>
      <c r="P695">
        <f t="shared" si="75"/>
        <v>310</v>
      </c>
      <c r="Q695" t="e">
        <f t="shared" si="76"/>
        <v>#N/A</v>
      </c>
      <c r="U695">
        <f>C695/Navio!$J$4</f>
        <v>15.154956649938939</v>
      </c>
    </row>
    <row r="696" spans="1:21" x14ac:dyDescent="0.3">
      <c r="A696">
        <v>694</v>
      </c>
      <c r="B696" s="6">
        <v>882.46644370820184</v>
      </c>
      <c r="C696" s="46">
        <v>281.39197871536862</v>
      </c>
      <c r="D696" s="1">
        <v>13</v>
      </c>
      <c r="E696" s="1">
        <v>17</v>
      </c>
      <c r="F696" s="1">
        <v>15</v>
      </c>
      <c r="G696" s="1">
        <v>12</v>
      </c>
      <c r="H696" s="1">
        <v>7</v>
      </c>
      <c r="I696" s="1" t="s">
        <v>50</v>
      </c>
      <c r="J696" s="1" t="s">
        <v>50</v>
      </c>
      <c r="K696" s="1" t="s">
        <v>50</v>
      </c>
      <c r="L696">
        <f t="shared" si="72"/>
        <v>185.56448544286178</v>
      </c>
      <c r="M696">
        <f t="shared" si="71"/>
        <v>304.39567777634272</v>
      </c>
      <c r="N696">
        <f t="shared" si="73"/>
        <v>210.14742667389368</v>
      </c>
      <c r="O696">
        <f t="shared" si="74"/>
        <v>82.076561445310972</v>
      </c>
      <c r="P696">
        <f t="shared" si="75"/>
        <v>310</v>
      </c>
      <c r="Q696" t="e">
        <f t="shared" si="76"/>
        <v>#N/A</v>
      </c>
      <c r="U696">
        <f>C696/Navio!$J$4</f>
        <v>15.193964461058314</v>
      </c>
    </row>
    <row r="697" spans="1:21" x14ac:dyDescent="0.3">
      <c r="A697">
        <v>695</v>
      </c>
      <c r="B697" s="6">
        <v>729.97501217339982</v>
      </c>
      <c r="C697" s="46">
        <v>285.31614216837784</v>
      </c>
      <c r="D697" s="1">
        <v>13</v>
      </c>
      <c r="E697" s="1">
        <v>17</v>
      </c>
      <c r="F697" s="1">
        <v>16</v>
      </c>
      <c r="G697" s="1">
        <v>12</v>
      </c>
      <c r="H697" s="1">
        <v>7</v>
      </c>
      <c r="I697" s="1" t="s">
        <v>50</v>
      </c>
      <c r="J697" s="1" t="s">
        <v>50</v>
      </c>
      <c r="K697" s="1" t="s">
        <v>50</v>
      </c>
      <c r="L697">
        <f t="shared" si="72"/>
        <v>185.56448544286178</v>
      </c>
      <c r="M697">
        <f t="shared" si="71"/>
        <v>304.39567777634272</v>
      </c>
      <c r="N697">
        <f t="shared" si="73"/>
        <v>172.96798541727486</v>
      </c>
      <c r="O697">
        <f t="shared" si="74"/>
        <v>82.076561445310972</v>
      </c>
      <c r="P697">
        <f t="shared" si="75"/>
        <v>310</v>
      </c>
      <c r="Q697" t="e">
        <f t="shared" si="76"/>
        <v>#N/A</v>
      </c>
      <c r="U697">
        <f>C697/Navio!$J$4</f>
        <v>15.405852519547416</v>
      </c>
    </row>
    <row r="698" spans="1:21" x14ac:dyDescent="0.3">
      <c r="A698">
        <v>696</v>
      </c>
      <c r="B698" s="6">
        <v>546.35968988428704</v>
      </c>
      <c r="C698" s="46">
        <v>281.05207971918622</v>
      </c>
      <c r="D698" s="1">
        <v>14</v>
      </c>
      <c r="E698" s="1">
        <v>16</v>
      </c>
      <c r="F698" s="1">
        <v>15</v>
      </c>
      <c r="G698" s="1">
        <v>12</v>
      </c>
      <c r="H698" s="1">
        <v>7</v>
      </c>
      <c r="I698" s="1" t="s">
        <v>50</v>
      </c>
      <c r="J698" s="1" t="s">
        <v>50</v>
      </c>
      <c r="K698" s="1" t="s">
        <v>50</v>
      </c>
      <c r="L698">
        <f t="shared" si="72"/>
        <v>96.197414256198073</v>
      </c>
      <c r="M698">
        <f t="shared" si="71"/>
        <v>172.96798541727486</v>
      </c>
      <c r="N698">
        <f t="shared" si="73"/>
        <v>210.14742667389368</v>
      </c>
      <c r="O698">
        <f t="shared" si="74"/>
        <v>82.076561445310972</v>
      </c>
      <c r="P698">
        <f t="shared" si="75"/>
        <v>310</v>
      </c>
      <c r="Q698" t="e">
        <f t="shared" si="76"/>
        <v>#N/A</v>
      </c>
      <c r="U698">
        <f>C698/Navio!$J$4</f>
        <v>15.175611367654865</v>
      </c>
    </row>
    <row r="699" spans="1:21" x14ac:dyDescent="0.3">
      <c r="A699">
        <v>697</v>
      </c>
      <c r="B699" s="6">
        <v>793.09937252153816</v>
      </c>
      <c r="C699" s="46">
        <v>287.74831471329225</v>
      </c>
      <c r="D699" s="1">
        <v>14</v>
      </c>
      <c r="E699" s="1">
        <v>15</v>
      </c>
      <c r="F699" s="1">
        <v>17</v>
      </c>
      <c r="G699" s="1">
        <v>12</v>
      </c>
      <c r="H699" s="1">
        <v>7</v>
      </c>
      <c r="I699" s="1" t="s">
        <v>50</v>
      </c>
      <c r="J699" s="1" t="s">
        <v>50</v>
      </c>
      <c r="K699" s="1" t="s">
        <v>50</v>
      </c>
      <c r="L699">
        <f t="shared" si="72"/>
        <v>96.197414256198073</v>
      </c>
      <c r="M699">
        <f t="shared" si="71"/>
        <v>210.14742667389368</v>
      </c>
      <c r="N699">
        <f t="shared" si="73"/>
        <v>304.39567777634272</v>
      </c>
      <c r="O699">
        <f t="shared" si="74"/>
        <v>82.076561445310972</v>
      </c>
      <c r="P699">
        <f t="shared" si="75"/>
        <v>310</v>
      </c>
      <c r="Q699" t="e">
        <f t="shared" si="76"/>
        <v>#N/A</v>
      </c>
      <c r="U699">
        <f>C699/Navio!$J$4</f>
        <v>15.537179444285277</v>
      </c>
    </row>
    <row r="700" spans="1:21" x14ac:dyDescent="0.3">
      <c r="A700">
        <v>698</v>
      </c>
      <c r="B700" s="6">
        <v>640.60794098673603</v>
      </c>
      <c r="C700" s="46">
        <v>289.80294348482414</v>
      </c>
      <c r="D700" s="1">
        <v>14</v>
      </c>
      <c r="E700" s="1">
        <v>16</v>
      </c>
      <c r="F700" s="1">
        <v>17</v>
      </c>
      <c r="G700" s="1">
        <v>12</v>
      </c>
      <c r="H700" s="1">
        <v>7</v>
      </c>
      <c r="I700" s="1" t="s">
        <v>50</v>
      </c>
      <c r="J700" s="1" t="s">
        <v>50</v>
      </c>
      <c r="K700" s="1" t="s">
        <v>50</v>
      </c>
      <c r="L700">
        <f t="shared" si="72"/>
        <v>96.197414256198073</v>
      </c>
      <c r="M700">
        <f t="shared" si="71"/>
        <v>172.96798541727486</v>
      </c>
      <c r="N700">
        <f t="shared" si="73"/>
        <v>304.39567777634272</v>
      </c>
      <c r="O700">
        <f t="shared" si="74"/>
        <v>82.076561445310972</v>
      </c>
      <c r="P700">
        <f t="shared" si="75"/>
        <v>310</v>
      </c>
      <c r="Q700" t="e">
        <f t="shared" si="76"/>
        <v>#N/A</v>
      </c>
      <c r="U700">
        <f>C700/Navio!$J$4</f>
        <v>15.648120618507237</v>
      </c>
    </row>
    <row r="701" spans="1:21" x14ac:dyDescent="0.3">
      <c r="A701">
        <v>699</v>
      </c>
      <c r="B701" s="6">
        <v>754.55795340443171</v>
      </c>
      <c r="C701" s="46">
        <v>284.98072829166506</v>
      </c>
      <c r="D701" s="1">
        <v>17</v>
      </c>
      <c r="E701" s="1">
        <v>16</v>
      </c>
      <c r="F701" s="1">
        <v>15</v>
      </c>
      <c r="G701" s="1">
        <v>12</v>
      </c>
      <c r="H701" s="1">
        <v>7</v>
      </c>
      <c r="I701" s="1" t="s">
        <v>50</v>
      </c>
      <c r="J701" s="1" t="s">
        <v>50</v>
      </c>
      <c r="K701" s="1" t="s">
        <v>50</v>
      </c>
      <c r="L701">
        <f t="shared" si="72"/>
        <v>304.39567777634272</v>
      </c>
      <c r="M701">
        <f t="shared" si="71"/>
        <v>172.96798541727486</v>
      </c>
      <c r="N701">
        <f t="shared" si="73"/>
        <v>210.14742667389368</v>
      </c>
      <c r="O701">
        <f t="shared" si="74"/>
        <v>82.076561445310972</v>
      </c>
      <c r="P701">
        <f t="shared" si="75"/>
        <v>310</v>
      </c>
      <c r="Q701" t="e">
        <f t="shared" si="76"/>
        <v>#N/A</v>
      </c>
      <c r="U701">
        <f>C701/Navio!$J$4</f>
        <v>15.387741603430383</v>
      </c>
    </row>
    <row r="702" spans="1:21" x14ac:dyDescent="0.3">
      <c r="A702">
        <v>700</v>
      </c>
      <c r="B702" s="6">
        <v>704.5653215120451</v>
      </c>
      <c r="C702" s="46">
        <v>286.32866474876198</v>
      </c>
      <c r="D702" s="1">
        <v>13</v>
      </c>
      <c r="E702" s="1">
        <v>15</v>
      </c>
      <c r="F702" s="1">
        <v>16</v>
      </c>
      <c r="G702" s="1">
        <v>14</v>
      </c>
      <c r="H702" s="1">
        <v>7</v>
      </c>
      <c r="I702" s="1" t="s">
        <v>50</v>
      </c>
      <c r="J702" s="1" t="s">
        <v>50</v>
      </c>
      <c r="K702" s="1" t="s">
        <v>50</v>
      </c>
      <c r="L702">
        <f t="shared" si="72"/>
        <v>185.56448544286178</v>
      </c>
      <c r="M702">
        <f t="shared" si="71"/>
        <v>210.14742667389368</v>
      </c>
      <c r="N702">
        <f t="shared" si="73"/>
        <v>172.96798541727486</v>
      </c>
      <c r="O702">
        <f t="shared" si="74"/>
        <v>96.197414256198073</v>
      </c>
      <c r="P702">
        <f t="shared" si="75"/>
        <v>310</v>
      </c>
      <c r="Q702" t="e">
        <f t="shared" si="76"/>
        <v>#N/A</v>
      </c>
      <c r="U702">
        <f>C702/Navio!$J$4</f>
        <v>15.460524412373248</v>
      </c>
    </row>
    <row r="703" spans="1:21" x14ac:dyDescent="0.3">
      <c r="A703">
        <v>701</v>
      </c>
      <c r="B703" s="6">
        <v>798.81357261449421</v>
      </c>
      <c r="C703" s="46">
        <v>289.45017516507073</v>
      </c>
      <c r="D703" s="1">
        <v>13</v>
      </c>
      <c r="E703" s="1">
        <v>17</v>
      </c>
      <c r="F703" s="1">
        <v>16</v>
      </c>
      <c r="G703" s="1">
        <v>14</v>
      </c>
      <c r="H703" s="1">
        <v>7</v>
      </c>
      <c r="I703" s="1" t="s">
        <v>50</v>
      </c>
      <c r="J703" s="1" t="s">
        <v>50</v>
      </c>
      <c r="K703" s="1" t="s">
        <v>50</v>
      </c>
      <c r="L703">
        <f t="shared" si="72"/>
        <v>185.56448544286178</v>
      </c>
      <c r="M703">
        <f t="shared" si="71"/>
        <v>304.39567777634272</v>
      </c>
      <c r="N703">
        <f t="shared" si="73"/>
        <v>172.96798541727486</v>
      </c>
      <c r="O703">
        <f t="shared" si="74"/>
        <v>96.197414256198073</v>
      </c>
      <c r="P703">
        <f t="shared" si="75"/>
        <v>310</v>
      </c>
      <c r="Q703" t="e">
        <f t="shared" si="76"/>
        <v>#N/A</v>
      </c>
      <c r="U703">
        <f>C703/Navio!$J$4</f>
        <v>15.629072636621647</v>
      </c>
    </row>
    <row r="704" spans="1:21" x14ac:dyDescent="0.3">
      <c r="A704">
        <v>702</v>
      </c>
      <c r="B704" s="6">
        <v>823.3965138455261</v>
      </c>
      <c r="C704" s="46">
        <v>290.98429596983522</v>
      </c>
      <c r="D704" s="1">
        <v>17</v>
      </c>
      <c r="E704" s="1">
        <v>16</v>
      </c>
      <c r="F704" s="1">
        <v>15</v>
      </c>
      <c r="G704" s="1">
        <v>14</v>
      </c>
      <c r="H704" s="1">
        <v>7</v>
      </c>
      <c r="I704" s="1" t="s">
        <v>50</v>
      </c>
      <c r="J704" s="1" t="s">
        <v>50</v>
      </c>
      <c r="K704" s="1" t="s">
        <v>50</v>
      </c>
      <c r="L704">
        <f t="shared" si="72"/>
        <v>304.39567777634272</v>
      </c>
      <c r="M704">
        <f t="shared" si="71"/>
        <v>172.96798541727486</v>
      </c>
      <c r="N704">
        <f t="shared" si="73"/>
        <v>210.14742667389368</v>
      </c>
      <c r="O704">
        <f t="shared" si="74"/>
        <v>96.197414256198073</v>
      </c>
      <c r="P704">
        <f t="shared" si="75"/>
        <v>310</v>
      </c>
      <c r="Q704" t="e">
        <f t="shared" si="76"/>
        <v>#N/A</v>
      </c>
      <c r="U704">
        <f>C704/Navio!$J$4</f>
        <v>15.711908604771754</v>
      </c>
    </row>
    <row r="705" spans="1:21" x14ac:dyDescent="0.3">
      <c r="A705">
        <v>703</v>
      </c>
      <c r="B705" s="6">
        <v>813.29073454117156</v>
      </c>
      <c r="C705" s="46">
        <v>256.51648937165851</v>
      </c>
      <c r="D705" s="1">
        <v>9</v>
      </c>
      <c r="E705" s="1">
        <v>10</v>
      </c>
      <c r="F705" s="1">
        <v>13</v>
      </c>
      <c r="G705" s="1">
        <v>12</v>
      </c>
      <c r="H705" s="1">
        <v>8</v>
      </c>
      <c r="I705" s="1" t="s">
        <v>50</v>
      </c>
      <c r="J705" s="1" t="s">
        <v>50</v>
      </c>
      <c r="K705" s="1" t="s">
        <v>50</v>
      </c>
      <c r="L705">
        <f t="shared" si="72"/>
        <v>310</v>
      </c>
      <c r="M705">
        <f t="shared" si="71"/>
        <v>290.36739528320618</v>
      </c>
      <c r="N705">
        <f t="shared" si="73"/>
        <v>185.56448544286178</v>
      </c>
      <c r="O705">
        <f t="shared" si="74"/>
        <v>82.076561445310972</v>
      </c>
      <c r="P705">
        <f t="shared" si="75"/>
        <v>310</v>
      </c>
      <c r="Q705" t="e">
        <f t="shared" si="76"/>
        <v>#N/A</v>
      </c>
      <c r="U705">
        <f>C705/Navio!$J$4</f>
        <v>13.85079432960949</v>
      </c>
    </row>
    <row r="706" spans="1:21" x14ac:dyDescent="0.3">
      <c r="A706">
        <v>704</v>
      </c>
      <c r="B706" s="6">
        <v>723.92366335450788</v>
      </c>
      <c r="C706" s="46">
        <v>271.99336224931074</v>
      </c>
      <c r="D706" s="1">
        <v>9</v>
      </c>
      <c r="E706" s="1">
        <v>10</v>
      </c>
      <c r="F706" s="1">
        <v>12</v>
      </c>
      <c r="G706" s="1">
        <v>14</v>
      </c>
      <c r="H706" s="1">
        <v>8</v>
      </c>
      <c r="I706" s="1" t="s">
        <v>50</v>
      </c>
      <c r="J706" s="1" t="s">
        <v>50</v>
      </c>
      <c r="K706" s="1" t="s">
        <v>50</v>
      </c>
      <c r="L706">
        <f t="shared" si="72"/>
        <v>310</v>
      </c>
      <c r="M706">
        <f t="shared" si="71"/>
        <v>290.36739528320618</v>
      </c>
      <c r="N706">
        <f t="shared" si="73"/>
        <v>82.076561445310972</v>
      </c>
      <c r="O706">
        <f t="shared" si="74"/>
        <v>96.197414256198073</v>
      </c>
      <c r="P706">
        <f t="shared" si="75"/>
        <v>310</v>
      </c>
      <c r="Q706" t="e">
        <f t="shared" si="76"/>
        <v>#N/A</v>
      </c>
      <c r="U706">
        <f>C706/Navio!$J$4</f>
        <v>14.686479332234343</v>
      </c>
    </row>
    <row r="707" spans="1:21" x14ac:dyDescent="0.3">
      <c r="A707">
        <v>705</v>
      </c>
      <c r="B707" s="6">
        <v>837.87367577220357</v>
      </c>
      <c r="C707" s="46">
        <v>273.04306638708158</v>
      </c>
      <c r="D707" s="1">
        <v>9</v>
      </c>
      <c r="E707" s="1">
        <v>10</v>
      </c>
      <c r="F707" s="1">
        <v>15</v>
      </c>
      <c r="G707" s="1">
        <v>12</v>
      </c>
      <c r="H707" s="1">
        <v>8</v>
      </c>
      <c r="I707" s="1" t="s">
        <v>50</v>
      </c>
      <c r="J707" s="1" t="s">
        <v>50</v>
      </c>
      <c r="K707" s="1" t="s">
        <v>50</v>
      </c>
      <c r="L707">
        <f t="shared" si="72"/>
        <v>310</v>
      </c>
      <c r="M707">
        <f t="shared" ref="M707:M770" si="77">VLOOKUP(E707,$Y$2:$Z$80,2)</f>
        <v>290.36739528320618</v>
      </c>
      <c r="N707">
        <f t="shared" si="73"/>
        <v>210.14742667389368</v>
      </c>
      <c r="O707">
        <f t="shared" si="74"/>
        <v>82.076561445310972</v>
      </c>
      <c r="P707">
        <f t="shared" si="75"/>
        <v>310</v>
      </c>
      <c r="Q707" t="e">
        <f t="shared" si="76"/>
        <v>#N/A</v>
      </c>
      <c r="U707">
        <f>C707/Navio!$J$4</f>
        <v>14.743158870282047</v>
      </c>
    </row>
    <row r="708" spans="1:21" x14ac:dyDescent="0.3">
      <c r="A708">
        <v>706</v>
      </c>
      <c r="B708" s="6">
        <v>685.38224423740144</v>
      </c>
      <c r="C708" s="46">
        <v>284.35245640152425</v>
      </c>
      <c r="D708" s="1">
        <v>9</v>
      </c>
      <c r="E708" s="1">
        <v>10</v>
      </c>
      <c r="F708" s="1">
        <v>16</v>
      </c>
      <c r="G708" s="1">
        <v>12</v>
      </c>
      <c r="H708" s="1">
        <v>8</v>
      </c>
      <c r="I708" s="1" t="s">
        <v>50</v>
      </c>
      <c r="J708" s="1" t="s">
        <v>50</v>
      </c>
      <c r="K708" s="1" t="s">
        <v>50</v>
      </c>
      <c r="L708">
        <f t="shared" si="72"/>
        <v>310</v>
      </c>
      <c r="M708">
        <f t="shared" si="77"/>
        <v>290.36739528320618</v>
      </c>
      <c r="N708">
        <f t="shared" si="73"/>
        <v>172.96798541727486</v>
      </c>
      <c r="O708">
        <f t="shared" si="74"/>
        <v>82.076561445310972</v>
      </c>
      <c r="P708">
        <f t="shared" si="75"/>
        <v>310</v>
      </c>
      <c r="Q708" t="e">
        <f t="shared" si="76"/>
        <v>#N/A</v>
      </c>
      <c r="U708">
        <f>C708/Navio!$J$4</f>
        <v>15.353817605972242</v>
      </c>
    </row>
    <row r="709" spans="1:21" x14ac:dyDescent="0.3">
      <c r="A709">
        <v>707</v>
      </c>
      <c r="B709" s="6">
        <v>882.12929498226606</v>
      </c>
      <c r="C709" s="46">
        <v>275.76976248658139</v>
      </c>
      <c r="D709" s="1">
        <v>9</v>
      </c>
      <c r="E709" s="1">
        <v>10</v>
      </c>
      <c r="F709" s="1">
        <v>13</v>
      </c>
      <c r="G709" s="1">
        <v>14</v>
      </c>
      <c r="H709" s="1">
        <v>8</v>
      </c>
      <c r="I709" s="1" t="s">
        <v>50</v>
      </c>
      <c r="J709" s="1" t="s">
        <v>50</v>
      </c>
      <c r="K709" s="1" t="s">
        <v>50</v>
      </c>
      <c r="L709">
        <f t="shared" si="72"/>
        <v>310</v>
      </c>
      <c r="M709">
        <f t="shared" si="77"/>
        <v>290.36739528320618</v>
      </c>
      <c r="N709">
        <f t="shared" si="73"/>
        <v>185.56448544286178</v>
      </c>
      <c r="O709">
        <f t="shared" si="74"/>
        <v>96.197414256198073</v>
      </c>
      <c r="P709">
        <f t="shared" si="75"/>
        <v>310</v>
      </c>
      <c r="Q709" t="e">
        <f t="shared" si="76"/>
        <v>#N/A</v>
      </c>
      <c r="U709">
        <f>C709/Navio!$J$4</f>
        <v>14.890388808466648</v>
      </c>
    </row>
    <row r="710" spans="1:21" x14ac:dyDescent="0.3">
      <c r="A710">
        <v>708</v>
      </c>
      <c r="B710" s="6">
        <v>843.58787586515962</v>
      </c>
      <c r="C710" s="46">
        <v>284.31238841032894</v>
      </c>
      <c r="D710" s="1">
        <v>9</v>
      </c>
      <c r="E710" s="1">
        <v>10</v>
      </c>
      <c r="F710" s="1">
        <v>13</v>
      </c>
      <c r="G710" s="1">
        <v>16</v>
      </c>
      <c r="H710" s="1">
        <v>8</v>
      </c>
      <c r="I710" s="1" t="s">
        <v>50</v>
      </c>
      <c r="J710" s="1" t="s">
        <v>50</v>
      </c>
      <c r="K710" s="1" t="s">
        <v>50</v>
      </c>
      <c r="L710">
        <f t="shared" si="72"/>
        <v>310</v>
      </c>
      <c r="M710">
        <f t="shared" si="77"/>
        <v>290.36739528320618</v>
      </c>
      <c r="N710">
        <f t="shared" si="73"/>
        <v>185.56448544286178</v>
      </c>
      <c r="O710">
        <f t="shared" si="74"/>
        <v>172.96798541727486</v>
      </c>
      <c r="P710">
        <f t="shared" si="75"/>
        <v>310</v>
      </c>
      <c r="Q710" t="e">
        <f t="shared" si="76"/>
        <v>#N/A</v>
      </c>
      <c r="U710">
        <f>C710/Navio!$J$4</f>
        <v>15.351654105658456</v>
      </c>
    </row>
    <row r="711" spans="1:21" x14ac:dyDescent="0.3">
      <c r="A711">
        <v>709</v>
      </c>
      <c r="B711" s="6">
        <v>754.22080467849582</v>
      </c>
      <c r="C711" s="46">
        <v>289.37967443548951</v>
      </c>
      <c r="D711" s="1">
        <v>9</v>
      </c>
      <c r="E711" s="1">
        <v>10</v>
      </c>
      <c r="F711" s="1">
        <v>16</v>
      </c>
      <c r="G711" s="1">
        <v>14</v>
      </c>
      <c r="H711" s="1">
        <v>8</v>
      </c>
      <c r="I711" s="1" t="s">
        <v>50</v>
      </c>
      <c r="J711" s="1" t="s">
        <v>50</v>
      </c>
      <c r="K711" s="1" t="s">
        <v>50</v>
      </c>
      <c r="L711">
        <f t="shared" si="72"/>
        <v>310</v>
      </c>
      <c r="M711">
        <f t="shared" si="77"/>
        <v>290.36739528320618</v>
      </c>
      <c r="N711">
        <f t="shared" si="73"/>
        <v>172.96798541727486</v>
      </c>
      <c r="O711">
        <f t="shared" si="74"/>
        <v>96.197414256198073</v>
      </c>
      <c r="P711">
        <f t="shared" si="75"/>
        <v>310</v>
      </c>
      <c r="Q711" t="e">
        <f t="shared" si="76"/>
        <v>#N/A</v>
      </c>
      <c r="U711">
        <f>C711/Navio!$J$4</f>
        <v>15.625265898474291</v>
      </c>
    </row>
    <row r="712" spans="1:21" x14ac:dyDescent="0.3">
      <c r="A712">
        <v>710</v>
      </c>
      <c r="B712" s="6">
        <v>868.17081709619151</v>
      </c>
      <c r="C712" s="46">
        <v>284.28716894180036</v>
      </c>
      <c r="D712" s="1">
        <v>9</v>
      </c>
      <c r="E712" s="1">
        <v>10</v>
      </c>
      <c r="F712" s="1">
        <v>16</v>
      </c>
      <c r="G712" s="1">
        <v>15</v>
      </c>
      <c r="H712" s="1">
        <v>8</v>
      </c>
      <c r="I712" s="1" t="s">
        <v>50</v>
      </c>
      <c r="J712" s="1" t="s">
        <v>50</v>
      </c>
      <c r="K712" s="1" t="s">
        <v>50</v>
      </c>
      <c r="L712">
        <f t="shared" si="72"/>
        <v>310</v>
      </c>
      <c r="M712">
        <f t="shared" si="77"/>
        <v>290.36739528320618</v>
      </c>
      <c r="N712">
        <f t="shared" si="73"/>
        <v>172.96798541727486</v>
      </c>
      <c r="O712">
        <f t="shared" si="74"/>
        <v>210.14742667389368</v>
      </c>
      <c r="P712">
        <f t="shared" si="75"/>
        <v>310</v>
      </c>
      <c r="Q712" t="e">
        <f t="shared" si="76"/>
        <v>#N/A</v>
      </c>
      <c r="U712">
        <f>C712/Navio!$J$4</f>
        <v>15.35029236212085</v>
      </c>
    </row>
    <row r="713" spans="1:21" x14ac:dyDescent="0.3">
      <c r="A713">
        <v>711</v>
      </c>
      <c r="B713" s="6">
        <v>801.91592243833918</v>
      </c>
      <c r="C713" s="46">
        <v>254.31685304686289</v>
      </c>
      <c r="D713" s="1">
        <v>9</v>
      </c>
      <c r="E713" s="1">
        <v>11</v>
      </c>
      <c r="F713" s="1">
        <v>13</v>
      </c>
      <c r="G713" s="1">
        <v>12</v>
      </c>
      <c r="H713" s="1">
        <v>8</v>
      </c>
      <c r="I713" s="1" t="s">
        <v>50</v>
      </c>
      <c r="J713" s="1" t="s">
        <v>50</v>
      </c>
      <c r="K713" s="1" t="s">
        <v>50</v>
      </c>
      <c r="L713">
        <f t="shared" si="72"/>
        <v>310</v>
      </c>
      <c r="M713">
        <f t="shared" si="77"/>
        <v>278.99258318037374</v>
      </c>
      <c r="N713">
        <f t="shared" si="73"/>
        <v>185.56448544286178</v>
      </c>
      <c r="O713">
        <f t="shared" si="74"/>
        <v>82.076561445310972</v>
      </c>
      <c r="P713">
        <f t="shared" si="75"/>
        <v>310</v>
      </c>
      <c r="Q713" t="e">
        <f t="shared" si="76"/>
        <v>#N/A</v>
      </c>
      <c r="U713">
        <f>C713/Navio!$J$4</f>
        <v>13.732023367129415</v>
      </c>
    </row>
    <row r="714" spans="1:21" x14ac:dyDescent="0.3">
      <c r="A714">
        <v>712</v>
      </c>
      <c r="B714" s="6">
        <v>712.5488512516755</v>
      </c>
      <c r="C714" s="46">
        <v>270.62655850393566</v>
      </c>
      <c r="D714" s="1">
        <v>9</v>
      </c>
      <c r="E714" s="1">
        <v>11</v>
      </c>
      <c r="F714" s="1">
        <v>12</v>
      </c>
      <c r="G714" s="1">
        <v>14</v>
      </c>
      <c r="H714" s="1">
        <v>8</v>
      </c>
      <c r="I714" s="1" t="s">
        <v>50</v>
      </c>
      <c r="J714" s="1" t="s">
        <v>50</v>
      </c>
      <c r="K714" s="1" t="s">
        <v>50</v>
      </c>
      <c r="L714">
        <f t="shared" si="72"/>
        <v>310</v>
      </c>
      <c r="M714">
        <f t="shared" si="77"/>
        <v>278.99258318037374</v>
      </c>
      <c r="N714">
        <f t="shared" si="73"/>
        <v>82.076561445310972</v>
      </c>
      <c r="O714">
        <f t="shared" si="74"/>
        <v>96.197414256198073</v>
      </c>
      <c r="P714">
        <f t="shared" si="75"/>
        <v>310</v>
      </c>
      <c r="Q714" t="e">
        <f t="shared" si="76"/>
        <v>#N/A</v>
      </c>
      <c r="U714">
        <f>C714/Navio!$J$4</f>
        <v>14.61267777034449</v>
      </c>
    </row>
    <row r="715" spans="1:21" x14ac:dyDescent="0.3">
      <c r="A715">
        <v>713</v>
      </c>
      <c r="B715" s="6">
        <v>826.49886366937108</v>
      </c>
      <c r="C715" s="46">
        <v>270.61403244181599</v>
      </c>
      <c r="D715" s="1">
        <v>9</v>
      </c>
      <c r="E715" s="1">
        <v>11</v>
      </c>
      <c r="F715" s="1">
        <v>15</v>
      </c>
      <c r="G715" s="1">
        <v>12</v>
      </c>
      <c r="H715" s="1">
        <v>8</v>
      </c>
      <c r="I715" s="1" t="s">
        <v>50</v>
      </c>
      <c r="J715" s="1" t="s">
        <v>50</v>
      </c>
      <c r="K715" s="1" t="s">
        <v>50</v>
      </c>
      <c r="L715">
        <f t="shared" si="72"/>
        <v>310</v>
      </c>
      <c r="M715">
        <f t="shared" si="77"/>
        <v>278.99258318037374</v>
      </c>
      <c r="N715">
        <f t="shared" si="73"/>
        <v>210.14742667389368</v>
      </c>
      <c r="O715">
        <f t="shared" si="74"/>
        <v>82.076561445310972</v>
      </c>
      <c r="P715">
        <f t="shared" si="75"/>
        <v>310</v>
      </c>
      <c r="Q715" t="e">
        <f t="shared" si="76"/>
        <v>#N/A</v>
      </c>
      <c r="U715">
        <f>C715/Navio!$J$4</f>
        <v>14.612001416513966</v>
      </c>
    </row>
    <row r="716" spans="1:21" x14ac:dyDescent="0.3">
      <c r="A716">
        <v>714</v>
      </c>
      <c r="B716" s="6">
        <v>674.00743213456906</v>
      </c>
      <c r="C716" s="46">
        <v>281.99640658579938</v>
      </c>
      <c r="D716" s="1">
        <v>9</v>
      </c>
      <c r="E716" s="1">
        <v>11</v>
      </c>
      <c r="F716" s="1">
        <v>16</v>
      </c>
      <c r="G716" s="1">
        <v>12</v>
      </c>
      <c r="H716" s="1">
        <v>8</v>
      </c>
      <c r="I716" s="1" t="s">
        <v>50</v>
      </c>
      <c r="J716" s="1" t="s">
        <v>50</v>
      </c>
      <c r="K716" s="1" t="s">
        <v>50</v>
      </c>
      <c r="L716">
        <f t="shared" si="72"/>
        <v>310</v>
      </c>
      <c r="M716">
        <f t="shared" si="77"/>
        <v>278.99258318037374</v>
      </c>
      <c r="N716">
        <f t="shared" si="73"/>
        <v>172.96798541727486</v>
      </c>
      <c r="O716">
        <f t="shared" si="74"/>
        <v>82.076561445310972</v>
      </c>
      <c r="P716">
        <f t="shared" si="75"/>
        <v>310</v>
      </c>
      <c r="Q716" t="e">
        <f t="shared" si="76"/>
        <v>#N/A</v>
      </c>
      <c r="U716">
        <f>C716/Navio!$J$4</f>
        <v>15.226600983337748</v>
      </c>
    </row>
    <row r="717" spans="1:21" x14ac:dyDescent="0.3">
      <c r="A717">
        <v>715</v>
      </c>
      <c r="B717" s="6">
        <v>870.75448287943357</v>
      </c>
      <c r="C717" s="46">
        <v>273.57012616178577</v>
      </c>
      <c r="D717" s="1">
        <v>9</v>
      </c>
      <c r="E717" s="1">
        <v>11</v>
      </c>
      <c r="F717" s="1">
        <v>13</v>
      </c>
      <c r="G717" s="1">
        <v>14</v>
      </c>
      <c r="H717" s="1">
        <v>8</v>
      </c>
      <c r="I717" s="1" t="s">
        <v>50</v>
      </c>
      <c r="J717" s="1" t="s">
        <v>50</v>
      </c>
      <c r="K717" s="1" t="s">
        <v>50</v>
      </c>
      <c r="L717">
        <f t="shared" ref="L717:L780" si="78">VLOOKUP(D717,$Y$2:$Z$80,2)</f>
        <v>310</v>
      </c>
      <c r="M717">
        <f t="shared" si="77"/>
        <v>278.99258318037374</v>
      </c>
      <c r="N717">
        <f t="shared" ref="N717:N780" si="79">VLOOKUP(F717,$Y$2:$Z$80,2)</f>
        <v>185.56448544286178</v>
      </c>
      <c r="O717">
        <f t="shared" ref="O717:O780" si="80">VLOOKUP(G717,$Y$2:$Z$80,2)</f>
        <v>96.197414256198073</v>
      </c>
      <c r="P717">
        <f t="shared" ref="P717:P780" si="81">VLOOKUP(H717,$Y$2:$Z$80,2)</f>
        <v>310</v>
      </c>
      <c r="Q717" t="e">
        <f t="shared" ref="Q717:Q780" si="82">VLOOKUP(I717,$Y$2:$Z$80,2)</f>
        <v>#N/A</v>
      </c>
      <c r="U717">
        <f>C717/Navio!$J$4</f>
        <v>14.771617845986571</v>
      </c>
    </row>
    <row r="718" spans="1:21" x14ac:dyDescent="0.3">
      <c r="A718">
        <v>716</v>
      </c>
      <c r="B718" s="6">
        <v>832.21306376232712</v>
      </c>
      <c r="C718" s="46">
        <v>282.11275208553332</v>
      </c>
      <c r="D718" s="1">
        <v>9</v>
      </c>
      <c r="E718" s="1">
        <v>11</v>
      </c>
      <c r="F718" s="1">
        <v>13</v>
      </c>
      <c r="G718" s="1">
        <v>16</v>
      </c>
      <c r="H718" s="1">
        <v>8</v>
      </c>
      <c r="I718" s="1" t="s">
        <v>50</v>
      </c>
      <c r="J718" s="1" t="s">
        <v>50</v>
      </c>
      <c r="K718" s="1" t="s">
        <v>50</v>
      </c>
      <c r="L718">
        <f t="shared" si="78"/>
        <v>310</v>
      </c>
      <c r="M718">
        <f t="shared" si="77"/>
        <v>278.99258318037374</v>
      </c>
      <c r="N718">
        <f t="shared" si="79"/>
        <v>185.56448544286178</v>
      </c>
      <c r="O718">
        <f t="shared" si="80"/>
        <v>172.96798541727486</v>
      </c>
      <c r="P718">
        <f t="shared" si="81"/>
        <v>310</v>
      </c>
      <c r="Q718" t="e">
        <f t="shared" si="82"/>
        <v>#N/A</v>
      </c>
      <c r="U718">
        <f>C718/Navio!$J$4</f>
        <v>15.23288314317838</v>
      </c>
    </row>
    <row r="719" spans="1:21" x14ac:dyDescent="0.3">
      <c r="A719">
        <v>717</v>
      </c>
      <c r="B719" s="6">
        <v>895.33742411046546</v>
      </c>
      <c r="C719" s="46">
        <v>277.51078515725851</v>
      </c>
      <c r="D719" s="1">
        <v>9</v>
      </c>
      <c r="E719" s="1">
        <v>11</v>
      </c>
      <c r="F719" s="1">
        <v>15</v>
      </c>
      <c r="G719" s="1">
        <v>14</v>
      </c>
      <c r="H719" s="1">
        <v>8</v>
      </c>
      <c r="I719" s="1" t="s">
        <v>50</v>
      </c>
      <c r="J719" s="1" t="s">
        <v>50</v>
      </c>
      <c r="K719" s="1" t="s">
        <v>50</v>
      </c>
      <c r="L719">
        <f t="shared" si="78"/>
        <v>310</v>
      </c>
      <c r="M719">
        <f t="shared" si="77"/>
        <v>278.99258318037374</v>
      </c>
      <c r="N719">
        <f t="shared" si="79"/>
        <v>210.14742667389368</v>
      </c>
      <c r="O719">
        <f t="shared" si="80"/>
        <v>96.197414256198073</v>
      </c>
      <c r="P719">
        <f t="shared" si="81"/>
        <v>310</v>
      </c>
      <c r="Q719" t="e">
        <f t="shared" si="82"/>
        <v>#N/A</v>
      </c>
      <c r="U719">
        <f>C719/Navio!$J$4</f>
        <v>14.984396593283153</v>
      </c>
    </row>
    <row r="720" spans="1:21" x14ac:dyDescent="0.3">
      <c r="A720">
        <v>718</v>
      </c>
      <c r="B720" s="6">
        <v>742.84599257566344</v>
      </c>
      <c r="C720" s="46">
        <v>287.02362461976463</v>
      </c>
      <c r="D720" s="1">
        <v>9</v>
      </c>
      <c r="E720" s="1">
        <v>11</v>
      </c>
      <c r="F720" s="1">
        <v>16</v>
      </c>
      <c r="G720" s="1">
        <v>14</v>
      </c>
      <c r="H720" s="1">
        <v>8</v>
      </c>
      <c r="I720" s="1" t="s">
        <v>50</v>
      </c>
      <c r="J720" s="1" t="s">
        <v>50</v>
      </c>
      <c r="K720" s="1" t="s">
        <v>50</v>
      </c>
      <c r="L720">
        <f t="shared" si="78"/>
        <v>310</v>
      </c>
      <c r="M720">
        <f t="shared" si="77"/>
        <v>278.99258318037374</v>
      </c>
      <c r="N720">
        <f t="shared" si="79"/>
        <v>172.96798541727486</v>
      </c>
      <c r="O720">
        <f t="shared" si="80"/>
        <v>96.197414256198073</v>
      </c>
      <c r="P720">
        <f t="shared" si="81"/>
        <v>310</v>
      </c>
      <c r="Q720" t="e">
        <f t="shared" si="82"/>
        <v>#N/A</v>
      </c>
      <c r="U720">
        <f>C720/Navio!$J$4</f>
        <v>15.498049275839797</v>
      </c>
    </row>
    <row r="721" spans="1:21" x14ac:dyDescent="0.3">
      <c r="A721">
        <v>719</v>
      </c>
      <c r="B721" s="6">
        <v>856.79600499335902</v>
      </c>
      <c r="C721" s="46">
        <v>281.93111912607549</v>
      </c>
      <c r="D721" s="1">
        <v>9</v>
      </c>
      <c r="E721" s="1">
        <v>11</v>
      </c>
      <c r="F721" s="1">
        <v>16</v>
      </c>
      <c r="G721" s="1">
        <v>15</v>
      </c>
      <c r="H721" s="1">
        <v>8</v>
      </c>
      <c r="I721" s="1" t="s">
        <v>50</v>
      </c>
      <c r="J721" s="1" t="s">
        <v>50</v>
      </c>
      <c r="K721" s="1" t="s">
        <v>50</v>
      </c>
      <c r="L721">
        <f t="shared" si="78"/>
        <v>310</v>
      </c>
      <c r="M721">
        <f t="shared" si="77"/>
        <v>278.99258318037374</v>
      </c>
      <c r="N721">
        <f t="shared" si="79"/>
        <v>172.96798541727486</v>
      </c>
      <c r="O721">
        <f t="shared" si="80"/>
        <v>210.14742667389368</v>
      </c>
      <c r="P721">
        <f t="shared" si="81"/>
        <v>310</v>
      </c>
      <c r="Q721" t="e">
        <f t="shared" si="82"/>
        <v>#N/A</v>
      </c>
      <c r="U721">
        <f>C721/Navio!$J$4</f>
        <v>15.223075739486356</v>
      </c>
    </row>
    <row r="722" spans="1:21" x14ac:dyDescent="0.3">
      <c r="A722">
        <v>720</v>
      </c>
      <c r="B722" s="6">
        <v>619.12075351416354</v>
      </c>
      <c r="C722" s="46">
        <v>275.00989075690046</v>
      </c>
      <c r="D722" s="1">
        <v>9</v>
      </c>
      <c r="E722" s="1">
        <v>13</v>
      </c>
      <c r="F722" s="1">
        <v>14</v>
      </c>
      <c r="G722" s="1">
        <v>12</v>
      </c>
      <c r="H722" s="1">
        <v>8</v>
      </c>
      <c r="I722" s="1" t="s">
        <v>50</v>
      </c>
      <c r="J722" s="1" t="s">
        <v>50</v>
      </c>
      <c r="K722" s="1" t="s">
        <v>50</v>
      </c>
      <c r="L722">
        <f t="shared" si="78"/>
        <v>310</v>
      </c>
      <c r="M722">
        <f t="shared" si="77"/>
        <v>185.56448544286178</v>
      </c>
      <c r="N722">
        <f t="shared" si="79"/>
        <v>96.197414256198073</v>
      </c>
      <c r="O722">
        <f t="shared" si="80"/>
        <v>82.076561445310972</v>
      </c>
      <c r="P722">
        <f t="shared" si="81"/>
        <v>310</v>
      </c>
      <c r="Q722" t="e">
        <f t="shared" si="82"/>
        <v>#N/A</v>
      </c>
      <c r="U722">
        <f>C722/Navio!$J$4</f>
        <v>14.849358982000224</v>
      </c>
    </row>
    <row r="723" spans="1:21" x14ac:dyDescent="0.3">
      <c r="A723">
        <v>721</v>
      </c>
      <c r="B723" s="6">
        <v>733.07076593185911</v>
      </c>
      <c r="C723" s="46">
        <v>271.25288717216273</v>
      </c>
      <c r="D723" s="1">
        <v>9</v>
      </c>
      <c r="E723" s="1">
        <v>13</v>
      </c>
      <c r="F723" s="1">
        <v>15</v>
      </c>
      <c r="G723" s="1">
        <v>12</v>
      </c>
      <c r="H723" s="1">
        <v>8</v>
      </c>
      <c r="I723" s="1" t="s">
        <v>50</v>
      </c>
      <c r="J723" s="1" t="s">
        <v>50</v>
      </c>
      <c r="K723" s="1" t="s">
        <v>50</v>
      </c>
      <c r="L723">
        <f t="shared" si="78"/>
        <v>310</v>
      </c>
      <c r="M723">
        <f t="shared" si="77"/>
        <v>185.56448544286178</v>
      </c>
      <c r="N723">
        <f t="shared" si="79"/>
        <v>210.14742667389368</v>
      </c>
      <c r="O723">
        <f t="shared" si="80"/>
        <v>82.076561445310972</v>
      </c>
      <c r="P723">
        <f t="shared" si="81"/>
        <v>310</v>
      </c>
      <c r="Q723" t="e">
        <f t="shared" si="82"/>
        <v>#N/A</v>
      </c>
      <c r="U723">
        <f>C723/Navio!$J$4</f>
        <v>14.646496842122689</v>
      </c>
    </row>
    <row r="724" spans="1:21" x14ac:dyDescent="0.3">
      <c r="A724">
        <v>722</v>
      </c>
      <c r="B724" s="6">
        <v>580.5793343970571</v>
      </c>
      <c r="C724" s="46">
        <v>282.07605920644738</v>
      </c>
      <c r="D724" s="1">
        <v>9</v>
      </c>
      <c r="E724" s="1">
        <v>13</v>
      </c>
      <c r="F724" s="1">
        <v>16</v>
      </c>
      <c r="G724" s="1">
        <v>12</v>
      </c>
      <c r="H724" s="1">
        <v>8</v>
      </c>
      <c r="I724" s="1" t="s">
        <v>50</v>
      </c>
      <c r="J724" s="1" t="s">
        <v>50</v>
      </c>
      <c r="K724" s="1" t="s">
        <v>50</v>
      </c>
      <c r="L724">
        <f t="shared" si="78"/>
        <v>310</v>
      </c>
      <c r="M724">
        <f t="shared" si="77"/>
        <v>185.56448544286178</v>
      </c>
      <c r="N724">
        <f t="shared" si="79"/>
        <v>172.96798541727486</v>
      </c>
      <c r="O724">
        <f t="shared" si="80"/>
        <v>82.076561445310972</v>
      </c>
      <c r="P724">
        <f t="shared" si="81"/>
        <v>310</v>
      </c>
      <c r="Q724" t="e">
        <f t="shared" si="82"/>
        <v>#N/A</v>
      </c>
      <c r="U724">
        <f>C724/Navio!$J$4</f>
        <v>15.230901884496626</v>
      </c>
    </row>
    <row r="725" spans="1:21" x14ac:dyDescent="0.3">
      <c r="A725">
        <v>723</v>
      </c>
      <c r="B725" s="6">
        <v>827.31901703430822</v>
      </c>
      <c r="C725" s="46">
        <v>280.40836043915232</v>
      </c>
      <c r="D725" s="1">
        <v>9</v>
      </c>
      <c r="E725" s="1">
        <v>13</v>
      </c>
      <c r="F725" s="1">
        <v>17</v>
      </c>
      <c r="G725" s="1">
        <v>12</v>
      </c>
      <c r="H725" s="1">
        <v>8</v>
      </c>
      <c r="I725" s="1" t="s">
        <v>50</v>
      </c>
      <c r="J725" s="1" t="s">
        <v>50</v>
      </c>
      <c r="K725" s="1" t="s">
        <v>50</v>
      </c>
      <c r="L725">
        <f t="shared" si="78"/>
        <v>310</v>
      </c>
      <c r="M725">
        <f t="shared" si="77"/>
        <v>185.56448544286178</v>
      </c>
      <c r="N725">
        <f t="shared" si="79"/>
        <v>304.39567777634272</v>
      </c>
      <c r="O725">
        <f t="shared" si="80"/>
        <v>82.076561445310972</v>
      </c>
      <c r="P725">
        <f t="shared" si="81"/>
        <v>310</v>
      </c>
      <c r="Q725" t="e">
        <f t="shared" si="82"/>
        <v>#N/A</v>
      </c>
      <c r="U725">
        <f>C725/Navio!$J$4</f>
        <v>15.140853277149285</v>
      </c>
    </row>
    <row r="726" spans="1:21" x14ac:dyDescent="0.3">
      <c r="A726">
        <v>724</v>
      </c>
      <c r="B726" s="6">
        <v>643.70369474519543</v>
      </c>
      <c r="C726" s="46">
        <v>277.91772144969462</v>
      </c>
      <c r="D726" s="1">
        <v>9</v>
      </c>
      <c r="E726" s="1">
        <v>15</v>
      </c>
      <c r="F726" s="1">
        <v>14</v>
      </c>
      <c r="G726" s="1">
        <v>12</v>
      </c>
      <c r="H726" s="1">
        <v>8</v>
      </c>
      <c r="I726" s="1" t="s">
        <v>50</v>
      </c>
      <c r="J726" s="1" t="s">
        <v>50</v>
      </c>
      <c r="K726" s="1" t="s">
        <v>50</v>
      </c>
      <c r="L726">
        <f t="shared" si="78"/>
        <v>310</v>
      </c>
      <c r="M726">
        <f t="shared" si="77"/>
        <v>210.14742667389368</v>
      </c>
      <c r="N726">
        <f t="shared" si="79"/>
        <v>96.197414256198073</v>
      </c>
      <c r="O726">
        <f t="shared" si="80"/>
        <v>82.076561445310972</v>
      </c>
      <c r="P726">
        <f t="shared" si="81"/>
        <v>310</v>
      </c>
      <c r="Q726" t="e">
        <f t="shared" si="82"/>
        <v>#N/A</v>
      </c>
      <c r="U726">
        <f>C726/Navio!$J$4</f>
        <v>15.006369414233545</v>
      </c>
    </row>
    <row r="727" spans="1:21" x14ac:dyDescent="0.3">
      <c r="A727">
        <v>725</v>
      </c>
      <c r="B727" s="6">
        <v>491.21226321039336</v>
      </c>
      <c r="C727" s="46">
        <v>287.90801674938183</v>
      </c>
      <c r="D727" s="1">
        <v>9</v>
      </c>
      <c r="E727" s="1">
        <v>16</v>
      </c>
      <c r="F727" s="1">
        <v>14</v>
      </c>
      <c r="G727" s="1">
        <v>12</v>
      </c>
      <c r="H727" s="1">
        <v>8</v>
      </c>
      <c r="I727" s="1" t="s">
        <v>50</v>
      </c>
      <c r="J727" s="1" t="s">
        <v>50</v>
      </c>
      <c r="K727" s="1" t="s">
        <v>50</v>
      </c>
      <c r="L727">
        <f t="shared" si="78"/>
        <v>310</v>
      </c>
      <c r="M727">
        <f t="shared" si="77"/>
        <v>172.96798541727486</v>
      </c>
      <c r="N727">
        <f t="shared" si="79"/>
        <v>96.197414256198073</v>
      </c>
      <c r="O727">
        <f t="shared" si="80"/>
        <v>82.076561445310972</v>
      </c>
      <c r="P727">
        <f t="shared" si="81"/>
        <v>310</v>
      </c>
      <c r="Q727" t="e">
        <f t="shared" si="82"/>
        <v>#N/A</v>
      </c>
      <c r="U727">
        <f>C727/Navio!$J$4</f>
        <v>15.54580267182638</v>
      </c>
    </row>
    <row r="728" spans="1:21" x14ac:dyDescent="0.3">
      <c r="A728">
        <v>726</v>
      </c>
      <c r="B728" s="6">
        <v>737.95194584764442</v>
      </c>
      <c r="C728" s="46">
        <v>291.22413266530901</v>
      </c>
      <c r="D728" s="1">
        <v>9</v>
      </c>
      <c r="E728" s="1">
        <v>17</v>
      </c>
      <c r="F728" s="1">
        <v>14</v>
      </c>
      <c r="G728" s="1">
        <v>12</v>
      </c>
      <c r="H728" s="1">
        <v>8</v>
      </c>
      <c r="I728" s="1" t="s">
        <v>50</v>
      </c>
      <c r="J728" s="1" t="s">
        <v>50</v>
      </c>
      <c r="K728" s="1" t="s">
        <v>50</v>
      </c>
      <c r="L728">
        <f t="shared" si="78"/>
        <v>310</v>
      </c>
      <c r="M728">
        <f t="shared" si="77"/>
        <v>304.39567777634272</v>
      </c>
      <c r="N728">
        <f t="shared" si="79"/>
        <v>96.197414256198073</v>
      </c>
      <c r="O728">
        <f t="shared" si="80"/>
        <v>82.076561445310972</v>
      </c>
      <c r="P728">
        <f t="shared" si="81"/>
        <v>310</v>
      </c>
      <c r="Q728" t="e">
        <f t="shared" si="82"/>
        <v>#N/A</v>
      </c>
      <c r="U728">
        <f>C728/Navio!$J$4</f>
        <v>15.724858761503736</v>
      </c>
    </row>
    <row r="729" spans="1:21" x14ac:dyDescent="0.3">
      <c r="A729">
        <v>727</v>
      </c>
      <c r="B729" s="6">
        <v>605.16227562808899</v>
      </c>
      <c r="C729" s="46">
        <v>281.31169343835745</v>
      </c>
      <c r="D729" s="1">
        <v>9</v>
      </c>
      <c r="E729" s="1">
        <v>16</v>
      </c>
      <c r="F729" s="1">
        <v>15</v>
      </c>
      <c r="G729" s="1">
        <v>12</v>
      </c>
      <c r="H729" s="1">
        <v>8</v>
      </c>
      <c r="I729" s="1" t="s">
        <v>50</v>
      </c>
      <c r="J729" s="1" t="s">
        <v>50</v>
      </c>
      <c r="K729" s="1" t="s">
        <v>50</v>
      </c>
      <c r="L729">
        <f t="shared" si="78"/>
        <v>310</v>
      </c>
      <c r="M729">
        <f t="shared" si="77"/>
        <v>172.96798541727486</v>
      </c>
      <c r="N729">
        <f t="shared" si="79"/>
        <v>210.14742667389368</v>
      </c>
      <c r="O729">
        <f t="shared" si="80"/>
        <v>82.076561445310972</v>
      </c>
      <c r="P729">
        <f t="shared" si="81"/>
        <v>310</v>
      </c>
      <c r="Q729" t="e">
        <f t="shared" si="82"/>
        <v>#N/A</v>
      </c>
      <c r="U729">
        <f>C729/Navio!$J$4</f>
        <v>15.18962939915917</v>
      </c>
    </row>
    <row r="730" spans="1:21" x14ac:dyDescent="0.3">
      <c r="A730">
        <v>728</v>
      </c>
      <c r="B730" s="6">
        <v>851.90195826534</v>
      </c>
      <c r="C730" s="46">
        <v>282.79118185960272</v>
      </c>
      <c r="D730" s="1">
        <v>9</v>
      </c>
      <c r="E730" s="1">
        <v>17</v>
      </c>
      <c r="F730" s="1">
        <v>15</v>
      </c>
      <c r="G730" s="1">
        <v>12</v>
      </c>
      <c r="H730" s="1">
        <v>8</v>
      </c>
      <c r="I730" s="1" t="s">
        <v>50</v>
      </c>
      <c r="J730" s="1" t="s">
        <v>50</v>
      </c>
      <c r="K730" s="1" t="s">
        <v>50</v>
      </c>
      <c r="L730">
        <f t="shared" si="78"/>
        <v>310</v>
      </c>
      <c r="M730">
        <f t="shared" si="77"/>
        <v>304.39567777634272</v>
      </c>
      <c r="N730">
        <f t="shared" si="79"/>
        <v>210.14742667389368</v>
      </c>
      <c r="O730">
        <f t="shared" si="80"/>
        <v>82.076561445310972</v>
      </c>
      <c r="P730">
        <f t="shared" si="81"/>
        <v>310</v>
      </c>
      <c r="Q730" t="e">
        <f t="shared" si="82"/>
        <v>#N/A</v>
      </c>
      <c r="U730">
        <f>C730/Navio!$J$4</f>
        <v>15.269515452043732</v>
      </c>
    </row>
    <row r="731" spans="1:21" x14ac:dyDescent="0.3">
      <c r="A731">
        <v>729</v>
      </c>
      <c r="B731" s="6">
        <v>699.41052673053798</v>
      </c>
      <c r="C731" s="46">
        <v>286.71534531261187</v>
      </c>
      <c r="D731" s="1">
        <v>9</v>
      </c>
      <c r="E731" s="1">
        <v>17</v>
      </c>
      <c r="F731" s="1">
        <v>16</v>
      </c>
      <c r="G731" s="1">
        <v>12</v>
      </c>
      <c r="H731" s="1">
        <v>8</v>
      </c>
      <c r="I731" s="1" t="s">
        <v>50</v>
      </c>
      <c r="J731" s="1" t="s">
        <v>50</v>
      </c>
      <c r="K731" s="1" t="s">
        <v>50</v>
      </c>
      <c r="L731">
        <f t="shared" si="78"/>
        <v>310</v>
      </c>
      <c r="M731">
        <f t="shared" si="77"/>
        <v>304.39567777634272</v>
      </c>
      <c r="N731">
        <f t="shared" si="79"/>
        <v>172.96798541727486</v>
      </c>
      <c r="O731">
        <f t="shared" si="80"/>
        <v>82.076561445310972</v>
      </c>
      <c r="P731">
        <f t="shared" si="81"/>
        <v>310</v>
      </c>
      <c r="Q731" t="e">
        <f t="shared" si="82"/>
        <v>#N/A</v>
      </c>
      <c r="U731">
        <f>C731/Navio!$J$4</f>
        <v>15.48140351053283</v>
      </c>
    </row>
    <row r="732" spans="1:21" x14ac:dyDescent="0.3">
      <c r="A732">
        <v>730</v>
      </c>
      <c r="B732" s="6">
        <v>801.9093263729535</v>
      </c>
      <c r="C732" s="46">
        <v>278.14963988760525</v>
      </c>
      <c r="D732" s="1">
        <v>9</v>
      </c>
      <c r="E732" s="1">
        <v>13</v>
      </c>
      <c r="F732" s="1">
        <v>15</v>
      </c>
      <c r="G732" s="1">
        <v>14</v>
      </c>
      <c r="H732" s="1">
        <v>8</v>
      </c>
      <c r="I732" s="1" t="s">
        <v>50</v>
      </c>
      <c r="J732" s="1" t="s">
        <v>50</v>
      </c>
      <c r="K732" s="1" t="s">
        <v>50</v>
      </c>
      <c r="L732">
        <f t="shared" si="78"/>
        <v>310</v>
      </c>
      <c r="M732">
        <f t="shared" si="77"/>
        <v>185.56448544286178</v>
      </c>
      <c r="N732">
        <f t="shared" si="79"/>
        <v>210.14742667389368</v>
      </c>
      <c r="O732">
        <f t="shared" si="80"/>
        <v>96.197414256198073</v>
      </c>
      <c r="P732">
        <f t="shared" si="81"/>
        <v>310</v>
      </c>
      <c r="Q732" t="e">
        <f t="shared" si="82"/>
        <v>#N/A</v>
      </c>
      <c r="U732">
        <f>C732/Navio!$J$4</f>
        <v>15.018892018891876</v>
      </c>
    </row>
    <row r="733" spans="1:21" x14ac:dyDescent="0.3">
      <c r="A733">
        <v>731</v>
      </c>
      <c r="B733" s="6">
        <v>649.41789483815148</v>
      </c>
      <c r="C733" s="46">
        <v>287.10327724041264</v>
      </c>
      <c r="D733" s="1">
        <v>9</v>
      </c>
      <c r="E733" s="1">
        <v>13</v>
      </c>
      <c r="F733" s="1">
        <v>16</v>
      </c>
      <c r="G733" s="1">
        <v>14</v>
      </c>
      <c r="H733" s="1">
        <v>8</v>
      </c>
      <c r="I733" s="1" t="s">
        <v>50</v>
      </c>
      <c r="J733" s="1" t="s">
        <v>50</v>
      </c>
      <c r="K733" s="1" t="s">
        <v>50</v>
      </c>
      <c r="L733">
        <f t="shared" si="78"/>
        <v>310</v>
      </c>
      <c r="M733">
        <f t="shared" si="77"/>
        <v>185.56448544286178</v>
      </c>
      <c r="N733">
        <f t="shared" si="79"/>
        <v>172.96798541727486</v>
      </c>
      <c r="O733">
        <f t="shared" si="80"/>
        <v>96.197414256198073</v>
      </c>
      <c r="P733">
        <f t="shared" si="81"/>
        <v>310</v>
      </c>
      <c r="Q733" t="e">
        <f t="shared" si="82"/>
        <v>#N/A</v>
      </c>
      <c r="U733">
        <f>C733/Navio!$J$4</f>
        <v>15.502350176998675</v>
      </c>
    </row>
    <row r="734" spans="1:21" x14ac:dyDescent="0.3">
      <c r="A734">
        <v>732</v>
      </c>
      <c r="B734" s="6">
        <v>896.1575774754026</v>
      </c>
      <c r="C734" s="46">
        <v>289.66232877290048</v>
      </c>
      <c r="D734" s="1">
        <v>9</v>
      </c>
      <c r="E734" s="1">
        <v>13</v>
      </c>
      <c r="F734" s="1">
        <v>17</v>
      </c>
      <c r="G734" s="1">
        <v>14</v>
      </c>
      <c r="H734" s="1">
        <v>8</v>
      </c>
      <c r="I734" s="1" t="s">
        <v>50</v>
      </c>
      <c r="J734" s="1" t="s">
        <v>50</v>
      </c>
      <c r="K734" s="1" t="s">
        <v>50</v>
      </c>
      <c r="L734">
        <f t="shared" si="78"/>
        <v>310</v>
      </c>
      <c r="M734">
        <f t="shared" si="77"/>
        <v>185.56448544286178</v>
      </c>
      <c r="N734">
        <f t="shared" si="79"/>
        <v>304.39567777634272</v>
      </c>
      <c r="O734">
        <f t="shared" si="80"/>
        <v>96.197414256198073</v>
      </c>
      <c r="P734">
        <f t="shared" si="81"/>
        <v>310</v>
      </c>
      <c r="Q734" t="e">
        <f t="shared" si="82"/>
        <v>#N/A</v>
      </c>
      <c r="U734">
        <f>C734/Navio!$J$4</f>
        <v>15.640528024910846</v>
      </c>
    </row>
    <row r="735" spans="1:21" x14ac:dyDescent="0.3">
      <c r="A735">
        <v>733</v>
      </c>
      <c r="B735" s="6">
        <v>763.36790725584706</v>
      </c>
      <c r="C735" s="46">
        <v>282.01077174672344</v>
      </c>
      <c r="D735" s="1">
        <v>9</v>
      </c>
      <c r="E735" s="1">
        <v>13</v>
      </c>
      <c r="F735" s="1">
        <v>16</v>
      </c>
      <c r="G735" s="1">
        <v>15</v>
      </c>
      <c r="H735" s="1">
        <v>8</v>
      </c>
      <c r="I735" s="1" t="s">
        <v>50</v>
      </c>
      <c r="J735" s="1" t="s">
        <v>50</v>
      </c>
      <c r="K735" s="1" t="s">
        <v>50</v>
      </c>
      <c r="L735">
        <f t="shared" si="78"/>
        <v>310</v>
      </c>
      <c r="M735">
        <f t="shared" si="77"/>
        <v>185.56448544286178</v>
      </c>
      <c r="N735">
        <f t="shared" si="79"/>
        <v>172.96798541727486</v>
      </c>
      <c r="O735">
        <f t="shared" si="80"/>
        <v>210.14742667389368</v>
      </c>
      <c r="P735">
        <f t="shared" si="81"/>
        <v>310</v>
      </c>
      <c r="Q735" t="e">
        <f t="shared" si="82"/>
        <v>#N/A</v>
      </c>
      <c r="U735">
        <f>C735/Navio!$J$4</f>
        <v>15.227376640645231</v>
      </c>
    </row>
    <row r="736" spans="1:21" x14ac:dyDescent="0.3">
      <c r="A736">
        <v>734</v>
      </c>
      <c r="B736" s="6">
        <v>857.61615835829616</v>
      </c>
      <c r="C736" s="46">
        <v>286.62999889440397</v>
      </c>
      <c r="D736" s="1">
        <v>9</v>
      </c>
      <c r="E736" s="1">
        <v>13</v>
      </c>
      <c r="F736" s="1">
        <v>17</v>
      </c>
      <c r="G736" s="1">
        <v>16</v>
      </c>
      <c r="H736" s="1">
        <v>8</v>
      </c>
      <c r="I736" s="1" t="s">
        <v>50</v>
      </c>
      <c r="J736" s="1" t="s">
        <v>50</v>
      </c>
      <c r="K736" s="1" t="s">
        <v>50</v>
      </c>
      <c r="L736">
        <f t="shared" si="78"/>
        <v>310</v>
      </c>
      <c r="M736">
        <f t="shared" si="77"/>
        <v>185.56448544286178</v>
      </c>
      <c r="N736">
        <f t="shared" si="79"/>
        <v>304.39567777634272</v>
      </c>
      <c r="O736">
        <f t="shared" si="80"/>
        <v>172.96798541727486</v>
      </c>
      <c r="P736">
        <f t="shared" si="81"/>
        <v>310</v>
      </c>
      <c r="Q736" t="e">
        <f t="shared" si="82"/>
        <v>#N/A</v>
      </c>
      <c r="U736">
        <f>C736/Navio!$J$4</f>
        <v>15.476795168635348</v>
      </c>
    </row>
    <row r="737" spans="1:21" x14ac:dyDescent="0.3">
      <c r="A737">
        <v>735</v>
      </c>
      <c r="B737" s="6">
        <v>674.00083606918338</v>
      </c>
      <c r="C737" s="46">
        <v>286.82733059994922</v>
      </c>
      <c r="D737" s="1">
        <v>9</v>
      </c>
      <c r="E737" s="1">
        <v>15</v>
      </c>
      <c r="F737" s="1">
        <v>16</v>
      </c>
      <c r="G737" s="1">
        <v>14</v>
      </c>
      <c r="H737" s="1">
        <v>8</v>
      </c>
      <c r="I737" s="1" t="s">
        <v>50</v>
      </c>
      <c r="J737" s="1" t="s">
        <v>50</v>
      </c>
      <c r="K737" s="1" t="s">
        <v>50</v>
      </c>
      <c r="L737">
        <f t="shared" si="78"/>
        <v>310</v>
      </c>
      <c r="M737">
        <f t="shared" si="77"/>
        <v>210.14742667389368</v>
      </c>
      <c r="N737">
        <f t="shared" si="79"/>
        <v>172.96798541727486</v>
      </c>
      <c r="O737">
        <f t="shared" si="80"/>
        <v>96.197414256198073</v>
      </c>
      <c r="P737">
        <f t="shared" si="81"/>
        <v>310</v>
      </c>
      <c r="Q737" t="e">
        <f t="shared" si="82"/>
        <v>#N/A</v>
      </c>
      <c r="U737">
        <f>C737/Navio!$J$4</f>
        <v>15.48745023753526</v>
      </c>
    </row>
    <row r="738" spans="1:21" x14ac:dyDescent="0.3">
      <c r="A738">
        <v>736</v>
      </c>
      <c r="B738" s="6">
        <v>768.24908717163237</v>
      </c>
      <c r="C738" s="46">
        <v>291.74256334657713</v>
      </c>
      <c r="D738" s="1">
        <v>9</v>
      </c>
      <c r="E738" s="1">
        <v>17</v>
      </c>
      <c r="F738" s="1">
        <v>16</v>
      </c>
      <c r="G738" s="1">
        <v>14</v>
      </c>
      <c r="H738" s="1">
        <v>8</v>
      </c>
      <c r="I738" s="1" t="s">
        <v>50</v>
      </c>
      <c r="J738" s="1" t="s">
        <v>50</v>
      </c>
      <c r="K738" s="1" t="s">
        <v>50</v>
      </c>
      <c r="L738">
        <f t="shared" si="78"/>
        <v>310</v>
      </c>
      <c r="M738">
        <f t="shared" si="77"/>
        <v>304.39567777634272</v>
      </c>
      <c r="N738">
        <f t="shared" si="79"/>
        <v>172.96798541727486</v>
      </c>
      <c r="O738">
        <f t="shared" si="80"/>
        <v>96.197414256198073</v>
      </c>
      <c r="P738">
        <f t="shared" si="81"/>
        <v>310</v>
      </c>
      <c r="Q738" t="e">
        <f t="shared" si="82"/>
        <v>#N/A</v>
      </c>
      <c r="U738">
        <f>C738/Navio!$J$4</f>
        <v>15.752851803034879</v>
      </c>
    </row>
    <row r="739" spans="1:21" x14ac:dyDescent="0.3">
      <c r="A739">
        <v>737</v>
      </c>
      <c r="B739" s="6">
        <v>882.19909958932806</v>
      </c>
      <c r="C739" s="46">
        <v>286.65005785288798</v>
      </c>
      <c r="D739" s="1">
        <v>9</v>
      </c>
      <c r="E739" s="1">
        <v>17</v>
      </c>
      <c r="F739" s="1">
        <v>16</v>
      </c>
      <c r="G739" s="1">
        <v>15</v>
      </c>
      <c r="H739" s="1">
        <v>8</v>
      </c>
      <c r="I739" s="1" t="s">
        <v>50</v>
      </c>
      <c r="J739" s="1" t="s">
        <v>50</v>
      </c>
      <c r="K739" s="1" t="s">
        <v>50</v>
      </c>
      <c r="L739">
        <f t="shared" si="78"/>
        <v>310</v>
      </c>
      <c r="M739">
        <f t="shared" si="77"/>
        <v>304.39567777634272</v>
      </c>
      <c r="N739">
        <f t="shared" si="79"/>
        <v>172.96798541727486</v>
      </c>
      <c r="O739">
        <f t="shared" si="80"/>
        <v>210.14742667389368</v>
      </c>
      <c r="P739">
        <f t="shared" si="81"/>
        <v>310</v>
      </c>
      <c r="Q739" t="e">
        <f t="shared" si="82"/>
        <v>#N/A</v>
      </c>
      <c r="U739">
        <f>C739/Navio!$J$4</f>
        <v>15.477878266681438</v>
      </c>
    </row>
    <row r="740" spans="1:21" x14ac:dyDescent="0.3">
      <c r="A740">
        <v>738</v>
      </c>
      <c r="B740" s="6">
        <v>847.91624653488168</v>
      </c>
      <c r="C740" s="46">
        <v>272.81718111817315</v>
      </c>
      <c r="D740" s="1">
        <v>10</v>
      </c>
      <c r="E740" s="1">
        <v>11</v>
      </c>
      <c r="F740" s="1">
        <v>12</v>
      </c>
      <c r="G740" s="1">
        <v>14</v>
      </c>
      <c r="H740" s="1">
        <v>8</v>
      </c>
      <c r="I740" s="1" t="s">
        <v>50</v>
      </c>
      <c r="J740" s="1" t="s">
        <v>50</v>
      </c>
      <c r="K740" s="1" t="s">
        <v>50</v>
      </c>
      <c r="L740">
        <f t="shared" si="78"/>
        <v>290.36739528320618</v>
      </c>
      <c r="M740">
        <f t="shared" si="77"/>
        <v>278.99258318037374</v>
      </c>
      <c r="N740">
        <f t="shared" si="79"/>
        <v>82.076561445310972</v>
      </c>
      <c r="O740">
        <f t="shared" si="80"/>
        <v>96.197414256198073</v>
      </c>
      <c r="P740">
        <f t="shared" si="81"/>
        <v>310</v>
      </c>
      <c r="Q740" t="e">
        <f t="shared" si="82"/>
        <v>#N/A</v>
      </c>
      <c r="U740">
        <f>C740/Navio!$J$4</f>
        <v>14.730962030970067</v>
      </c>
    </row>
    <row r="741" spans="1:21" x14ac:dyDescent="0.3">
      <c r="A741">
        <v>739</v>
      </c>
      <c r="B741" s="6">
        <v>809.37482741777524</v>
      </c>
      <c r="C741" s="46">
        <v>284.18702920003687</v>
      </c>
      <c r="D741" s="1">
        <v>10</v>
      </c>
      <c r="E741" s="1">
        <v>11</v>
      </c>
      <c r="F741" s="1">
        <v>16</v>
      </c>
      <c r="G741" s="1">
        <v>12</v>
      </c>
      <c r="H741" s="1">
        <v>8</v>
      </c>
      <c r="I741" s="1" t="s">
        <v>50</v>
      </c>
      <c r="J741" s="1" t="s">
        <v>50</v>
      </c>
      <c r="K741" s="1" t="s">
        <v>50</v>
      </c>
      <c r="L741">
        <f t="shared" si="78"/>
        <v>290.36739528320618</v>
      </c>
      <c r="M741">
        <f t="shared" si="77"/>
        <v>278.99258318037374</v>
      </c>
      <c r="N741">
        <f t="shared" si="79"/>
        <v>172.96798541727486</v>
      </c>
      <c r="O741">
        <f t="shared" si="80"/>
        <v>82.076561445310972</v>
      </c>
      <c r="P741">
        <f t="shared" si="81"/>
        <v>310</v>
      </c>
      <c r="Q741" t="e">
        <f t="shared" si="82"/>
        <v>#N/A</v>
      </c>
      <c r="U741">
        <f>C741/Navio!$J$4</f>
        <v>15.344885243963324</v>
      </c>
    </row>
    <row r="742" spans="1:21" x14ac:dyDescent="0.3">
      <c r="A742">
        <v>740</v>
      </c>
      <c r="B742" s="6">
        <v>878.21338785886962</v>
      </c>
      <c r="C742" s="46">
        <v>289.21424723400213</v>
      </c>
      <c r="D742" s="1">
        <v>10</v>
      </c>
      <c r="E742" s="1">
        <v>11</v>
      </c>
      <c r="F742" s="1">
        <v>16</v>
      </c>
      <c r="G742" s="1">
        <v>14</v>
      </c>
      <c r="H742" s="1">
        <v>8</v>
      </c>
      <c r="I742" s="1" t="s">
        <v>50</v>
      </c>
      <c r="J742" s="1" t="s">
        <v>50</v>
      </c>
      <c r="K742" s="1" t="s">
        <v>50</v>
      </c>
      <c r="L742">
        <f t="shared" si="78"/>
        <v>290.36739528320618</v>
      </c>
      <c r="M742">
        <f t="shared" si="77"/>
        <v>278.99258318037374</v>
      </c>
      <c r="N742">
        <f t="shared" si="79"/>
        <v>172.96798541727486</v>
      </c>
      <c r="O742">
        <f t="shared" si="80"/>
        <v>96.197414256198073</v>
      </c>
      <c r="P742">
        <f t="shared" si="81"/>
        <v>310</v>
      </c>
      <c r="Q742" t="e">
        <f t="shared" si="82"/>
        <v>#N/A</v>
      </c>
      <c r="U742">
        <f>C742/Navio!$J$4</f>
        <v>15.616333536465373</v>
      </c>
    </row>
    <row r="743" spans="1:21" x14ac:dyDescent="0.3">
      <c r="A743">
        <v>741</v>
      </c>
      <c r="B743" s="6">
        <v>754.48814879736972</v>
      </c>
      <c r="C743" s="46">
        <v>277.10198819006547</v>
      </c>
      <c r="D743" s="1">
        <v>10</v>
      </c>
      <c r="E743" s="1">
        <v>13</v>
      </c>
      <c r="F743" s="1">
        <v>14</v>
      </c>
      <c r="G743" s="1">
        <v>12</v>
      </c>
      <c r="H743" s="1">
        <v>8</v>
      </c>
      <c r="I743" s="1" t="s">
        <v>50</v>
      </c>
      <c r="J743" s="1" t="s">
        <v>50</v>
      </c>
      <c r="K743" s="1" t="s">
        <v>50</v>
      </c>
      <c r="L743">
        <f t="shared" si="78"/>
        <v>290.36739528320618</v>
      </c>
      <c r="M743">
        <f t="shared" si="77"/>
        <v>185.56448544286178</v>
      </c>
      <c r="N743">
        <f t="shared" si="79"/>
        <v>96.197414256198073</v>
      </c>
      <c r="O743">
        <f t="shared" si="80"/>
        <v>82.076561445310972</v>
      </c>
      <c r="P743">
        <f t="shared" si="81"/>
        <v>310</v>
      </c>
      <c r="Q743" t="e">
        <f t="shared" si="82"/>
        <v>#N/A</v>
      </c>
      <c r="U743">
        <f>C743/Navio!$J$4</f>
        <v>14.962323303846562</v>
      </c>
    </row>
    <row r="744" spans="1:21" x14ac:dyDescent="0.3">
      <c r="A744">
        <v>742</v>
      </c>
      <c r="B744" s="6">
        <v>868.43816121506529</v>
      </c>
      <c r="C744" s="46">
        <v>273.3449846053278</v>
      </c>
      <c r="D744" s="1">
        <v>10</v>
      </c>
      <c r="E744" s="1">
        <v>13</v>
      </c>
      <c r="F744" s="1">
        <v>15</v>
      </c>
      <c r="G744" s="1">
        <v>12</v>
      </c>
      <c r="H744" s="1">
        <v>8</v>
      </c>
      <c r="I744" s="1" t="s">
        <v>50</v>
      </c>
      <c r="J744" s="1" t="s">
        <v>50</v>
      </c>
      <c r="K744" s="1" t="s">
        <v>50</v>
      </c>
      <c r="L744">
        <f t="shared" si="78"/>
        <v>290.36739528320618</v>
      </c>
      <c r="M744">
        <f t="shared" si="77"/>
        <v>185.56448544286178</v>
      </c>
      <c r="N744">
        <f t="shared" si="79"/>
        <v>210.14742667389368</v>
      </c>
      <c r="O744">
        <f t="shared" si="80"/>
        <v>82.076561445310972</v>
      </c>
      <c r="P744">
        <f t="shared" si="81"/>
        <v>310</v>
      </c>
      <c r="Q744" t="e">
        <f t="shared" si="82"/>
        <v>#N/A</v>
      </c>
      <c r="U744">
        <f>C744/Navio!$J$4</f>
        <v>14.759461163969029</v>
      </c>
    </row>
    <row r="745" spans="1:21" x14ac:dyDescent="0.3">
      <c r="A745">
        <v>743</v>
      </c>
      <c r="B745" s="6">
        <v>715.94672968026327</v>
      </c>
      <c r="C745" s="46">
        <v>284.16815663961245</v>
      </c>
      <c r="D745" s="1">
        <v>10</v>
      </c>
      <c r="E745" s="1">
        <v>13</v>
      </c>
      <c r="F745" s="1">
        <v>16</v>
      </c>
      <c r="G745" s="1">
        <v>12</v>
      </c>
      <c r="H745" s="1">
        <v>8</v>
      </c>
      <c r="I745" s="1" t="s">
        <v>50</v>
      </c>
      <c r="J745" s="1" t="s">
        <v>50</v>
      </c>
      <c r="K745" s="1" t="s">
        <v>50</v>
      </c>
      <c r="L745">
        <f t="shared" si="78"/>
        <v>290.36739528320618</v>
      </c>
      <c r="M745">
        <f t="shared" si="77"/>
        <v>185.56448544286178</v>
      </c>
      <c r="N745">
        <f t="shared" si="79"/>
        <v>172.96798541727486</v>
      </c>
      <c r="O745">
        <f t="shared" si="80"/>
        <v>82.076561445310972</v>
      </c>
      <c r="P745">
        <f t="shared" si="81"/>
        <v>310</v>
      </c>
      <c r="Q745" t="e">
        <f t="shared" si="82"/>
        <v>#N/A</v>
      </c>
      <c r="U745">
        <f>C745/Navio!$J$4</f>
        <v>15.343866206342966</v>
      </c>
    </row>
    <row r="746" spans="1:21" x14ac:dyDescent="0.3">
      <c r="A746">
        <v>744</v>
      </c>
      <c r="B746" s="6">
        <v>779.07109002840161</v>
      </c>
      <c r="C746" s="46">
        <v>281.27204480600824</v>
      </c>
      <c r="D746" s="1">
        <v>10</v>
      </c>
      <c r="E746" s="1">
        <v>15</v>
      </c>
      <c r="F746" s="1">
        <v>14</v>
      </c>
      <c r="G746" s="1">
        <v>12</v>
      </c>
      <c r="H746" s="1">
        <v>8</v>
      </c>
      <c r="I746" s="1" t="s">
        <v>50</v>
      </c>
      <c r="J746" s="1" t="s">
        <v>50</v>
      </c>
      <c r="K746" s="1" t="s">
        <v>50</v>
      </c>
      <c r="L746">
        <f t="shared" si="78"/>
        <v>290.36739528320618</v>
      </c>
      <c r="M746">
        <f t="shared" si="77"/>
        <v>210.14742667389368</v>
      </c>
      <c r="N746">
        <f t="shared" si="79"/>
        <v>96.197414256198073</v>
      </c>
      <c r="O746">
        <f t="shared" si="80"/>
        <v>82.076561445310972</v>
      </c>
      <c r="P746">
        <f t="shared" si="81"/>
        <v>310</v>
      </c>
      <c r="Q746" t="e">
        <f t="shared" si="82"/>
        <v>#N/A</v>
      </c>
      <c r="U746">
        <f>C746/Navio!$J$4</f>
        <v>15.187488542431151</v>
      </c>
    </row>
    <row r="747" spans="1:21" x14ac:dyDescent="0.3">
      <c r="A747">
        <v>745</v>
      </c>
      <c r="B747" s="6">
        <v>626.57965849359948</v>
      </c>
      <c r="C747" s="46">
        <v>290.71190013897365</v>
      </c>
      <c r="D747" s="1">
        <v>10</v>
      </c>
      <c r="E747" s="1">
        <v>16</v>
      </c>
      <c r="F747" s="1">
        <v>14</v>
      </c>
      <c r="G747" s="1">
        <v>12</v>
      </c>
      <c r="H747" s="1">
        <v>8</v>
      </c>
      <c r="I747" s="1" t="s">
        <v>50</v>
      </c>
      <c r="J747" s="1" t="s">
        <v>50</v>
      </c>
      <c r="K747" s="1" t="s">
        <v>50</v>
      </c>
      <c r="L747">
        <f t="shared" si="78"/>
        <v>290.36739528320618</v>
      </c>
      <c r="M747">
        <f t="shared" si="77"/>
        <v>172.96798541727486</v>
      </c>
      <c r="N747">
        <f t="shared" si="79"/>
        <v>96.197414256198073</v>
      </c>
      <c r="O747">
        <f t="shared" si="80"/>
        <v>82.076561445310972</v>
      </c>
      <c r="P747">
        <f t="shared" si="81"/>
        <v>310</v>
      </c>
      <c r="Q747" t="e">
        <f t="shared" si="82"/>
        <v>#N/A</v>
      </c>
      <c r="U747">
        <f>C747/Navio!$J$4</f>
        <v>15.697200393854208</v>
      </c>
    </row>
    <row r="748" spans="1:21" x14ac:dyDescent="0.3">
      <c r="A748">
        <v>746</v>
      </c>
      <c r="B748" s="6">
        <v>873.3193411308506</v>
      </c>
      <c r="C748" s="46">
        <v>292.90373156620228</v>
      </c>
      <c r="D748" s="1">
        <v>10</v>
      </c>
      <c r="E748" s="1">
        <v>17</v>
      </c>
      <c r="F748" s="1">
        <v>14</v>
      </c>
      <c r="G748" s="1">
        <v>12</v>
      </c>
      <c r="H748" s="1">
        <v>8</v>
      </c>
      <c r="I748" s="1" t="s">
        <v>50</v>
      </c>
      <c r="J748" s="1" t="s">
        <v>50</v>
      </c>
      <c r="K748" s="1" t="s">
        <v>50</v>
      </c>
      <c r="L748">
        <f t="shared" si="78"/>
        <v>290.36739528320618</v>
      </c>
      <c r="M748">
        <f t="shared" si="77"/>
        <v>304.39567777634272</v>
      </c>
      <c r="N748">
        <f t="shared" si="79"/>
        <v>96.197414256198073</v>
      </c>
      <c r="O748">
        <f t="shared" si="80"/>
        <v>82.076561445310972</v>
      </c>
      <c r="P748">
        <f t="shared" si="81"/>
        <v>310</v>
      </c>
      <c r="Q748" t="e">
        <f t="shared" si="82"/>
        <v>#N/A</v>
      </c>
      <c r="U748">
        <f>C748/Navio!$J$4</f>
        <v>15.815549925216041</v>
      </c>
    </row>
    <row r="749" spans="1:21" x14ac:dyDescent="0.3">
      <c r="A749">
        <v>747</v>
      </c>
      <c r="B749" s="6">
        <v>740.52967091129517</v>
      </c>
      <c r="C749" s="46">
        <v>284.11557682794927</v>
      </c>
      <c r="D749" s="1">
        <v>10</v>
      </c>
      <c r="E749" s="1">
        <v>16</v>
      </c>
      <c r="F749" s="1">
        <v>15</v>
      </c>
      <c r="G749" s="1">
        <v>12</v>
      </c>
      <c r="H749" s="1">
        <v>8</v>
      </c>
      <c r="I749" s="1" t="s">
        <v>50</v>
      </c>
      <c r="J749" s="1" t="s">
        <v>50</v>
      </c>
      <c r="K749" s="1" t="s">
        <v>50</v>
      </c>
      <c r="L749">
        <f t="shared" si="78"/>
        <v>290.36739528320618</v>
      </c>
      <c r="M749">
        <f t="shared" si="77"/>
        <v>172.96798541727486</v>
      </c>
      <c r="N749">
        <f t="shared" si="79"/>
        <v>210.14742667389368</v>
      </c>
      <c r="O749">
        <f t="shared" si="80"/>
        <v>82.076561445310972</v>
      </c>
      <c r="P749">
        <f t="shared" si="81"/>
        <v>310</v>
      </c>
      <c r="Q749" t="e">
        <f t="shared" si="82"/>
        <v>#N/A</v>
      </c>
      <c r="U749">
        <f>C749/Navio!$J$4</f>
        <v>15.341027121186997</v>
      </c>
    </row>
    <row r="750" spans="1:21" x14ac:dyDescent="0.3">
      <c r="A750">
        <v>748</v>
      </c>
      <c r="B750" s="6">
        <v>834.77792201374416</v>
      </c>
      <c r="C750" s="46">
        <v>288.39494421350514</v>
      </c>
      <c r="D750" s="1">
        <v>10</v>
      </c>
      <c r="E750" s="1">
        <v>17</v>
      </c>
      <c r="F750" s="1">
        <v>16</v>
      </c>
      <c r="G750" s="1">
        <v>12</v>
      </c>
      <c r="H750" s="1">
        <v>8</v>
      </c>
      <c r="I750" s="1" t="s">
        <v>50</v>
      </c>
      <c r="J750" s="1" t="s">
        <v>50</v>
      </c>
      <c r="K750" s="1" t="s">
        <v>50</v>
      </c>
      <c r="L750">
        <f t="shared" si="78"/>
        <v>290.36739528320618</v>
      </c>
      <c r="M750">
        <f t="shared" si="77"/>
        <v>304.39567777634272</v>
      </c>
      <c r="N750">
        <f t="shared" si="79"/>
        <v>172.96798541727486</v>
      </c>
      <c r="O750">
        <f t="shared" si="80"/>
        <v>82.076561445310972</v>
      </c>
      <c r="P750">
        <f t="shared" si="81"/>
        <v>310</v>
      </c>
      <c r="Q750" t="e">
        <f t="shared" si="82"/>
        <v>#N/A</v>
      </c>
      <c r="U750">
        <f>C750/Navio!$J$4</f>
        <v>15.572094674245136</v>
      </c>
    </row>
    <row r="751" spans="1:21" x14ac:dyDescent="0.3">
      <c r="A751">
        <v>749</v>
      </c>
      <c r="B751" s="6">
        <v>784.78529012135766</v>
      </c>
      <c r="C751" s="46">
        <v>289.1953746735777</v>
      </c>
      <c r="D751" s="1">
        <v>10</v>
      </c>
      <c r="E751" s="1">
        <v>13</v>
      </c>
      <c r="F751" s="1">
        <v>16</v>
      </c>
      <c r="G751" s="1">
        <v>14</v>
      </c>
      <c r="H751" s="1">
        <v>8</v>
      </c>
      <c r="I751" s="1" t="s">
        <v>50</v>
      </c>
      <c r="J751" s="1" t="s">
        <v>50</v>
      </c>
      <c r="K751" s="1" t="s">
        <v>50</v>
      </c>
      <c r="L751">
        <f t="shared" si="78"/>
        <v>290.36739528320618</v>
      </c>
      <c r="M751">
        <f t="shared" si="77"/>
        <v>185.56448544286178</v>
      </c>
      <c r="N751">
        <f t="shared" si="79"/>
        <v>172.96798541727486</v>
      </c>
      <c r="O751">
        <f t="shared" si="80"/>
        <v>96.197414256198073</v>
      </c>
      <c r="P751">
        <f t="shared" si="81"/>
        <v>310</v>
      </c>
      <c r="Q751" t="e">
        <f t="shared" si="82"/>
        <v>#N/A</v>
      </c>
      <c r="U751">
        <f>C751/Navio!$J$4</f>
        <v>15.615314498845015</v>
      </c>
    </row>
    <row r="752" spans="1:21" x14ac:dyDescent="0.3">
      <c r="A752">
        <v>750</v>
      </c>
      <c r="B752" s="6">
        <v>898.73530253905324</v>
      </c>
      <c r="C752" s="46">
        <v>284.1028691798885</v>
      </c>
      <c r="D752" s="1">
        <v>10</v>
      </c>
      <c r="E752" s="1">
        <v>13</v>
      </c>
      <c r="F752" s="1">
        <v>16</v>
      </c>
      <c r="G752" s="1">
        <v>15</v>
      </c>
      <c r="H752" s="1">
        <v>8</v>
      </c>
      <c r="I752" s="1" t="s">
        <v>50</v>
      </c>
      <c r="J752" s="1" t="s">
        <v>50</v>
      </c>
      <c r="K752" s="1" t="s">
        <v>50</v>
      </c>
      <c r="L752">
        <f t="shared" si="78"/>
        <v>290.36739528320618</v>
      </c>
      <c r="M752">
        <f t="shared" si="77"/>
        <v>185.56448544286178</v>
      </c>
      <c r="N752">
        <f t="shared" si="79"/>
        <v>172.96798541727486</v>
      </c>
      <c r="O752">
        <f t="shared" si="80"/>
        <v>210.14742667389368</v>
      </c>
      <c r="P752">
        <f t="shared" si="81"/>
        <v>310</v>
      </c>
      <c r="Q752" t="e">
        <f t="shared" si="82"/>
        <v>#N/A</v>
      </c>
      <c r="U752">
        <f>C752/Navio!$J$4</f>
        <v>15.34034096249157</v>
      </c>
    </row>
    <row r="753" spans="1:21" x14ac:dyDescent="0.3">
      <c r="A753">
        <v>751</v>
      </c>
      <c r="B753" s="6">
        <v>809.36823135238956</v>
      </c>
      <c r="C753" s="46">
        <v>290.18165395626283</v>
      </c>
      <c r="D753" s="1">
        <v>10</v>
      </c>
      <c r="E753" s="1">
        <v>15</v>
      </c>
      <c r="F753" s="1">
        <v>16</v>
      </c>
      <c r="G753" s="1">
        <v>14</v>
      </c>
      <c r="H753" s="1">
        <v>8</v>
      </c>
      <c r="I753" s="1" t="s">
        <v>50</v>
      </c>
      <c r="J753" s="1" t="s">
        <v>50</v>
      </c>
      <c r="K753" s="1" t="s">
        <v>50</v>
      </c>
      <c r="L753">
        <f t="shared" si="78"/>
        <v>290.36739528320618</v>
      </c>
      <c r="M753">
        <f t="shared" si="77"/>
        <v>210.14742667389368</v>
      </c>
      <c r="N753">
        <f t="shared" si="79"/>
        <v>172.96798541727486</v>
      </c>
      <c r="O753">
        <f t="shared" si="80"/>
        <v>96.197414256198073</v>
      </c>
      <c r="P753">
        <f t="shared" si="81"/>
        <v>310</v>
      </c>
      <c r="Q753" t="e">
        <f t="shared" si="82"/>
        <v>#N/A</v>
      </c>
      <c r="U753">
        <f>C753/Navio!$J$4</f>
        <v>15.668569365732866</v>
      </c>
    </row>
    <row r="754" spans="1:21" x14ac:dyDescent="0.3">
      <c r="A754">
        <v>752</v>
      </c>
      <c r="B754" s="6">
        <v>743.11333669453722</v>
      </c>
      <c r="C754" s="46">
        <v>274.60430691557838</v>
      </c>
      <c r="D754" s="1">
        <v>11</v>
      </c>
      <c r="E754" s="1">
        <v>13</v>
      </c>
      <c r="F754" s="1">
        <v>14</v>
      </c>
      <c r="G754" s="1">
        <v>12</v>
      </c>
      <c r="H754" s="1">
        <v>8</v>
      </c>
      <c r="I754" s="1" t="s">
        <v>50</v>
      </c>
      <c r="J754" s="1" t="s">
        <v>50</v>
      </c>
      <c r="K754" s="1" t="s">
        <v>50</v>
      </c>
      <c r="L754">
        <f t="shared" si="78"/>
        <v>278.99258318037374</v>
      </c>
      <c r="M754">
        <f t="shared" si="77"/>
        <v>185.56448544286178</v>
      </c>
      <c r="N754">
        <f t="shared" si="79"/>
        <v>96.197414256198073</v>
      </c>
      <c r="O754">
        <f t="shared" si="80"/>
        <v>82.076561445310972</v>
      </c>
      <c r="P754">
        <f t="shared" si="81"/>
        <v>310</v>
      </c>
      <c r="Q754" t="e">
        <f t="shared" si="82"/>
        <v>#N/A</v>
      </c>
      <c r="U754">
        <f>C754/Navio!$J$4</f>
        <v>14.827459187630959</v>
      </c>
    </row>
    <row r="755" spans="1:21" x14ac:dyDescent="0.3">
      <c r="A755">
        <v>753</v>
      </c>
      <c r="B755" s="6">
        <v>857.0633491122328</v>
      </c>
      <c r="C755" s="46">
        <v>270.84730333084065</v>
      </c>
      <c r="D755" s="1">
        <v>11</v>
      </c>
      <c r="E755" s="1">
        <v>13</v>
      </c>
      <c r="F755" s="1">
        <v>15</v>
      </c>
      <c r="G755" s="1">
        <v>12</v>
      </c>
      <c r="H755" s="1">
        <v>8</v>
      </c>
      <c r="I755" s="1" t="s">
        <v>50</v>
      </c>
      <c r="J755" s="1" t="s">
        <v>50</v>
      </c>
      <c r="K755" s="1" t="s">
        <v>50</v>
      </c>
      <c r="L755">
        <f t="shared" si="78"/>
        <v>278.99258318037374</v>
      </c>
      <c r="M755">
        <f t="shared" si="77"/>
        <v>185.56448544286178</v>
      </c>
      <c r="N755">
        <f t="shared" si="79"/>
        <v>210.14742667389368</v>
      </c>
      <c r="O755">
        <f t="shared" si="80"/>
        <v>82.076561445310972</v>
      </c>
      <c r="P755">
        <f t="shared" si="81"/>
        <v>310</v>
      </c>
      <c r="Q755" t="e">
        <f t="shared" si="82"/>
        <v>#N/A</v>
      </c>
      <c r="U755">
        <f>C755/Navio!$J$4</f>
        <v>14.624597047753424</v>
      </c>
    </row>
    <row r="756" spans="1:21" x14ac:dyDescent="0.3">
      <c r="A756">
        <v>754</v>
      </c>
      <c r="B756" s="6">
        <v>704.57191757743078</v>
      </c>
      <c r="C756" s="46">
        <v>281.6704753651253</v>
      </c>
      <c r="D756" s="1">
        <v>11</v>
      </c>
      <c r="E756" s="1">
        <v>13</v>
      </c>
      <c r="F756" s="1">
        <v>16</v>
      </c>
      <c r="G756" s="1">
        <v>12</v>
      </c>
      <c r="H756" s="1">
        <v>8</v>
      </c>
      <c r="I756" s="1" t="s">
        <v>50</v>
      </c>
      <c r="J756" s="1" t="s">
        <v>50</v>
      </c>
      <c r="K756" s="1" t="s">
        <v>50</v>
      </c>
      <c r="L756">
        <f t="shared" si="78"/>
        <v>278.99258318037374</v>
      </c>
      <c r="M756">
        <f t="shared" si="77"/>
        <v>185.56448544286178</v>
      </c>
      <c r="N756">
        <f t="shared" si="79"/>
        <v>172.96798541727486</v>
      </c>
      <c r="O756">
        <f t="shared" si="80"/>
        <v>82.076561445310972</v>
      </c>
      <c r="P756">
        <f t="shared" si="81"/>
        <v>310</v>
      </c>
      <c r="Q756" t="e">
        <f t="shared" si="82"/>
        <v>#N/A</v>
      </c>
      <c r="U756">
        <f>C756/Navio!$J$4</f>
        <v>15.209002090127361</v>
      </c>
    </row>
    <row r="757" spans="1:21" x14ac:dyDescent="0.3">
      <c r="A757">
        <v>755</v>
      </c>
      <c r="B757" s="6">
        <v>767.69627792556912</v>
      </c>
      <c r="C757" s="46">
        <v>278.54496591105112</v>
      </c>
      <c r="D757" s="1">
        <v>11</v>
      </c>
      <c r="E757" s="1">
        <v>15</v>
      </c>
      <c r="F757" s="1">
        <v>14</v>
      </c>
      <c r="G757" s="1">
        <v>12</v>
      </c>
      <c r="H757" s="1">
        <v>8</v>
      </c>
      <c r="I757" s="1" t="s">
        <v>50</v>
      </c>
      <c r="J757" s="1" t="s">
        <v>50</v>
      </c>
      <c r="K757" s="1" t="s">
        <v>50</v>
      </c>
      <c r="L757">
        <f t="shared" si="78"/>
        <v>278.99258318037374</v>
      </c>
      <c r="M757">
        <f t="shared" si="77"/>
        <v>210.14742667389368</v>
      </c>
      <c r="N757">
        <f t="shared" si="79"/>
        <v>96.197414256198073</v>
      </c>
      <c r="O757">
        <f t="shared" si="80"/>
        <v>82.076561445310972</v>
      </c>
      <c r="P757">
        <f t="shared" si="81"/>
        <v>310</v>
      </c>
      <c r="Q757" t="e">
        <f t="shared" si="82"/>
        <v>#N/A</v>
      </c>
      <c r="U757">
        <f>C757/Navio!$J$4</f>
        <v>15.040237934927541</v>
      </c>
    </row>
    <row r="758" spans="1:21" x14ac:dyDescent="0.3">
      <c r="A758">
        <v>756</v>
      </c>
      <c r="B758" s="6">
        <v>615.2048463907671</v>
      </c>
      <c r="C758" s="46">
        <v>288.05780537355724</v>
      </c>
      <c r="D758" s="1">
        <v>11</v>
      </c>
      <c r="E758" s="1">
        <v>16</v>
      </c>
      <c r="F758" s="1">
        <v>14</v>
      </c>
      <c r="G758" s="1">
        <v>12</v>
      </c>
      <c r="H758" s="1">
        <v>8</v>
      </c>
      <c r="I758" s="1" t="s">
        <v>50</v>
      </c>
      <c r="J758" s="1" t="s">
        <v>50</v>
      </c>
      <c r="K758" s="1" t="s">
        <v>50</v>
      </c>
      <c r="L758">
        <f t="shared" si="78"/>
        <v>278.99258318037374</v>
      </c>
      <c r="M758">
        <f t="shared" si="77"/>
        <v>172.96798541727486</v>
      </c>
      <c r="N758">
        <f t="shared" si="79"/>
        <v>96.197414256198073</v>
      </c>
      <c r="O758">
        <f t="shared" si="80"/>
        <v>82.076561445310972</v>
      </c>
      <c r="P758">
        <f t="shared" si="81"/>
        <v>310</v>
      </c>
      <c r="Q758" t="e">
        <f t="shared" si="82"/>
        <v>#N/A</v>
      </c>
      <c r="U758">
        <f>C758/Navio!$J$4</f>
        <v>15.553890617484186</v>
      </c>
    </row>
    <row r="759" spans="1:21" x14ac:dyDescent="0.3">
      <c r="A759">
        <v>757</v>
      </c>
      <c r="B759" s="6">
        <v>861.94452902801822</v>
      </c>
      <c r="C759" s="46">
        <v>290.73994219412555</v>
      </c>
      <c r="D759" s="1">
        <v>11</v>
      </c>
      <c r="E759" s="1">
        <v>17</v>
      </c>
      <c r="F759" s="1">
        <v>14</v>
      </c>
      <c r="G759" s="1">
        <v>12</v>
      </c>
      <c r="H759" s="1">
        <v>8</v>
      </c>
      <c r="I759" s="1" t="s">
        <v>50</v>
      </c>
      <c r="J759" s="1" t="s">
        <v>50</v>
      </c>
      <c r="K759" s="1" t="s">
        <v>50</v>
      </c>
      <c r="L759">
        <f t="shared" si="78"/>
        <v>278.99258318037374</v>
      </c>
      <c r="M759">
        <f t="shared" si="77"/>
        <v>304.39567777634272</v>
      </c>
      <c r="N759">
        <f t="shared" si="79"/>
        <v>96.197414256198073</v>
      </c>
      <c r="O759">
        <f t="shared" si="80"/>
        <v>82.076561445310972</v>
      </c>
      <c r="P759">
        <f t="shared" si="81"/>
        <v>310</v>
      </c>
      <c r="Q759" t="e">
        <f t="shared" si="82"/>
        <v>#N/A</v>
      </c>
      <c r="U759">
        <f>C759/Navio!$J$4</f>
        <v>15.698714545008546</v>
      </c>
    </row>
    <row r="760" spans="1:21" x14ac:dyDescent="0.3">
      <c r="A760">
        <v>758</v>
      </c>
      <c r="B760" s="6">
        <v>729.15485880846268</v>
      </c>
      <c r="C760" s="46">
        <v>281.46148206253292</v>
      </c>
      <c r="D760" s="1">
        <v>11</v>
      </c>
      <c r="E760" s="1">
        <v>16</v>
      </c>
      <c r="F760" s="1">
        <v>15</v>
      </c>
      <c r="G760" s="1">
        <v>12</v>
      </c>
      <c r="H760" s="1">
        <v>8</v>
      </c>
      <c r="I760" s="1" t="s">
        <v>50</v>
      </c>
      <c r="J760" s="1" t="s">
        <v>50</v>
      </c>
      <c r="K760" s="1" t="s">
        <v>50</v>
      </c>
      <c r="L760">
        <f t="shared" si="78"/>
        <v>278.99258318037374</v>
      </c>
      <c r="M760">
        <f t="shared" si="77"/>
        <v>172.96798541727486</v>
      </c>
      <c r="N760">
        <f t="shared" si="79"/>
        <v>210.14742667389368</v>
      </c>
      <c r="O760">
        <f t="shared" si="80"/>
        <v>82.076561445310972</v>
      </c>
      <c r="P760">
        <f t="shared" si="81"/>
        <v>310</v>
      </c>
      <c r="Q760" t="e">
        <f t="shared" si="82"/>
        <v>#N/A</v>
      </c>
      <c r="U760">
        <f>C760/Navio!$J$4</f>
        <v>15.197717344816978</v>
      </c>
    </row>
    <row r="761" spans="1:21" x14ac:dyDescent="0.3">
      <c r="A761">
        <v>759</v>
      </c>
      <c r="B761" s="6">
        <v>823.40310991091178</v>
      </c>
      <c r="C761" s="46">
        <v>286.23115484142841</v>
      </c>
      <c r="D761" s="1">
        <v>11</v>
      </c>
      <c r="E761" s="1">
        <v>17</v>
      </c>
      <c r="F761" s="1">
        <v>16</v>
      </c>
      <c r="G761" s="1">
        <v>12</v>
      </c>
      <c r="H761" s="1">
        <v>8</v>
      </c>
      <c r="I761" s="1" t="s">
        <v>50</v>
      </c>
      <c r="J761" s="1" t="s">
        <v>50</v>
      </c>
      <c r="K761" s="1" t="s">
        <v>50</v>
      </c>
      <c r="L761">
        <f t="shared" si="78"/>
        <v>278.99258318037374</v>
      </c>
      <c r="M761">
        <f t="shared" si="77"/>
        <v>304.39567777634272</v>
      </c>
      <c r="N761">
        <f t="shared" si="79"/>
        <v>172.96798541727486</v>
      </c>
      <c r="O761">
        <f t="shared" si="80"/>
        <v>82.076561445310972</v>
      </c>
      <c r="P761">
        <f t="shared" si="81"/>
        <v>310</v>
      </c>
      <c r="Q761" t="e">
        <f t="shared" si="82"/>
        <v>#N/A</v>
      </c>
      <c r="U761">
        <f>C761/Navio!$J$4</f>
        <v>15.45525929403764</v>
      </c>
    </row>
    <row r="762" spans="1:21" x14ac:dyDescent="0.3">
      <c r="A762">
        <v>760</v>
      </c>
      <c r="B762" s="6">
        <v>773.41047801852517</v>
      </c>
      <c r="C762" s="46">
        <v>286.69769339909055</v>
      </c>
      <c r="D762" s="1">
        <v>11</v>
      </c>
      <c r="E762" s="1">
        <v>13</v>
      </c>
      <c r="F762" s="1">
        <v>16</v>
      </c>
      <c r="G762" s="1">
        <v>14</v>
      </c>
      <c r="H762" s="1">
        <v>8</v>
      </c>
      <c r="I762" s="1" t="s">
        <v>50</v>
      </c>
      <c r="J762" s="1" t="s">
        <v>50</v>
      </c>
      <c r="K762" s="1" t="s">
        <v>50</v>
      </c>
      <c r="L762">
        <f t="shared" si="78"/>
        <v>278.99258318037374</v>
      </c>
      <c r="M762">
        <f t="shared" si="77"/>
        <v>185.56448544286178</v>
      </c>
      <c r="N762">
        <f t="shared" si="79"/>
        <v>172.96798541727486</v>
      </c>
      <c r="O762">
        <f t="shared" si="80"/>
        <v>96.197414256198073</v>
      </c>
      <c r="P762">
        <f t="shared" si="81"/>
        <v>310</v>
      </c>
      <c r="Q762" t="e">
        <f t="shared" si="82"/>
        <v>#N/A</v>
      </c>
      <c r="U762">
        <f>C762/Navio!$J$4</f>
        <v>15.48045038262941</v>
      </c>
    </row>
    <row r="763" spans="1:21" x14ac:dyDescent="0.3">
      <c r="A763">
        <v>761</v>
      </c>
      <c r="B763" s="6">
        <v>887.36049043622086</v>
      </c>
      <c r="C763" s="46">
        <v>281.60518790540135</v>
      </c>
      <c r="D763" s="1">
        <v>11</v>
      </c>
      <c r="E763" s="1">
        <v>13</v>
      </c>
      <c r="F763" s="1">
        <v>16</v>
      </c>
      <c r="G763" s="1">
        <v>15</v>
      </c>
      <c r="H763" s="1">
        <v>8</v>
      </c>
      <c r="I763" s="1" t="s">
        <v>50</v>
      </c>
      <c r="J763" s="1" t="s">
        <v>50</v>
      </c>
      <c r="K763" s="1" t="s">
        <v>50</v>
      </c>
      <c r="L763">
        <f t="shared" si="78"/>
        <v>278.99258318037374</v>
      </c>
      <c r="M763">
        <f t="shared" si="77"/>
        <v>185.56448544286178</v>
      </c>
      <c r="N763">
        <f t="shared" si="79"/>
        <v>172.96798541727486</v>
      </c>
      <c r="O763">
        <f t="shared" si="80"/>
        <v>210.14742667389368</v>
      </c>
      <c r="P763">
        <f t="shared" si="81"/>
        <v>310</v>
      </c>
      <c r="Q763" t="e">
        <f t="shared" si="82"/>
        <v>#N/A</v>
      </c>
      <c r="U763">
        <f>C763/Navio!$J$4</f>
        <v>15.205476846275966</v>
      </c>
    </row>
    <row r="764" spans="1:21" x14ac:dyDescent="0.3">
      <c r="A764">
        <v>762</v>
      </c>
      <c r="B764" s="6">
        <v>797.99341924955706</v>
      </c>
      <c r="C764" s="46">
        <v>287.45457506130577</v>
      </c>
      <c r="D764" s="1">
        <v>11</v>
      </c>
      <c r="E764" s="1">
        <v>15</v>
      </c>
      <c r="F764" s="1">
        <v>16</v>
      </c>
      <c r="G764" s="1">
        <v>14</v>
      </c>
      <c r="H764" s="1">
        <v>8</v>
      </c>
      <c r="I764" s="1" t="s">
        <v>50</v>
      </c>
      <c r="J764" s="1" t="s">
        <v>50</v>
      </c>
      <c r="K764" s="1" t="s">
        <v>50</v>
      </c>
      <c r="L764">
        <f t="shared" si="78"/>
        <v>278.99258318037374</v>
      </c>
      <c r="M764">
        <f t="shared" si="77"/>
        <v>210.14742667389368</v>
      </c>
      <c r="N764">
        <f t="shared" si="79"/>
        <v>172.96798541727486</v>
      </c>
      <c r="O764">
        <f t="shared" si="80"/>
        <v>96.197414256198073</v>
      </c>
      <c r="P764">
        <f t="shared" si="81"/>
        <v>310</v>
      </c>
      <c r="Q764" t="e">
        <f t="shared" si="82"/>
        <v>#N/A</v>
      </c>
      <c r="U764">
        <f>C764/Navio!$J$4</f>
        <v>15.52131875822926</v>
      </c>
    </row>
    <row r="765" spans="1:21" x14ac:dyDescent="0.3">
      <c r="A765">
        <v>763</v>
      </c>
      <c r="B765" s="6">
        <v>892.24167035200617</v>
      </c>
      <c r="C765" s="46">
        <v>291.25837287539366</v>
      </c>
      <c r="D765" s="1">
        <v>11</v>
      </c>
      <c r="E765" s="1">
        <v>17</v>
      </c>
      <c r="F765" s="1">
        <v>16</v>
      </c>
      <c r="G765" s="1">
        <v>14</v>
      </c>
      <c r="H765" s="1">
        <v>8</v>
      </c>
      <c r="I765" s="1" t="s">
        <v>50</v>
      </c>
      <c r="J765" s="1" t="s">
        <v>50</v>
      </c>
      <c r="K765" s="1" t="s">
        <v>50</v>
      </c>
      <c r="L765">
        <f t="shared" si="78"/>
        <v>278.99258318037374</v>
      </c>
      <c r="M765">
        <f t="shared" si="77"/>
        <v>304.39567777634272</v>
      </c>
      <c r="N765">
        <f t="shared" si="79"/>
        <v>172.96798541727486</v>
      </c>
      <c r="O765">
        <f t="shared" si="80"/>
        <v>96.197414256198073</v>
      </c>
      <c r="P765">
        <f t="shared" si="81"/>
        <v>310</v>
      </c>
      <c r="Q765" t="e">
        <f t="shared" si="82"/>
        <v>#N/A</v>
      </c>
      <c r="U765">
        <f>C765/Navio!$J$4</f>
        <v>15.726707586539689</v>
      </c>
    </row>
    <row r="766" spans="1:21" x14ac:dyDescent="0.3">
      <c r="A766">
        <v>764</v>
      </c>
      <c r="B766" s="6">
        <v>674.26818018805716</v>
      </c>
      <c r="C766" s="46">
        <v>278.43018785375102</v>
      </c>
      <c r="D766" s="1">
        <v>13</v>
      </c>
      <c r="E766" s="1">
        <v>15</v>
      </c>
      <c r="F766" s="1">
        <v>14</v>
      </c>
      <c r="G766" s="1">
        <v>12</v>
      </c>
      <c r="H766" s="1">
        <v>8</v>
      </c>
      <c r="I766" s="1" t="s">
        <v>50</v>
      </c>
      <c r="J766" s="1" t="s">
        <v>50</v>
      </c>
      <c r="K766" s="1" t="s">
        <v>50</v>
      </c>
      <c r="L766">
        <f t="shared" si="78"/>
        <v>185.56448544286178</v>
      </c>
      <c r="M766">
        <f t="shared" si="77"/>
        <v>210.14742667389368</v>
      </c>
      <c r="N766">
        <f t="shared" si="79"/>
        <v>96.197414256198073</v>
      </c>
      <c r="O766">
        <f t="shared" si="80"/>
        <v>82.076561445310972</v>
      </c>
      <c r="P766">
        <f t="shared" si="81"/>
        <v>310</v>
      </c>
      <c r="Q766" t="e">
        <f t="shared" si="82"/>
        <v>#N/A</v>
      </c>
      <c r="U766">
        <f>C766/Navio!$J$4</f>
        <v>15.034040410280646</v>
      </c>
    </row>
    <row r="767" spans="1:21" x14ac:dyDescent="0.3">
      <c r="A767">
        <v>765</v>
      </c>
      <c r="B767" s="6">
        <v>521.77674865325514</v>
      </c>
      <c r="C767" s="46">
        <v>287.38382520655841</v>
      </c>
      <c r="D767" s="1">
        <v>13</v>
      </c>
      <c r="E767" s="1">
        <v>16</v>
      </c>
      <c r="F767" s="1">
        <v>14</v>
      </c>
      <c r="G767" s="1">
        <v>12</v>
      </c>
      <c r="H767" s="1">
        <v>8</v>
      </c>
      <c r="I767" s="1" t="s">
        <v>50</v>
      </c>
      <c r="J767" s="1" t="s">
        <v>50</v>
      </c>
      <c r="K767" s="1" t="s">
        <v>50</v>
      </c>
      <c r="L767">
        <f t="shared" si="78"/>
        <v>185.56448544286178</v>
      </c>
      <c r="M767">
        <f t="shared" si="77"/>
        <v>172.96798541727486</v>
      </c>
      <c r="N767">
        <f t="shared" si="79"/>
        <v>96.197414256198073</v>
      </c>
      <c r="O767">
        <f t="shared" si="80"/>
        <v>82.076561445310972</v>
      </c>
      <c r="P767">
        <f t="shared" si="81"/>
        <v>310</v>
      </c>
      <c r="Q767" t="e">
        <f t="shared" si="82"/>
        <v>#N/A</v>
      </c>
      <c r="U767">
        <f>C767/Navio!$J$4</f>
        <v>15.517498568387445</v>
      </c>
    </row>
    <row r="768" spans="1:21" x14ac:dyDescent="0.3">
      <c r="A768">
        <v>766</v>
      </c>
      <c r="B768" s="6">
        <v>768.51643129050626</v>
      </c>
      <c r="C768" s="46">
        <v>289.94287673904626</v>
      </c>
      <c r="D768" s="1">
        <v>13</v>
      </c>
      <c r="E768" s="1">
        <v>17</v>
      </c>
      <c r="F768" s="1">
        <v>14</v>
      </c>
      <c r="G768" s="1">
        <v>12</v>
      </c>
      <c r="H768" s="1">
        <v>8</v>
      </c>
      <c r="I768" s="1" t="s">
        <v>50</v>
      </c>
      <c r="J768" s="1" t="s">
        <v>50</v>
      </c>
      <c r="K768" s="1" t="s">
        <v>50</v>
      </c>
      <c r="L768">
        <f t="shared" si="78"/>
        <v>185.56448544286178</v>
      </c>
      <c r="M768">
        <f t="shared" si="77"/>
        <v>304.39567777634272</v>
      </c>
      <c r="N768">
        <f t="shared" si="79"/>
        <v>96.197414256198073</v>
      </c>
      <c r="O768">
        <f t="shared" si="80"/>
        <v>82.076561445310972</v>
      </c>
      <c r="P768">
        <f t="shared" si="81"/>
        <v>310</v>
      </c>
      <c r="Q768" t="e">
        <f t="shared" si="82"/>
        <v>#N/A</v>
      </c>
      <c r="U768">
        <f>C768/Navio!$J$4</f>
        <v>15.655676416299617</v>
      </c>
    </row>
    <row r="769" spans="1:21" x14ac:dyDescent="0.3">
      <c r="A769">
        <v>767</v>
      </c>
      <c r="B769" s="6">
        <v>635.72676107095072</v>
      </c>
      <c r="C769" s="46">
        <v>280.78750189553409</v>
      </c>
      <c r="D769" s="1">
        <v>13</v>
      </c>
      <c r="E769" s="1">
        <v>16</v>
      </c>
      <c r="F769" s="1">
        <v>15</v>
      </c>
      <c r="G769" s="1">
        <v>12</v>
      </c>
      <c r="H769" s="1">
        <v>8</v>
      </c>
      <c r="I769" s="1" t="s">
        <v>50</v>
      </c>
      <c r="J769" s="1" t="s">
        <v>50</v>
      </c>
      <c r="K769" s="1" t="s">
        <v>50</v>
      </c>
      <c r="L769">
        <f t="shared" si="78"/>
        <v>185.56448544286178</v>
      </c>
      <c r="M769">
        <f t="shared" si="77"/>
        <v>172.96798541727486</v>
      </c>
      <c r="N769">
        <f t="shared" si="79"/>
        <v>210.14742667389368</v>
      </c>
      <c r="O769">
        <f t="shared" si="80"/>
        <v>82.076561445310972</v>
      </c>
      <c r="P769">
        <f t="shared" si="81"/>
        <v>310</v>
      </c>
      <c r="Q769" t="e">
        <f t="shared" si="82"/>
        <v>#N/A</v>
      </c>
      <c r="U769">
        <f>C769/Navio!$J$4</f>
        <v>15.161325295720237</v>
      </c>
    </row>
    <row r="770" spans="1:21" x14ac:dyDescent="0.3">
      <c r="A770">
        <v>768</v>
      </c>
      <c r="B770" s="6">
        <v>882.46644370820184</v>
      </c>
      <c r="C770" s="46">
        <v>281.50992593333996</v>
      </c>
      <c r="D770" s="1">
        <v>13</v>
      </c>
      <c r="E770" s="1">
        <v>17</v>
      </c>
      <c r="F770" s="1">
        <v>15</v>
      </c>
      <c r="G770" s="1">
        <v>12</v>
      </c>
      <c r="H770" s="1">
        <v>8</v>
      </c>
      <c r="I770" s="1" t="s">
        <v>50</v>
      </c>
      <c r="J770" s="1" t="s">
        <v>50</v>
      </c>
      <c r="K770" s="1" t="s">
        <v>50</v>
      </c>
      <c r="L770">
        <f t="shared" si="78"/>
        <v>185.56448544286178</v>
      </c>
      <c r="M770">
        <f t="shared" si="77"/>
        <v>304.39567777634272</v>
      </c>
      <c r="N770">
        <f t="shared" si="79"/>
        <v>210.14742667389368</v>
      </c>
      <c r="O770">
        <f t="shared" si="80"/>
        <v>82.076561445310972</v>
      </c>
      <c r="P770">
        <f t="shared" si="81"/>
        <v>310</v>
      </c>
      <c r="Q770" t="e">
        <f t="shared" si="82"/>
        <v>#N/A</v>
      </c>
      <c r="U770">
        <f>C770/Navio!$J$4</f>
        <v>15.200333106839613</v>
      </c>
    </row>
    <row r="771" spans="1:21" x14ac:dyDescent="0.3">
      <c r="A771">
        <v>769</v>
      </c>
      <c r="B771" s="6">
        <v>729.97501217339982</v>
      </c>
      <c r="C771" s="46">
        <v>285.43408938634911</v>
      </c>
      <c r="D771" s="1">
        <v>13</v>
      </c>
      <c r="E771" s="1">
        <v>17</v>
      </c>
      <c r="F771" s="1">
        <v>16</v>
      </c>
      <c r="G771" s="1">
        <v>12</v>
      </c>
      <c r="H771" s="1">
        <v>8</v>
      </c>
      <c r="I771" s="1" t="s">
        <v>50</v>
      </c>
      <c r="J771" s="1" t="s">
        <v>50</v>
      </c>
      <c r="K771" s="1" t="s">
        <v>50</v>
      </c>
      <c r="L771">
        <f t="shared" si="78"/>
        <v>185.56448544286178</v>
      </c>
      <c r="M771">
        <f t="shared" ref="M771:M834" si="83">VLOOKUP(E771,$Y$2:$Z$80,2)</f>
        <v>304.39567777634272</v>
      </c>
      <c r="N771">
        <f t="shared" si="79"/>
        <v>172.96798541727486</v>
      </c>
      <c r="O771">
        <f t="shared" si="80"/>
        <v>82.076561445310972</v>
      </c>
      <c r="P771">
        <f t="shared" si="81"/>
        <v>310</v>
      </c>
      <c r="Q771" t="e">
        <f t="shared" si="82"/>
        <v>#N/A</v>
      </c>
      <c r="U771">
        <f>C771/Navio!$J$4</f>
        <v>15.412221165328711</v>
      </c>
    </row>
    <row r="772" spans="1:21" x14ac:dyDescent="0.3">
      <c r="A772">
        <v>770</v>
      </c>
      <c r="B772" s="6">
        <v>546.35968988428704</v>
      </c>
      <c r="C772" s="46">
        <v>281.17002693715756</v>
      </c>
      <c r="D772" s="1">
        <v>14</v>
      </c>
      <c r="E772" s="1">
        <v>16</v>
      </c>
      <c r="F772" s="1">
        <v>15</v>
      </c>
      <c r="G772" s="1">
        <v>12</v>
      </c>
      <c r="H772" s="1">
        <v>8</v>
      </c>
      <c r="I772" s="1" t="s">
        <v>50</v>
      </c>
      <c r="J772" s="1" t="s">
        <v>50</v>
      </c>
      <c r="K772" s="1" t="s">
        <v>50</v>
      </c>
      <c r="L772">
        <f t="shared" si="78"/>
        <v>96.197414256198073</v>
      </c>
      <c r="M772">
        <f t="shared" si="83"/>
        <v>172.96798541727486</v>
      </c>
      <c r="N772">
        <f t="shared" si="79"/>
        <v>210.14742667389368</v>
      </c>
      <c r="O772">
        <f t="shared" si="80"/>
        <v>82.076561445310972</v>
      </c>
      <c r="P772">
        <f t="shared" si="81"/>
        <v>310</v>
      </c>
      <c r="Q772" t="e">
        <f t="shared" si="82"/>
        <v>#N/A</v>
      </c>
      <c r="U772">
        <f>C772/Navio!$J$4</f>
        <v>15.181980013436164</v>
      </c>
    </row>
    <row r="773" spans="1:21" x14ac:dyDescent="0.3">
      <c r="A773">
        <v>771</v>
      </c>
      <c r="B773" s="6">
        <v>793.09937252153816</v>
      </c>
      <c r="C773" s="46">
        <v>287.86626193126358</v>
      </c>
      <c r="D773" s="1">
        <v>14</v>
      </c>
      <c r="E773" s="1">
        <v>15</v>
      </c>
      <c r="F773" s="1">
        <v>17</v>
      </c>
      <c r="G773" s="1">
        <v>12</v>
      </c>
      <c r="H773" s="1">
        <v>8</v>
      </c>
      <c r="I773" s="1" t="s">
        <v>50</v>
      </c>
      <c r="J773" s="1" t="s">
        <v>50</v>
      </c>
      <c r="K773" s="1" t="s">
        <v>50</v>
      </c>
      <c r="L773">
        <f t="shared" si="78"/>
        <v>96.197414256198073</v>
      </c>
      <c r="M773">
        <f t="shared" si="83"/>
        <v>210.14742667389368</v>
      </c>
      <c r="N773">
        <f t="shared" si="79"/>
        <v>304.39567777634272</v>
      </c>
      <c r="O773">
        <f t="shared" si="80"/>
        <v>82.076561445310972</v>
      </c>
      <c r="P773">
        <f t="shared" si="81"/>
        <v>310</v>
      </c>
      <c r="Q773" t="e">
        <f t="shared" si="82"/>
        <v>#N/A</v>
      </c>
      <c r="U773">
        <f>C773/Navio!$J$4</f>
        <v>15.543548090066578</v>
      </c>
    </row>
    <row r="774" spans="1:21" x14ac:dyDescent="0.3">
      <c r="A774">
        <v>772</v>
      </c>
      <c r="B774" s="6">
        <v>640.60794098673603</v>
      </c>
      <c r="C774" s="46">
        <v>289.92089070279548</v>
      </c>
      <c r="D774" s="1">
        <v>14</v>
      </c>
      <c r="E774" s="1">
        <v>16</v>
      </c>
      <c r="F774" s="1">
        <v>17</v>
      </c>
      <c r="G774" s="1">
        <v>12</v>
      </c>
      <c r="H774" s="1">
        <v>8</v>
      </c>
      <c r="I774" s="1" t="s">
        <v>50</v>
      </c>
      <c r="J774" s="1" t="s">
        <v>50</v>
      </c>
      <c r="K774" s="1" t="s">
        <v>50</v>
      </c>
      <c r="L774">
        <f t="shared" si="78"/>
        <v>96.197414256198073</v>
      </c>
      <c r="M774">
        <f t="shared" si="83"/>
        <v>172.96798541727486</v>
      </c>
      <c r="N774">
        <f t="shared" si="79"/>
        <v>304.39567777634272</v>
      </c>
      <c r="O774">
        <f t="shared" si="80"/>
        <v>82.076561445310972</v>
      </c>
      <c r="P774">
        <f t="shared" si="81"/>
        <v>310</v>
      </c>
      <c r="Q774" t="e">
        <f t="shared" si="82"/>
        <v>#N/A</v>
      </c>
      <c r="U774">
        <f>C774/Navio!$J$4</f>
        <v>15.654489264288536</v>
      </c>
    </row>
    <row r="775" spans="1:21" x14ac:dyDescent="0.3">
      <c r="A775">
        <v>773</v>
      </c>
      <c r="B775" s="6">
        <v>754.55795340443171</v>
      </c>
      <c r="C775" s="46">
        <v>285.09867550963634</v>
      </c>
      <c r="D775" s="1">
        <v>17</v>
      </c>
      <c r="E775" s="1">
        <v>16</v>
      </c>
      <c r="F775" s="1">
        <v>15</v>
      </c>
      <c r="G775" s="1">
        <v>12</v>
      </c>
      <c r="H775" s="1">
        <v>8</v>
      </c>
      <c r="I775" s="1" t="s">
        <v>50</v>
      </c>
      <c r="J775" s="1" t="s">
        <v>50</v>
      </c>
      <c r="K775" s="1" t="s">
        <v>50</v>
      </c>
      <c r="L775">
        <f t="shared" si="78"/>
        <v>304.39567777634272</v>
      </c>
      <c r="M775">
        <f t="shared" si="83"/>
        <v>172.96798541727486</v>
      </c>
      <c r="N775">
        <f t="shared" si="79"/>
        <v>210.14742667389368</v>
      </c>
      <c r="O775">
        <f t="shared" si="80"/>
        <v>82.076561445310972</v>
      </c>
      <c r="P775">
        <f t="shared" si="81"/>
        <v>310</v>
      </c>
      <c r="Q775" t="e">
        <f t="shared" si="82"/>
        <v>#N/A</v>
      </c>
      <c r="U775">
        <f>C775/Navio!$J$4</f>
        <v>15.39411024921168</v>
      </c>
    </row>
    <row r="776" spans="1:21" x14ac:dyDescent="0.3">
      <c r="A776">
        <v>774</v>
      </c>
      <c r="B776" s="6">
        <v>704.5653215120451</v>
      </c>
      <c r="C776" s="46">
        <v>286.44561948569475</v>
      </c>
      <c r="D776" s="1">
        <v>14</v>
      </c>
      <c r="E776" s="1">
        <v>16</v>
      </c>
      <c r="F776" s="1">
        <v>15</v>
      </c>
      <c r="G776" s="1">
        <v>13</v>
      </c>
      <c r="H776" s="1">
        <v>8</v>
      </c>
      <c r="I776" s="1" t="s">
        <v>50</v>
      </c>
      <c r="J776" s="1" t="s">
        <v>50</v>
      </c>
      <c r="K776" s="1" t="s">
        <v>50</v>
      </c>
      <c r="L776">
        <f t="shared" si="78"/>
        <v>96.197414256198073</v>
      </c>
      <c r="M776">
        <f t="shared" si="83"/>
        <v>172.96798541727486</v>
      </c>
      <c r="N776">
        <f t="shared" si="79"/>
        <v>210.14742667389368</v>
      </c>
      <c r="O776">
        <f t="shared" si="80"/>
        <v>185.56448544286178</v>
      </c>
      <c r="P776">
        <f t="shared" si="81"/>
        <v>310</v>
      </c>
      <c r="Q776" t="e">
        <f t="shared" si="82"/>
        <v>#N/A</v>
      </c>
      <c r="U776">
        <f>C776/Navio!$J$4</f>
        <v>15.466839468419343</v>
      </c>
    </row>
    <row r="777" spans="1:21" x14ac:dyDescent="0.3">
      <c r="A777">
        <v>775</v>
      </c>
      <c r="B777" s="6">
        <v>798.81357261449421</v>
      </c>
      <c r="C777" s="46">
        <v>289.56712990200344</v>
      </c>
      <c r="D777" s="1">
        <v>14</v>
      </c>
      <c r="E777" s="1">
        <v>16</v>
      </c>
      <c r="F777" s="1">
        <v>17</v>
      </c>
      <c r="G777" s="1">
        <v>13</v>
      </c>
      <c r="H777" s="1">
        <v>8</v>
      </c>
      <c r="I777" s="1" t="s">
        <v>50</v>
      </c>
      <c r="J777" s="1" t="s">
        <v>50</v>
      </c>
      <c r="K777" s="1" t="s">
        <v>50</v>
      </c>
      <c r="L777">
        <f t="shared" si="78"/>
        <v>96.197414256198073</v>
      </c>
      <c r="M777">
        <f t="shared" si="83"/>
        <v>172.96798541727486</v>
      </c>
      <c r="N777">
        <f t="shared" si="79"/>
        <v>304.39567777634272</v>
      </c>
      <c r="O777">
        <f t="shared" si="80"/>
        <v>185.56448544286178</v>
      </c>
      <c r="P777">
        <f t="shared" si="81"/>
        <v>310</v>
      </c>
      <c r="Q777" t="e">
        <f t="shared" si="82"/>
        <v>#N/A</v>
      </c>
      <c r="U777">
        <f>C777/Navio!$J$4</f>
        <v>15.635387692667738</v>
      </c>
    </row>
    <row r="778" spans="1:21" x14ac:dyDescent="0.3">
      <c r="A778">
        <v>776</v>
      </c>
      <c r="B778" s="6">
        <v>823.3965138455261</v>
      </c>
      <c r="C778" s="46">
        <v>290.53649317898834</v>
      </c>
      <c r="D778" s="1">
        <v>14</v>
      </c>
      <c r="E778" s="1">
        <v>15</v>
      </c>
      <c r="F778" s="1">
        <v>16</v>
      </c>
      <c r="G778" s="1">
        <v>17</v>
      </c>
      <c r="H778" s="1">
        <v>8</v>
      </c>
      <c r="I778" s="1" t="s">
        <v>50</v>
      </c>
      <c r="J778" s="1" t="s">
        <v>50</v>
      </c>
      <c r="K778" s="1" t="s">
        <v>50</v>
      </c>
      <c r="L778">
        <f t="shared" si="78"/>
        <v>96.197414256198073</v>
      </c>
      <c r="M778">
        <f t="shared" si="83"/>
        <v>210.14742667389368</v>
      </c>
      <c r="N778">
        <f t="shared" si="79"/>
        <v>172.96798541727486</v>
      </c>
      <c r="O778">
        <f t="shared" si="80"/>
        <v>304.39567777634272</v>
      </c>
      <c r="P778">
        <f t="shared" si="81"/>
        <v>310</v>
      </c>
      <c r="Q778" t="e">
        <f t="shared" si="82"/>
        <v>#N/A</v>
      </c>
      <c r="U778">
        <f>C778/Navio!$J$4</f>
        <v>15.687729167529968</v>
      </c>
    </row>
    <row r="779" spans="1:21" x14ac:dyDescent="0.3">
      <c r="A779">
        <v>777</v>
      </c>
      <c r="B779" s="6">
        <v>847.91624653488168</v>
      </c>
      <c r="C779" s="46">
        <v>271.41627314566881</v>
      </c>
      <c r="D779" s="1">
        <v>14</v>
      </c>
      <c r="E779" s="1">
        <v>12</v>
      </c>
      <c r="F779" s="1">
        <v>11</v>
      </c>
      <c r="G779" s="1">
        <v>10</v>
      </c>
      <c r="H779" s="1">
        <v>9</v>
      </c>
      <c r="I779" s="1" t="s">
        <v>50</v>
      </c>
      <c r="J779" s="1" t="s">
        <v>50</v>
      </c>
      <c r="K779" s="1" t="s">
        <v>50</v>
      </c>
      <c r="L779">
        <f t="shared" si="78"/>
        <v>96.197414256198073</v>
      </c>
      <c r="M779">
        <f t="shared" si="83"/>
        <v>82.076561445310972</v>
      </c>
      <c r="N779">
        <f t="shared" si="79"/>
        <v>278.99258318037374</v>
      </c>
      <c r="O779">
        <f t="shared" si="80"/>
        <v>290.36739528320618</v>
      </c>
      <c r="P779">
        <f t="shared" si="81"/>
        <v>310</v>
      </c>
      <c r="Q779" t="e">
        <f t="shared" si="82"/>
        <v>#N/A</v>
      </c>
      <c r="U779">
        <f>C779/Navio!$J$4</f>
        <v>14.655318986542795</v>
      </c>
    </row>
    <row r="780" spans="1:21" x14ac:dyDescent="0.3">
      <c r="A780">
        <v>778</v>
      </c>
      <c r="B780" s="6">
        <v>809.37482741777524</v>
      </c>
      <c r="C780" s="46">
        <v>284.26964487412761</v>
      </c>
      <c r="D780" s="1">
        <v>12</v>
      </c>
      <c r="E780" s="1">
        <v>16</v>
      </c>
      <c r="F780" s="1">
        <v>11</v>
      </c>
      <c r="G780" s="1">
        <v>10</v>
      </c>
      <c r="H780" s="1">
        <v>9</v>
      </c>
      <c r="I780" s="1" t="s">
        <v>50</v>
      </c>
      <c r="J780" s="1" t="s">
        <v>50</v>
      </c>
      <c r="K780" s="1" t="s">
        <v>50</v>
      </c>
      <c r="L780">
        <f t="shared" si="78"/>
        <v>82.076561445310972</v>
      </c>
      <c r="M780">
        <f t="shared" si="83"/>
        <v>172.96798541727486</v>
      </c>
      <c r="N780">
        <f t="shared" si="79"/>
        <v>278.99258318037374</v>
      </c>
      <c r="O780">
        <f t="shared" si="80"/>
        <v>290.36739528320618</v>
      </c>
      <c r="P780">
        <f t="shared" si="81"/>
        <v>310</v>
      </c>
      <c r="Q780" t="e">
        <f t="shared" si="82"/>
        <v>#N/A</v>
      </c>
      <c r="U780">
        <f>C780/Navio!$J$4</f>
        <v>15.349346137346965</v>
      </c>
    </row>
    <row r="781" spans="1:21" x14ac:dyDescent="0.3">
      <c r="A781">
        <v>779</v>
      </c>
      <c r="B781" s="6">
        <v>878.21338785886962</v>
      </c>
      <c r="C781" s="46">
        <v>287.81333926149779</v>
      </c>
      <c r="D781" s="1">
        <v>14</v>
      </c>
      <c r="E781" s="1">
        <v>16</v>
      </c>
      <c r="F781" s="1">
        <v>11</v>
      </c>
      <c r="G781" s="1">
        <v>10</v>
      </c>
      <c r="H781" s="1">
        <v>9</v>
      </c>
      <c r="I781" s="1" t="s">
        <v>50</v>
      </c>
      <c r="J781" s="1" t="s">
        <v>50</v>
      </c>
      <c r="K781" s="1" t="s">
        <v>50</v>
      </c>
      <c r="L781">
        <f t="shared" ref="L781:L844" si="84">VLOOKUP(D781,$Y$2:$Z$80,2)</f>
        <v>96.197414256198073</v>
      </c>
      <c r="M781">
        <f t="shared" si="83"/>
        <v>172.96798541727486</v>
      </c>
      <c r="N781">
        <f t="shared" ref="N781:N844" si="85">VLOOKUP(F781,$Y$2:$Z$80,2)</f>
        <v>278.99258318037374</v>
      </c>
      <c r="O781">
        <f t="shared" ref="O781:O844" si="86">VLOOKUP(G781,$Y$2:$Z$80,2)</f>
        <v>290.36739528320618</v>
      </c>
      <c r="P781">
        <f t="shared" ref="P781:P844" si="87">VLOOKUP(H781,$Y$2:$Z$80,2)</f>
        <v>310</v>
      </c>
      <c r="Q781" t="e">
        <f t="shared" ref="Q781:Q844" si="88">VLOOKUP(I781,$Y$2:$Z$80,2)</f>
        <v>#N/A</v>
      </c>
      <c r="U781">
        <f>C781/Navio!$J$4</f>
        <v>15.540690492038102</v>
      </c>
    </row>
    <row r="782" spans="1:21" x14ac:dyDescent="0.3">
      <c r="A782">
        <v>780</v>
      </c>
      <c r="B782" s="6">
        <v>754.48814879736972</v>
      </c>
      <c r="C782" s="46">
        <v>277.1846038641562</v>
      </c>
      <c r="D782" s="1">
        <v>12</v>
      </c>
      <c r="E782" s="1">
        <v>14</v>
      </c>
      <c r="F782" s="1">
        <v>13</v>
      </c>
      <c r="G782" s="1">
        <v>10</v>
      </c>
      <c r="H782" s="1">
        <v>9</v>
      </c>
      <c r="I782" s="1" t="s">
        <v>50</v>
      </c>
      <c r="J782" s="1" t="s">
        <v>50</v>
      </c>
      <c r="K782" s="1" t="s">
        <v>50</v>
      </c>
      <c r="L782">
        <f t="shared" si="84"/>
        <v>82.076561445310972</v>
      </c>
      <c r="M782">
        <f t="shared" si="83"/>
        <v>96.197414256198073</v>
      </c>
      <c r="N782">
        <f t="shared" si="85"/>
        <v>185.56448544286178</v>
      </c>
      <c r="O782">
        <f t="shared" si="86"/>
        <v>290.36739528320618</v>
      </c>
      <c r="P782">
        <f t="shared" si="87"/>
        <v>310</v>
      </c>
      <c r="Q782" t="e">
        <f t="shared" si="88"/>
        <v>#N/A</v>
      </c>
      <c r="U782">
        <f>C782/Navio!$J$4</f>
        <v>14.966784197230202</v>
      </c>
    </row>
    <row r="783" spans="1:21" x14ac:dyDescent="0.3">
      <c r="A783">
        <v>781</v>
      </c>
      <c r="B783" s="6">
        <v>868.43816121506529</v>
      </c>
      <c r="C783" s="46">
        <v>273.42760027941847</v>
      </c>
      <c r="D783" s="1">
        <v>12</v>
      </c>
      <c r="E783" s="1">
        <v>15</v>
      </c>
      <c r="F783" s="1">
        <v>13</v>
      </c>
      <c r="G783" s="1">
        <v>10</v>
      </c>
      <c r="H783" s="1">
        <v>9</v>
      </c>
      <c r="I783" s="1" t="s">
        <v>50</v>
      </c>
      <c r="J783" s="1" t="s">
        <v>50</v>
      </c>
      <c r="K783" s="1" t="s">
        <v>50</v>
      </c>
      <c r="L783">
        <f t="shared" si="84"/>
        <v>82.076561445310972</v>
      </c>
      <c r="M783">
        <f t="shared" si="83"/>
        <v>210.14742667389368</v>
      </c>
      <c r="N783">
        <f t="shared" si="85"/>
        <v>185.56448544286178</v>
      </c>
      <c r="O783">
        <f t="shared" si="86"/>
        <v>290.36739528320618</v>
      </c>
      <c r="P783">
        <f t="shared" si="87"/>
        <v>310</v>
      </c>
      <c r="Q783" t="e">
        <f t="shared" si="88"/>
        <v>#N/A</v>
      </c>
      <c r="U783">
        <f>C783/Navio!$J$4</f>
        <v>14.763922057352666</v>
      </c>
    </row>
    <row r="784" spans="1:21" x14ac:dyDescent="0.3">
      <c r="A784">
        <v>782</v>
      </c>
      <c r="B784" s="6">
        <v>715.94672968026327</v>
      </c>
      <c r="C784" s="46">
        <v>284.25077231370312</v>
      </c>
      <c r="D784" s="1">
        <v>12</v>
      </c>
      <c r="E784" s="1">
        <v>16</v>
      </c>
      <c r="F784" s="1">
        <v>13</v>
      </c>
      <c r="G784" s="1">
        <v>10</v>
      </c>
      <c r="H784" s="1">
        <v>9</v>
      </c>
      <c r="I784" s="1" t="s">
        <v>50</v>
      </c>
      <c r="J784" s="1" t="s">
        <v>50</v>
      </c>
      <c r="K784" s="1" t="s">
        <v>50</v>
      </c>
      <c r="L784">
        <f t="shared" si="84"/>
        <v>82.076561445310972</v>
      </c>
      <c r="M784">
        <f t="shared" si="83"/>
        <v>172.96798541727486</v>
      </c>
      <c r="N784">
        <f t="shared" si="85"/>
        <v>185.56448544286178</v>
      </c>
      <c r="O784">
        <f t="shared" si="86"/>
        <v>290.36739528320618</v>
      </c>
      <c r="P784">
        <f t="shared" si="87"/>
        <v>310</v>
      </c>
      <c r="Q784" t="e">
        <f t="shared" si="88"/>
        <v>#N/A</v>
      </c>
      <c r="U784">
        <f>C784/Navio!$J$4</f>
        <v>15.348327099726603</v>
      </c>
    </row>
    <row r="785" spans="1:21" x14ac:dyDescent="0.3">
      <c r="A785">
        <v>783</v>
      </c>
      <c r="B785" s="6">
        <v>779.07109002840161</v>
      </c>
      <c r="C785" s="46">
        <v>281.35466048009891</v>
      </c>
      <c r="D785" s="1">
        <v>12</v>
      </c>
      <c r="E785" s="1">
        <v>14</v>
      </c>
      <c r="F785" s="1">
        <v>15</v>
      </c>
      <c r="G785" s="1">
        <v>10</v>
      </c>
      <c r="H785" s="1">
        <v>9</v>
      </c>
      <c r="I785" s="1" t="s">
        <v>50</v>
      </c>
      <c r="J785" s="1" t="s">
        <v>50</v>
      </c>
      <c r="K785" s="1" t="s">
        <v>50</v>
      </c>
      <c r="L785">
        <f t="shared" si="84"/>
        <v>82.076561445310972</v>
      </c>
      <c r="M785">
        <f t="shared" si="83"/>
        <v>96.197414256198073</v>
      </c>
      <c r="N785">
        <f t="shared" si="85"/>
        <v>210.14742667389368</v>
      </c>
      <c r="O785">
        <f t="shared" si="86"/>
        <v>290.36739528320618</v>
      </c>
      <c r="P785">
        <f t="shared" si="87"/>
        <v>310</v>
      </c>
      <c r="Q785" t="e">
        <f t="shared" si="88"/>
        <v>#N/A</v>
      </c>
      <c r="U785">
        <f>C785/Navio!$J$4</f>
        <v>15.191949435814788</v>
      </c>
    </row>
    <row r="786" spans="1:21" x14ac:dyDescent="0.3">
      <c r="A786">
        <v>784</v>
      </c>
      <c r="B786" s="6">
        <v>626.57965849359948</v>
      </c>
      <c r="C786" s="46">
        <v>290.79451581306432</v>
      </c>
      <c r="D786" s="1">
        <v>12</v>
      </c>
      <c r="E786" s="1">
        <v>14</v>
      </c>
      <c r="F786" s="1">
        <v>16</v>
      </c>
      <c r="G786" s="1">
        <v>10</v>
      </c>
      <c r="H786" s="1">
        <v>9</v>
      </c>
      <c r="I786" s="1" t="s">
        <v>50</v>
      </c>
      <c r="J786" s="1" t="s">
        <v>50</v>
      </c>
      <c r="K786" s="1" t="s">
        <v>50</v>
      </c>
      <c r="L786">
        <f t="shared" si="84"/>
        <v>82.076561445310972</v>
      </c>
      <c r="M786">
        <f t="shared" si="83"/>
        <v>96.197414256198073</v>
      </c>
      <c r="N786">
        <f t="shared" si="85"/>
        <v>172.96798541727486</v>
      </c>
      <c r="O786">
        <f t="shared" si="86"/>
        <v>290.36739528320618</v>
      </c>
      <c r="P786">
        <f t="shared" si="87"/>
        <v>310</v>
      </c>
      <c r="Q786" t="e">
        <f t="shared" si="88"/>
        <v>#N/A</v>
      </c>
      <c r="U786">
        <f>C786/Navio!$J$4</f>
        <v>15.701661287237846</v>
      </c>
    </row>
    <row r="787" spans="1:21" x14ac:dyDescent="0.3">
      <c r="A787">
        <v>785</v>
      </c>
      <c r="B787" s="6">
        <v>873.3193411308506</v>
      </c>
      <c r="C787" s="46">
        <v>292.98634724029296</v>
      </c>
      <c r="D787" s="1">
        <v>12</v>
      </c>
      <c r="E787" s="1">
        <v>14</v>
      </c>
      <c r="F787" s="1">
        <v>17</v>
      </c>
      <c r="G787" s="1">
        <v>10</v>
      </c>
      <c r="H787" s="1">
        <v>9</v>
      </c>
      <c r="I787" s="1" t="s">
        <v>50</v>
      </c>
      <c r="J787" s="1" t="s">
        <v>50</v>
      </c>
      <c r="K787" s="1" t="s">
        <v>50</v>
      </c>
      <c r="L787">
        <f t="shared" si="84"/>
        <v>82.076561445310972</v>
      </c>
      <c r="M787">
        <f t="shared" si="83"/>
        <v>96.197414256198073</v>
      </c>
      <c r="N787">
        <f t="shared" si="85"/>
        <v>304.39567777634272</v>
      </c>
      <c r="O787">
        <f t="shared" si="86"/>
        <v>290.36739528320618</v>
      </c>
      <c r="P787">
        <f t="shared" si="87"/>
        <v>310</v>
      </c>
      <c r="Q787" t="e">
        <f t="shared" si="88"/>
        <v>#N/A</v>
      </c>
      <c r="U787">
        <f>C787/Navio!$J$4</f>
        <v>15.820010818599679</v>
      </c>
    </row>
    <row r="788" spans="1:21" x14ac:dyDescent="0.3">
      <c r="A788">
        <v>786</v>
      </c>
      <c r="B788" s="6">
        <v>740.52967091129517</v>
      </c>
      <c r="C788" s="46">
        <v>284.19819250204</v>
      </c>
      <c r="D788" s="1">
        <v>12</v>
      </c>
      <c r="E788" s="1">
        <v>15</v>
      </c>
      <c r="F788" s="1">
        <v>16</v>
      </c>
      <c r="G788" s="1">
        <v>10</v>
      </c>
      <c r="H788" s="1">
        <v>9</v>
      </c>
      <c r="I788" s="1" t="s">
        <v>50</v>
      </c>
      <c r="J788" s="1" t="s">
        <v>50</v>
      </c>
      <c r="K788" s="1" t="s">
        <v>50</v>
      </c>
      <c r="L788">
        <f t="shared" si="84"/>
        <v>82.076561445310972</v>
      </c>
      <c r="M788">
        <f t="shared" si="83"/>
        <v>210.14742667389368</v>
      </c>
      <c r="N788">
        <f t="shared" si="85"/>
        <v>172.96798541727486</v>
      </c>
      <c r="O788">
        <f t="shared" si="86"/>
        <v>290.36739528320618</v>
      </c>
      <c r="P788">
        <f t="shared" si="87"/>
        <v>310</v>
      </c>
      <c r="Q788" t="e">
        <f t="shared" si="88"/>
        <v>#N/A</v>
      </c>
      <c r="U788">
        <f>C788/Navio!$J$4</f>
        <v>15.345488014570638</v>
      </c>
    </row>
    <row r="789" spans="1:21" x14ac:dyDescent="0.3">
      <c r="A789">
        <v>787</v>
      </c>
      <c r="B789" s="6">
        <v>834.77792201374416</v>
      </c>
      <c r="C789" s="46">
        <v>288.47755988759582</v>
      </c>
      <c r="D789" s="1">
        <v>12</v>
      </c>
      <c r="E789" s="1">
        <v>16</v>
      </c>
      <c r="F789" s="1">
        <v>17</v>
      </c>
      <c r="G789" s="1">
        <v>10</v>
      </c>
      <c r="H789" s="1">
        <v>9</v>
      </c>
      <c r="I789" s="1" t="s">
        <v>50</v>
      </c>
      <c r="J789" s="1" t="s">
        <v>50</v>
      </c>
      <c r="K789" s="1" t="s">
        <v>50</v>
      </c>
      <c r="L789">
        <f t="shared" si="84"/>
        <v>82.076561445310972</v>
      </c>
      <c r="M789">
        <f t="shared" si="83"/>
        <v>172.96798541727486</v>
      </c>
      <c r="N789">
        <f t="shared" si="85"/>
        <v>304.39567777634272</v>
      </c>
      <c r="O789">
        <f t="shared" si="86"/>
        <v>290.36739528320618</v>
      </c>
      <c r="P789">
        <f t="shared" si="87"/>
        <v>310</v>
      </c>
      <c r="Q789" t="e">
        <f t="shared" si="88"/>
        <v>#N/A</v>
      </c>
      <c r="U789">
        <f>C789/Navio!$J$4</f>
        <v>15.576555567628773</v>
      </c>
    </row>
    <row r="790" spans="1:21" x14ac:dyDescent="0.3">
      <c r="A790">
        <v>788</v>
      </c>
      <c r="B790" s="6">
        <v>784.78529012135766</v>
      </c>
      <c r="C790" s="46">
        <v>287.7944667010733</v>
      </c>
      <c r="D790" s="1">
        <v>14</v>
      </c>
      <c r="E790" s="1">
        <v>16</v>
      </c>
      <c r="F790" s="1">
        <v>13</v>
      </c>
      <c r="G790" s="1">
        <v>10</v>
      </c>
      <c r="H790" s="1">
        <v>9</v>
      </c>
      <c r="I790" s="1" t="s">
        <v>50</v>
      </c>
      <c r="J790" s="1" t="s">
        <v>50</v>
      </c>
      <c r="K790" s="1" t="s">
        <v>50</v>
      </c>
      <c r="L790">
        <f t="shared" si="84"/>
        <v>96.197414256198073</v>
      </c>
      <c r="M790">
        <f t="shared" si="83"/>
        <v>172.96798541727486</v>
      </c>
      <c r="N790">
        <f t="shared" si="85"/>
        <v>185.56448544286178</v>
      </c>
      <c r="O790">
        <f t="shared" si="86"/>
        <v>290.36739528320618</v>
      </c>
      <c r="P790">
        <f t="shared" si="87"/>
        <v>310</v>
      </c>
      <c r="Q790" t="e">
        <f t="shared" si="88"/>
        <v>#N/A</v>
      </c>
      <c r="U790">
        <f>C790/Navio!$J$4</f>
        <v>15.539671454417741</v>
      </c>
    </row>
    <row r="791" spans="1:21" x14ac:dyDescent="0.3">
      <c r="A791">
        <v>789</v>
      </c>
      <c r="B791" s="6">
        <v>898.73530253905324</v>
      </c>
      <c r="C791" s="46">
        <v>284.25155549905071</v>
      </c>
      <c r="D791" s="1">
        <v>15</v>
      </c>
      <c r="E791" s="1">
        <v>16</v>
      </c>
      <c r="F791" s="1">
        <v>13</v>
      </c>
      <c r="G791" s="1">
        <v>10</v>
      </c>
      <c r="H791" s="1">
        <v>9</v>
      </c>
      <c r="I791" s="1" t="s">
        <v>50</v>
      </c>
      <c r="J791" s="1" t="s">
        <v>50</v>
      </c>
      <c r="K791" s="1" t="s">
        <v>50</v>
      </c>
      <c r="L791">
        <f t="shared" si="84"/>
        <v>210.14742667389368</v>
      </c>
      <c r="M791">
        <f t="shared" si="83"/>
        <v>172.96798541727486</v>
      </c>
      <c r="N791">
        <f t="shared" si="85"/>
        <v>185.56448544286178</v>
      </c>
      <c r="O791">
        <f t="shared" si="86"/>
        <v>290.36739528320618</v>
      </c>
      <c r="P791">
        <f t="shared" si="87"/>
        <v>310</v>
      </c>
      <c r="Q791" t="e">
        <f t="shared" si="88"/>
        <v>#N/A</v>
      </c>
      <c r="U791">
        <f>C791/Navio!$J$4</f>
        <v>15.348369388388818</v>
      </c>
    </row>
    <row r="792" spans="1:21" x14ac:dyDescent="0.3">
      <c r="A792">
        <v>790</v>
      </c>
      <c r="B792" s="6">
        <v>809.36823135238956</v>
      </c>
      <c r="C792" s="46">
        <v>288.78074598375849</v>
      </c>
      <c r="D792" s="1">
        <v>14</v>
      </c>
      <c r="E792" s="1">
        <v>16</v>
      </c>
      <c r="F792" s="1">
        <v>15</v>
      </c>
      <c r="G792" s="1">
        <v>10</v>
      </c>
      <c r="H792" s="1">
        <v>9</v>
      </c>
      <c r="I792" s="1" t="s">
        <v>50</v>
      </c>
      <c r="J792" s="1" t="s">
        <v>50</v>
      </c>
      <c r="K792" s="1" t="s">
        <v>50</v>
      </c>
      <c r="L792">
        <f t="shared" si="84"/>
        <v>96.197414256198073</v>
      </c>
      <c r="M792">
        <f t="shared" si="83"/>
        <v>172.96798541727486</v>
      </c>
      <c r="N792">
        <f t="shared" si="85"/>
        <v>210.14742667389368</v>
      </c>
      <c r="O792">
        <f t="shared" si="86"/>
        <v>290.36739528320618</v>
      </c>
      <c r="P792">
        <f t="shared" si="87"/>
        <v>310</v>
      </c>
      <c r="Q792" t="e">
        <f t="shared" si="88"/>
        <v>#N/A</v>
      </c>
      <c r="U792">
        <f>C792/Navio!$J$4</f>
        <v>15.592926321305596</v>
      </c>
    </row>
    <row r="793" spans="1:21" x14ac:dyDescent="0.3">
      <c r="A793">
        <v>791</v>
      </c>
      <c r="B793" s="6">
        <v>743.11333669453722</v>
      </c>
      <c r="C793" s="46">
        <v>274.98496753936058</v>
      </c>
      <c r="D793" s="1">
        <v>12</v>
      </c>
      <c r="E793" s="1">
        <v>14</v>
      </c>
      <c r="F793" s="1">
        <v>13</v>
      </c>
      <c r="G793" s="1">
        <v>11</v>
      </c>
      <c r="H793" s="1">
        <v>9</v>
      </c>
      <c r="I793" s="1" t="s">
        <v>50</v>
      </c>
      <c r="J793" s="1" t="s">
        <v>50</v>
      </c>
      <c r="K793" s="1" t="s">
        <v>50</v>
      </c>
      <c r="L793">
        <f t="shared" si="84"/>
        <v>82.076561445310972</v>
      </c>
      <c r="M793">
        <f t="shared" si="83"/>
        <v>96.197414256198073</v>
      </c>
      <c r="N793">
        <f t="shared" si="85"/>
        <v>185.56448544286178</v>
      </c>
      <c r="O793">
        <f t="shared" si="86"/>
        <v>278.99258318037374</v>
      </c>
      <c r="P793">
        <f t="shared" si="87"/>
        <v>310</v>
      </c>
      <c r="Q793" t="e">
        <f t="shared" si="88"/>
        <v>#N/A</v>
      </c>
      <c r="U793">
        <f>C793/Navio!$J$4</f>
        <v>14.848013234750125</v>
      </c>
    </row>
    <row r="794" spans="1:21" x14ac:dyDescent="0.3">
      <c r="A794">
        <v>792</v>
      </c>
      <c r="B794" s="6">
        <v>857.0633491122328</v>
      </c>
      <c r="C794" s="46">
        <v>271.22796395462285</v>
      </c>
      <c r="D794" s="1">
        <v>12</v>
      </c>
      <c r="E794" s="1">
        <v>15</v>
      </c>
      <c r="F794" s="1">
        <v>13</v>
      </c>
      <c r="G794" s="1">
        <v>11</v>
      </c>
      <c r="H794" s="1">
        <v>9</v>
      </c>
      <c r="I794" s="1" t="s">
        <v>50</v>
      </c>
      <c r="J794" s="1" t="s">
        <v>50</v>
      </c>
      <c r="K794" s="1" t="s">
        <v>50</v>
      </c>
      <c r="L794">
        <f t="shared" si="84"/>
        <v>82.076561445310972</v>
      </c>
      <c r="M794">
        <f t="shared" si="83"/>
        <v>210.14742667389368</v>
      </c>
      <c r="N794">
        <f t="shared" si="85"/>
        <v>185.56448544286178</v>
      </c>
      <c r="O794">
        <f t="shared" si="86"/>
        <v>278.99258318037374</v>
      </c>
      <c r="P794">
        <f t="shared" si="87"/>
        <v>310</v>
      </c>
      <c r="Q794" t="e">
        <f t="shared" si="88"/>
        <v>#N/A</v>
      </c>
      <c r="U794">
        <f>C794/Navio!$J$4</f>
        <v>14.64515109487259</v>
      </c>
    </row>
    <row r="795" spans="1:21" x14ac:dyDescent="0.3">
      <c r="A795">
        <v>793</v>
      </c>
      <c r="B795" s="6">
        <v>704.57191757743078</v>
      </c>
      <c r="C795" s="46">
        <v>282.0511359889075</v>
      </c>
      <c r="D795" s="1">
        <v>12</v>
      </c>
      <c r="E795" s="1">
        <v>16</v>
      </c>
      <c r="F795" s="1">
        <v>13</v>
      </c>
      <c r="G795" s="1">
        <v>11</v>
      </c>
      <c r="H795" s="1">
        <v>9</v>
      </c>
      <c r="I795" s="1" t="s">
        <v>50</v>
      </c>
      <c r="J795" s="1" t="s">
        <v>50</v>
      </c>
      <c r="K795" s="1" t="s">
        <v>50</v>
      </c>
      <c r="L795">
        <f t="shared" si="84"/>
        <v>82.076561445310972</v>
      </c>
      <c r="M795">
        <f t="shared" si="83"/>
        <v>172.96798541727486</v>
      </c>
      <c r="N795">
        <f t="shared" si="85"/>
        <v>185.56448544286178</v>
      </c>
      <c r="O795">
        <f t="shared" si="86"/>
        <v>278.99258318037374</v>
      </c>
      <c r="P795">
        <f t="shared" si="87"/>
        <v>310</v>
      </c>
      <c r="Q795" t="e">
        <f t="shared" si="88"/>
        <v>#N/A</v>
      </c>
      <c r="U795">
        <f>C795/Navio!$J$4</f>
        <v>15.229556137246528</v>
      </c>
    </row>
    <row r="796" spans="1:21" x14ac:dyDescent="0.3">
      <c r="A796">
        <v>794</v>
      </c>
      <c r="B796" s="6">
        <v>767.69627792556912</v>
      </c>
      <c r="C796" s="46">
        <v>278.92562653483333</v>
      </c>
      <c r="D796" s="1">
        <v>12</v>
      </c>
      <c r="E796" s="1">
        <v>14</v>
      </c>
      <c r="F796" s="1">
        <v>15</v>
      </c>
      <c r="G796" s="1">
        <v>11</v>
      </c>
      <c r="H796" s="1">
        <v>9</v>
      </c>
      <c r="I796" s="1" t="s">
        <v>50</v>
      </c>
      <c r="J796" s="1" t="s">
        <v>50</v>
      </c>
      <c r="K796" s="1" t="s">
        <v>50</v>
      </c>
      <c r="L796">
        <f t="shared" si="84"/>
        <v>82.076561445310972</v>
      </c>
      <c r="M796">
        <f t="shared" si="83"/>
        <v>96.197414256198073</v>
      </c>
      <c r="N796">
        <f t="shared" si="85"/>
        <v>210.14742667389368</v>
      </c>
      <c r="O796">
        <f t="shared" si="86"/>
        <v>278.99258318037374</v>
      </c>
      <c r="P796">
        <f t="shared" si="87"/>
        <v>310</v>
      </c>
      <c r="Q796" t="e">
        <f t="shared" si="88"/>
        <v>#N/A</v>
      </c>
      <c r="U796">
        <f>C796/Navio!$J$4</f>
        <v>15.060791982046707</v>
      </c>
    </row>
    <row r="797" spans="1:21" x14ac:dyDescent="0.3">
      <c r="A797">
        <v>795</v>
      </c>
      <c r="B797" s="6">
        <v>615.2048463907671</v>
      </c>
      <c r="C797" s="46">
        <v>288.43846599733945</v>
      </c>
      <c r="D797" s="1">
        <v>12</v>
      </c>
      <c r="E797" s="1">
        <v>14</v>
      </c>
      <c r="F797" s="1">
        <v>16</v>
      </c>
      <c r="G797" s="1">
        <v>11</v>
      </c>
      <c r="H797" s="1">
        <v>9</v>
      </c>
      <c r="I797" s="1" t="s">
        <v>50</v>
      </c>
      <c r="J797" s="1" t="s">
        <v>50</v>
      </c>
      <c r="K797" s="1" t="s">
        <v>50</v>
      </c>
      <c r="L797">
        <f t="shared" si="84"/>
        <v>82.076561445310972</v>
      </c>
      <c r="M797">
        <f t="shared" si="83"/>
        <v>96.197414256198073</v>
      </c>
      <c r="N797">
        <f t="shared" si="85"/>
        <v>172.96798541727486</v>
      </c>
      <c r="O797">
        <f t="shared" si="86"/>
        <v>278.99258318037374</v>
      </c>
      <c r="P797">
        <f t="shared" si="87"/>
        <v>310</v>
      </c>
      <c r="Q797" t="e">
        <f t="shared" si="88"/>
        <v>#N/A</v>
      </c>
      <c r="U797">
        <f>C797/Navio!$J$4</f>
        <v>15.574444664603352</v>
      </c>
    </row>
    <row r="798" spans="1:21" x14ac:dyDescent="0.3">
      <c r="A798">
        <v>796</v>
      </c>
      <c r="B798" s="6">
        <v>861.94452902801822</v>
      </c>
      <c r="C798" s="46">
        <v>291.12060281790775</v>
      </c>
      <c r="D798" s="1">
        <v>12</v>
      </c>
      <c r="E798" s="1">
        <v>14</v>
      </c>
      <c r="F798" s="1">
        <v>17</v>
      </c>
      <c r="G798" s="1">
        <v>11</v>
      </c>
      <c r="H798" s="1">
        <v>9</v>
      </c>
      <c r="I798" s="1" t="s">
        <v>50</v>
      </c>
      <c r="J798" s="1" t="s">
        <v>50</v>
      </c>
      <c r="K798" s="1" t="s">
        <v>50</v>
      </c>
      <c r="L798">
        <f t="shared" si="84"/>
        <v>82.076561445310972</v>
      </c>
      <c r="M798">
        <f t="shared" si="83"/>
        <v>96.197414256198073</v>
      </c>
      <c r="N798">
        <f t="shared" si="85"/>
        <v>304.39567777634272</v>
      </c>
      <c r="O798">
        <f t="shared" si="86"/>
        <v>278.99258318037374</v>
      </c>
      <c r="P798">
        <f t="shared" si="87"/>
        <v>310</v>
      </c>
      <c r="Q798" t="e">
        <f t="shared" si="88"/>
        <v>#N/A</v>
      </c>
      <c r="U798">
        <f>C798/Navio!$J$4</f>
        <v>15.719268592127712</v>
      </c>
    </row>
    <row r="799" spans="1:21" x14ac:dyDescent="0.3">
      <c r="A799">
        <v>797</v>
      </c>
      <c r="B799" s="6">
        <v>729.15485880846268</v>
      </c>
      <c r="C799" s="46">
        <v>281.84214268631513</v>
      </c>
      <c r="D799" s="1">
        <v>12</v>
      </c>
      <c r="E799" s="1">
        <v>15</v>
      </c>
      <c r="F799" s="1">
        <v>16</v>
      </c>
      <c r="G799" s="1">
        <v>11</v>
      </c>
      <c r="H799" s="1">
        <v>9</v>
      </c>
      <c r="I799" s="1" t="s">
        <v>50</v>
      </c>
      <c r="J799" s="1" t="s">
        <v>50</v>
      </c>
      <c r="K799" s="1" t="s">
        <v>50</v>
      </c>
      <c r="L799">
        <f t="shared" si="84"/>
        <v>82.076561445310972</v>
      </c>
      <c r="M799">
        <f t="shared" si="83"/>
        <v>210.14742667389368</v>
      </c>
      <c r="N799">
        <f t="shared" si="85"/>
        <v>172.96798541727486</v>
      </c>
      <c r="O799">
        <f t="shared" si="86"/>
        <v>278.99258318037374</v>
      </c>
      <c r="P799">
        <f t="shared" si="87"/>
        <v>310</v>
      </c>
      <c r="Q799" t="e">
        <f t="shared" si="88"/>
        <v>#N/A</v>
      </c>
      <c r="U799">
        <f>C799/Navio!$J$4</f>
        <v>15.218271391936144</v>
      </c>
    </row>
    <row r="800" spans="1:21" x14ac:dyDescent="0.3">
      <c r="A800">
        <v>798</v>
      </c>
      <c r="B800" s="6">
        <v>823.40310991091178</v>
      </c>
      <c r="C800" s="46">
        <v>286.61181546521061</v>
      </c>
      <c r="D800" s="1">
        <v>12</v>
      </c>
      <c r="E800" s="1">
        <v>16</v>
      </c>
      <c r="F800" s="1">
        <v>17</v>
      </c>
      <c r="G800" s="1">
        <v>11</v>
      </c>
      <c r="H800" s="1">
        <v>9</v>
      </c>
      <c r="I800" s="1" t="s">
        <v>50</v>
      </c>
      <c r="J800" s="1" t="s">
        <v>50</v>
      </c>
      <c r="K800" s="1" t="s">
        <v>50</v>
      </c>
      <c r="L800">
        <f t="shared" si="84"/>
        <v>82.076561445310972</v>
      </c>
      <c r="M800">
        <f t="shared" si="83"/>
        <v>172.96798541727486</v>
      </c>
      <c r="N800">
        <f t="shared" si="85"/>
        <v>304.39567777634272</v>
      </c>
      <c r="O800">
        <f t="shared" si="86"/>
        <v>278.99258318037374</v>
      </c>
      <c r="P800">
        <f t="shared" si="87"/>
        <v>310</v>
      </c>
      <c r="Q800" t="e">
        <f t="shared" si="88"/>
        <v>#N/A</v>
      </c>
      <c r="U800">
        <f>C800/Navio!$J$4</f>
        <v>15.475813341156806</v>
      </c>
    </row>
    <row r="801" spans="1:21" x14ac:dyDescent="0.3">
      <c r="A801">
        <v>799</v>
      </c>
      <c r="B801" s="6">
        <v>773.41047801852517</v>
      </c>
      <c r="C801" s="46">
        <v>285.59483037627763</v>
      </c>
      <c r="D801" s="1">
        <v>14</v>
      </c>
      <c r="E801" s="1">
        <v>16</v>
      </c>
      <c r="F801" s="1">
        <v>13</v>
      </c>
      <c r="G801" s="1">
        <v>11</v>
      </c>
      <c r="H801" s="1">
        <v>9</v>
      </c>
      <c r="I801" s="1" t="s">
        <v>50</v>
      </c>
      <c r="J801" s="1" t="s">
        <v>50</v>
      </c>
      <c r="K801" s="1" t="s">
        <v>50</v>
      </c>
      <c r="L801">
        <f t="shared" si="84"/>
        <v>96.197414256198073</v>
      </c>
      <c r="M801">
        <f t="shared" si="83"/>
        <v>172.96798541727486</v>
      </c>
      <c r="N801">
        <f t="shared" si="85"/>
        <v>185.56448544286178</v>
      </c>
      <c r="O801">
        <f t="shared" si="86"/>
        <v>278.99258318037374</v>
      </c>
      <c r="P801">
        <f t="shared" si="87"/>
        <v>310</v>
      </c>
      <c r="Q801" t="e">
        <f t="shared" si="88"/>
        <v>#N/A</v>
      </c>
      <c r="U801">
        <f>C801/Navio!$J$4</f>
        <v>15.420900491937662</v>
      </c>
    </row>
    <row r="802" spans="1:21" x14ac:dyDescent="0.3">
      <c r="A802">
        <v>800</v>
      </c>
      <c r="B802" s="6">
        <v>887.36049043622086</v>
      </c>
      <c r="C802" s="46">
        <v>282.05191917425509</v>
      </c>
      <c r="D802" s="1">
        <v>15</v>
      </c>
      <c r="E802" s="1">
        <v>16</v>
      </c>
      <c r="F802" s="1">
        <v>13</v>
      </c>
      <c r="G802" s="1">
        <v>11</v>
      </c>
      <c r="H802" s="1">
        <v>9</v>
      </c>
      <c r="I802" s="1" t="s">
        <v>50</v>
      </c>
      <c r="J802" s="1" t="s">
        <v>50</v>
      </c>
      <c r="K802" s="1" t="s">
        <v>50</v>
      </c>
      <c r="L802">
        <f t="shared" si="84"/>
        <v>210.14742667389368</v>
      </c>
      <c r="M802">
        <f t="shared" si="83"/>
        <v>172.96798541727486</v>
      </c>
      <c r="N802">
        <f t="shared" si="85"/>
        <v>185.56448544286178</v>
      </c>
      <c r="O802">
        <f t="shared" si="86"/>
        <v>278.99258318037374</v>
      </c>
      <c r="P802">
        <f t="shared" si="87"/>
        <v>310</v>
      </c>
      <c r="Q802" t="e">
        <f t="shared" si="88"/>
        <v>#N/A</v>
      </c>
      <c r="U802">
        <f>C802/Navio!$J$4</f>
        <v>15.229598425908742</v>
      </c>
    </row>
    <row r="803" spans="1:21" x14ac:dyDescent="0.3">
      <c r="A803">
        <v>801</v>
      </c>
      <c r="B803" s="6">
        <v>797.99341924955706</v>
      </c>
      <c r="C803" s="46">
        <v>286.35171203849291</v>
      </c>
      <c r="D803" s="1">
        <v>14</v>
      </c>
      <c r="E803" s="1">
        <v>16</v>
      </c>
      <c r="F803" s="1">
        <v>15</v>
      </c>
      <c r="G803" s="1">
        <v>11</v>
      </c>
      <c r="H803" s="1">
        <v>9</v>
      </c>
      <c r="I803" s="1" t="s">
        <v>50</v>
      </c>
      <c r="J803" s="1" t="s">
        <v>50</v>
      </c>
      <c r="K803" s="1" t="s">
        <v>50</v>
      </c>
      <c r="L803">
        <f t="shared" si="84"/>
        <v>96.197414256198073</v>
      </c>
      <c r="M803">
        <f t="shared" si="83"/>
        <v>172.96798541727486</v>
      </c>
      <c r="N803">
        <f t="shared" si="85"/>
        <v>210.14742667389368</v>
      </c>
      <c r="O803">
        <f t="shared" si="86"/>
        <v>278.99258318037374</v>
      </c>
      <c r="P803">
        <f t="shared" si="87"/>
        <v>310</v>
      </c>
      <c r="Q803" t="e">
        <f t="shared" si="88"/>
        <v>#N/A</v>
      </c>
      <c r="U803">
        <f>C803/Navio!$J$4</f>
        <v>15.461768867537515</v>
      </c>
    </row>
    <row r="804" spans="1:21" x14ac:dyDescent="0.3">
      <c r="A804">
        <v>802</v>
      </c>
      <c r="B804" s="6">
        <v>892.24167035200617</v>
      </c>
      <c r="C804" s="46">
        <v>290.15550985258074</v>
      </c>
      <c r="D804" s="1">
        <v>14</v>
      </c>
      <c r="E804" s="1">
        <v>16</v>
      </c>
      <c r="F804" s="1">
        <v>17</v>
      </c>
      <c r="G804" s="1">
        <v>11</v>
      </c>
      <c r="H804" s="1">
        <v>9</v>
      </c>
      <c r="I804" s="1" t="s">
        <v>50</v>
      </c>
      <c r="J804" s="1" t="s">
        <v>50</v>
      </c>
      <c r="K804" s="1" t="s">
        <v>50</v>
      </c>
      <c r="L804">
        <f t="shared" si="84"/>
        <v>96.197414256198073</v>
      </c>
      <c r="M804">
        <f t="shared" si="83"/>
        <v>172.96798541727486</v>
      </c>
      <c r="N804">
        <f t="shared" si="85"/>
        <v>304.39567777634272</v>
      </c>
      <c r="O804">
        <f t="shared" si="86"/>
        <v>278.99258318037374</v>
      </c>
      <c r="P804">
        <f t="shared" si="87"/>
        <v>310</v>
      </c>
      <c r="Q804" t="e">
        <f t="shared" si="88"/>
        <v>#N/A</v>
      </c>
      <c r="U804">
        <f>C804/Navio!$J$4</f>
        <v>15.667157695847941</v>
      </c>
    </row>
    <row r="805" spans="1:21" x14ac:dyDescent="0.3">
      <c r="A805">
        <v>803</v>
      </c>
      <c r="B805" s="6">
        <v>674.26818018805716</v>
      </c>
      <c r="C805" s="46">
        <v>279.56448126518001</v>
      </c>
      <c r="D805" s="1">
        <v>12</v>
      </c>
      <c r="E805" s="1">
        <v>14</v>
      </c>
      <c r="F805" s="1">
        <v>15</v>
      </c>
      <c r="G805" s="1">
        <v>13</v>
      </c>
      <c r="H805" s="1">
        <v>9</v>
      </c>
      <c r="I805" s="1" t="s">
        <v>50</v>
      </c>
      <c r="J805" s="1" t="s">
        <v>50</v>
      </c>
      <c r="K805" s="1" t="s">
        <v>50</v>
      </c>
      <c r="L805">
        <f t="shared" si="84"/>
        <v>82.076561445310972</v>
      </c>
      <c r="M805">
        <f t="shared" si="83"/>
        <v>96.197414256198073</v>
      </c>
      <c r="N805">
        <f t="shared" si="85"/>
        <v>210.14742667389368</v>
      </c>
      <c r="O805">
        <f t="shared" si="86"/>
        <v>185.56448544286178</v>
      </c>
      <c r="P805">
        <f t="shared" si="87"/>
        <v>310</v>
      </c>
      <c r="Q805" t="e">
        <f t="shared" si="88"/>
        <v>#N/A</v>
      </c>
      <c r="U805">
        <f>C805/Navio!$J$4</f>
        <v>15.095287407655427</v>
      </c>
    </row>
    <row r="806" spans="1:21" x14ac:dyDescent="0.3">
      <c r="A806">
        <v>804</v>
      </c>
      <c r="B806" s="6">
        <v>521.77674865325514</v>
      </c>
      <c r="C806" s="46">
        <v>288.5181186179874</v>
      </c>
      <c r="D806" s="1">
        <v>12</v>
      </c>
      <c r="E806" s="1">
        <v>14</v>
      </c>
      <c r="F806" s="1">
        <v>16</v>
      </c>
      <c r="G806" s="1">
        <v>13</v>
      </c>
      <c r="H806" s="1">
        <v>9</v>
      </c>
      <c r="I806" s="1" t="s">
        <v>50</v>
      </c>
      <c r="J806" s="1" t="s">
        <v>50</v>
      </c>
      <c r="K806" s="1" t="s">
        <v>50</v>
      </c>
      <c r="L806">
        <f t="shared" si="84"/>
        <v>82.076561445310972</v>
      </c>
      <c r="M806">
        <f t="shared" si="83"/>
        <v>96.197414256198073</v>
      </c>
      <c r="N806">
        <f t="shared" si="85"/>
        <v>172.96798541727486</v>
      </c>
      <c r="O806">
        <f t="shared" si="86"/>
        <v>185.56448544286178</v>
      </c>
      <c r="P806">
        <f t="shared" si="87"/>
        <v>310</v>
      </c>
      <c r="Q806" t="e">
        <f t="shared" si="88"/>
        <v>#N/A</v>
      </c>
      <c r="U806">
        <f>C806/Navio!$J$4</f>
        <v>15.578745565762226</v>
      </c>
    </row>
    <row r="807" spans="1:21" x14ac:dyDescent="0.3">
      <c r="A807">
        <v>805</v>
      </c>
      <c r="B807" s="6">
        <v>768.51643129050626</v>
      </c>
      <c r="C807" s="46">
        <v>291.07717015047524</v>
      </c>
      <c r="D807" s="1">
        <v>12</v>
      </c>
      <c r="E807" s="1">
        <v>14</v>
      </c>
      <c r="F807" s="1">
        <v>17</v>
      </c>
      <c r="G807" s="1">
        <v>13</v>
      </c>
      <c r="H807" s="1">
        <v>9</v>
      </c>
      <c r="I807" s="1" t="s">
        <v>50</v>
      </c>
      <c r="J807" s="1" t="s">
        <v>50</v>
      </c>
      <c r="K807" s="1" t="s">
        <v>50</v>
      </c>
      <c r="L807">
        <f t="shared" si="84"/>
        <v>82.076561445310972</v>
      </c>
      <c r="M807">
        <f t="shared" si="83"/>
        <v>96.197414256198073</v>
      </c>
      <c r="N807">
        <f t="shared" si="85"/>
        <v>304.39567777634272</v>
      </c>
      <c r="O807">
        <f t="shared" si="86"/>
        <v>185.56448544286178</v>
      </c>
      <c r="P807">
        <f t="shared" si="87"/>
        <v>310</v>
      </c>
      <c r="Q807" t="e">
        <f t="shared" si="88"/>
        <v>#N/A</v>
      </c>
      <c r="U807">
        <f>C807/Navio!$J$4</f>
        <v>15.716923413674397</v>
      </c>
    </row>
    <row r="808" spans="1:21" x14ac:dyDescent="0.3">
      <c r="A808">
        <v>806</v>
      </c>
      <c r="B808" s="6">
        <v>635.72676107095072</v>
      </c>
      <c r="C808" s="46">
        <v>281.92179530696308</v>
      </c>
      <c r="D808" s="1">
        <v>12</v>
      </c>
      <c r="E808" s="1">
        <v>15</v>
      </c>
      <c r="F808" s="1">
        <v>16</v>
      </c>
      <c r="G808" s="1">
        <v>13</v>
      </c>
      <c r="H808" s="1">
        <v>9</v>
      </c>
      <c r="I808" s="1" t="s">
        <v>50</v>
      </c>
      <c r="J808" s="1" t="s">
        <v>50</v>
      </c>
      <c r="K808" s="1" t="s">
        <v>50</v>
      </c>
      <c r="L808">
        <f t="shared" si="84"/>
        <v>82.076561445310972</v>
      </c>
      <c r="M808">
        <f t="shared" si="83"/>
        <v>210.14742667389368</v>
      </c>
      <c r="N808">
        <f t="shared" si="85"/>
        <v>172.96798541727486</v>
      </c>
      <c r="O808">
        <f t="shared" si="86"/>
        <v>185.56448544286178</v>
      </c>
      <c r="P808">
        <f t="shared" si="87"/>
        <v>310</v>
      </c>
      <c r="Q808" t="e">
        <f t="shared" si="88"/>
        <v>#N/A</v>
      </c>
      <c r="U808">
        <f>C808/Navio!$J$4</f>
        <v>15.22257229309502</v>
      </c>
    </row>
    <row r="809" spans="1:21" x14ac:dyDescent="0.3">
      <c r="A809">
        <v>807</v>
      </c>
      <c r="B809" s="6">
        <v>882.46644370820184</v>
      </c>
      <c r="C809" s="46">
        <v>282.644219344769</v>
      </c>
      <c r="D809" s="1">
        <v>12</v>
      </c>
      <c r="E809" s="1">
        <v>15</v>
      </c>
      <c r="F809" s="1">
        <v>17</v>
      </c>
      <c r="G809" s="1">
        <v>13</v>
      </c>
      <c r="H809" s="1">
        <v>9</v>
      </c>
      <c r="I809" s="1" t="s">
        <v>50</v>
      </c>
      <c r="J809" s="1" t="s">
        <v>50</v>
      </c>
      <c r="K809" s="1" t="s">
        <v>50</v>
      </c>
      <c r="L809">
        <f t="shared" si="84"/>
        <v>82.076561445310972</v>
      </c>
      <c r="M809">
        <f t="shared" si="83"/>
        <v>210.14742667389368</v>
      </c>
      <c r="N809">
        <f t="shared" si="85"/>
        <v>304.39567777634272</v>
      </c>
      <c r="O809">
        <f t="shared" si="86"/>
        <v>185.56448544286178</v>
      </c>
      <c r="P809">
        <f t="shared" si="87"/>
        <v>310</v>
      </c>
      <c r="Q809" t="e">
        <f t="shared" si="88"/>
        <v>#N/A</v>
      </c>
      <c r="U809">
        <f>C809/Navio!$J$4</f>
        <v>15.261580104214397</v>
      </c>
    </row>
    <row r="810" spans="1:21" x14ac:dyDescent="0.3">
      <c r="A810">
        <v>808</v>
      </c>
      <c r="B810" s="6">
        <v>729.97501217339982</v>
      </c>
      <c r="C810" s="46">
        <v>286.5683827977781</v>
      </c>
      <c r="D810" s="1">
        <v>12</v>
      </c>
      <c r="E810" s="1">
        <v>16</v>
      </c>
      <c r="F810" s="1">
        <v>17</v>
      </c>
      <c r="G810" s="1">
        <v>13</v>
      </c>
      <c r="H810" s="1">
        <v>9</v>
      </c>
      <c r="I810" s="1" t="s">
        <v>50</v>
      </c>
      <c r="J810" s="1" t="s">
        <v>50</v>
      </c>
      <c r="K810" s="1" t="s">
        <v>50</v>
      </c>
      <c r="L810">
        <f t="shared" si="84"/>
        <v>82.076561445310972</v>
      </c>
      <c r="M810">
        <f t="shared" si="83"/>
        <v>172.96798541727486</v>
      </c>
      <c r="N810">
        <f t="shared" si="85"/>
        <v>304.39567777634272</v>
      </c>
      <c r="O810">
        <f t="shared" si="86"/>
        <v>185.56448544286178</v>
      </c>
      <c r="P810">
        <f t="shared" si="87"/>
        <v>310</v>
      </c>
      <c r="Q810" t="e">
        <f t="shared" si="88"/>
        <v>#N/A</v>
      </c>
      <c r="U810">
        <f>C810/Navio!$J$4</f>
        <v>15.473468162703494</v>
      </c>
    </row>
    <row r="811" spans="1:21" x14ac:dyDescent="0.3">
      <c r="A811">
        <v>809</v>
      </c>
      <c r="B811" s="6">
        <v>546.35968988428704</v>
      </c>
      <c r="C811" s="46">
        <v>286.93243238537741</v>
      </c>
      <c r="D811" s="1">
        <v>14</v>
      </c>
      <c r="E811" s="1">
        <v>16</v>
      </c>
      <c r="F811" s="1">
        <v>15</v>
      </c>
      <c r="G811" s="1">
        <v>12</v>
      </c>
      <c r="H811" s="1">
        <v>9</v>
      </c>
      <c r="I811" s="1" t="s">
        <v>50</v>
      </c>
      <c r="J811" s="1" t="s">
        <v>50</v>
      </c>
      <c r="K811" s="1" t="s">
        <v>50</v>
      </c>
      <c r="L811">
        <f t="shared" si="84"/>
        <v>96.197414256198073</v>
      </c>
      <c r="M811">
        <f t="shared" si="83"/>
        <v>172.96798541727486</v>
      </c>
      <c r="N811">
        <f t="shared" si="85"/>
        <v>210.14742667389368</v>
      </c>
      <c r="O811">
        <f t="shared" si="86"/>
        <v>82.076561445310972</v>
      </c>
      <c r="P811">
        <f t="shared" si="87"/>
        <v>310</v>
      </c>
      <c r="Q811" t="e">
        <f t="shared" si="88"/>
        <v>#N/A</v>
      </c>
      <c r="U811">
        <f>C811/Navio!$J$4</f>
        <v>15.493125284847837</v>
      </c>
    </row>
    <row r="812" spans="1:21" x14ac:dyDescent="0.3">
      <c r="A812">
        <v>810</v>
      </c>
      <c r="B812" s="6">
        <v>793.09937252153816</v>
      </c>
      <c r="C812" s="46">
        <v>291.10277595262005</v>
      </c>
      <c r="D812" s="1">
        <v>12</v>
      </c>
      <c r="E812" s="1">
        <v>14</v>
      </c>
      <c r="F812" s="1">
        <v>15</v>
      </c>
      <c r="G812" s="1">
        <v>17</v>
      </c>
      <c r="H812" s="1">
        <v>9</v>
      </c>
      <c r="I812" s="1" t="s">
        <v>50</v>
      </c>
      <c r="J812" s="1" t="s">
        <v>50</v>
      </c>
      <c r="K812" s="1" t="s">
        <v>50</v>
      </c>
      <c r="L812">
        <f t="shared" si="84"/>
        <v>82.076561445310972</v>
      </c>
      <c r="M812">
        <f t="shared" si="83"/>
        <v>96.197414256198073</v>
      </c>
      <c r="N812">
        <f t="shared" si="85"/>
        <v>210.14742667389368</v>
      </c>
      <c r="O812">
        <f t="shared" si="86"/>
        <v>304.39567777634272</v>
      </c>
      <c r="P812">
        <f t="shared" si="87"/>
        <v>310</v>
      </c>
      <c r="Q812" t="e">
        <f t="shared" si="88"/>
        <v>#N/A</v>
      </c>
      <c r="U812">
        <f>C812/Navio!$J$4</f>
        <v>15.718306017576475</v>
      </c>
    </row>
    <row r="813" spans="1:21" x14ac:dyDescent="0.3">
      <c r="A813">
        <v>811</v>
      </c>
      <c r="B813" s="6">
        <v>640.60794098673603</v>
      </c>
      <c r="C813" s="46">
        <v>293.15740472415195</v>
      </c>
      <c r="D813" s="1">
        <v>12</v>
      </c>
      <c r="E813" s="1">
        <v>14</v>
      </c>
      <c r="F813" s="1">
        <v>16</v>
      </c>
      <c r="G813" s="1">
        <v>17</v>
      </c>
      <c r="H813" s="1">
        <v>9</v>
      </c>
      <c r="I813" s="1" t="s">
        <v>50</v>
      </c>
      <c r="J813" s="1" t="s">
        <v>50</v>
      </c>
      <c r="K813" s="1" t="s">
        <v>50</v>
      </c>
      <c r="L813">
        <f t="shared" si="84"/>
        <v>82.076561445310972</v>
      </c>
      <c r="M813">
        <f t="shared" si="83"/>
        <v>96.197414256198073</v>
      </c>
      <c r="N813">
        <f t="shared" si="85"/>
        <v>172.96798541727486</v>
      </c>
      <c r="O813">
        <f t="shared" si="86"/>
        <v>304.39567777634272</v>
      </c>
      <c r="P813">
        <f t="shared" si="87"/>
        <v>310</v>
      </c>
      <c r="Q813" t="e">
        <f t="shared" si="88"/>
        <v>#N/A</v>
      </c>
      <c r="U813">
        <f>C813/Navio!$J$4</f>
        <v>15.829247191798434</v>
      </c>
    </row>
    <row r="814" spans="1:21" x14ac:dyDescent="0.3">
      <c r="A814">
        <v>812</v>
      </c>
      <c r="B814" s="6">
        <v>754.55795340443171</v>
      </c>
      <c r="C814" s="46">
        <v>286.56108141312757</v>
      </c>
      <c r="D814" s="1">
        <v>12</v>
      </c>
      <c r="E814" s="1">
        <v>15</v>
      </c>
      <c r="F814" s="1">
        <v>16</v>
      </c>
      <c r="G814" s="1">
        <v>17</v>
      </c>
      <c r="H814" s="1">
        <v>9</v>
      </c>
      <c r="I814" s="1" t="s">
        <v>50</v>
      </c>
      <c r="J814" s="1" t="s">
        <v>50</v>
      </c>
      <c r="K814" s="1" t="s">
        <v>50</v>
      </c>
      <c r="L814">
        <f t="shared" si="84"/>
        <v>82.076561445310972</v>
      </c>
      <c r="M814">
        <f t="shared" si="83"/>
        <v>210.14742667389368</v>
      </c>
      <c r="N814">
        <f t="shared" si="85"/>
        <v>172.96798541727486</v>
      </c>
      <c r="O814">
        <f t="shared" si="86"/>
        <v>304.39567777634272</v>
      </c>
      <c r="P814">
        <f t="shared" si="87"/>
        <v>310</v>
      </c>
      <c r="Q814" t="e">
        <f t="shared" si="88"/>
        <v>#N/A</v>
      </c>
      <c r="U814">
        <f>C814/Navio!$J$4</f>
        <v>15.473073919131224</v>
      </c>
    </row>
    <row r="815" spans="1:21" x14ac:dyDescent="0.3">
      <c r="A815">
        <v>813</v>
      </c>
      <c r="B815" s="6">
        <v>704.5653215120451</v>
      </c>
      <c r="C815" s="46">
        <v>286.99056676883959</v>
      </c>
      <c r="D815" s="1">
        <v>14</v>
      </c>
      <c r="E815" s="1">
        <v>16</v>
      </c>
      <c r="F815" s="1">
        <v>15</v>
      </c>
      <c r="G815" s="1">
        <v>13</v>
      </c>
      <c r="H815" s="1">
        <v>9</v>
      </c>
      <c r="I815" s="1" t="s">
        <v>50</v>
      </c>
      <c r="J815" s="1" t="s">
        <v>50</v>
      </c>
      <c r="K815" s="1" t="s">
        <v>50</v>
      </c>
      <c r="L815">
        <f t="shared" si="84"/>
        <v>96.197414256198073</v>
      </c>
      <c r="M815">
        <f t="shared" si="83"/>
        <v>172.96798541727486</v>
      </c>
      <c r="N815">
        <f t="shared" si="85"/>
        <v>210.14742667389368</v>
      </c>
      <c r="O815">
        <f t="shared" si="86"/>
        <v>185.56448544286178</v>
      </c>
      <c r="P815">
        <f t="shared" si="87"/>
        <v>310</v>
      </c>
      <c r="Q815" t="e">
        <f t="shared" si="88"/>
        <v>#N/A</v>
      </c>
      <c r="U815">
        <f>C815/Navio!$J$4</f>
        <v>15.496264293146234</v>
      </c>
    </row>
    <row r="816" spans="1:21" x14ac:dyDescent="0.3">
      <c r="A816">
        <v>814</v>
      </c>
      <c r="B816" s="6">
        <v>798.81357261449421</v>
      </c>
      <c r="C816" s="46">
        <v>290.11207718514834</v>
      </c>
      <c r="D816" s="1">
        <v>14</v>
      </c>
      <c r="E816" s="1">
        <v>16</v>
      </c>
      <c r="F816" s="1">
        <v>17</v>
      </c>
      <c r="G816" s="1">
        <v>13</v>
      </c>
      <c r="H816" s="1">
        <v>9</v>
      </c>
      <c r="I816" s="1" t="s">
        <v>50</v>
      </c>
      <c r="J816" s="1" t="s">
        <v>50</v>
      </c>
      <c r="K816" s="1" t="s">
        <v>50</v>
      </c>
      <c r="L816">
        <f t="shared" si="84"/>
        <v>96.197414256198073</v>
      </c>
      <c r="M816">
        <f t="shared" si="83"/>
        <v>172.96798541727486</v>
      </c>
      <c r="N816">
        <f t="shared" si="85"/>
        <v>304.39567777634272</v>
      </c>
      <c r="O816">
        <f t="shared" si="86"/>
        <v>185.56448544286178</v>
      </c>
      <c r="P816">
        <f t="shared" si="87"/>
        <v>310</v>
      </c>
      <c r="Q816" t="e">
        <f t="shared" si="88"/>
        <v>#N/A</v>
      </c>
      <c r="U816">
        <f>C816/Navio!$J$4</f>
        <v>15.664812517394633</v>
      </c>
    </row>
    <row r="817" spans="1:21" x14ac:dyDescent="0.3">
      <c r="A817">
        <v>815</v>
      </c>
      <c r="B817" s="6">
        <v>823.3965138455261</v>
      </c>
      <c r="C817" s="46">
        <v>291.97431048197507</v>
      </c>
      <c r="D817" s="1">
        <v>14</v>
      </c>
      <c r="E817" s="1">
        <v>15</v>
      </c>
      <c r="F817" s="1">
        <v>16</v>
      </c>
      <c r="G817" s="1">
        <v>17</v>
      </c>
      <c r="H817" s="1">
        <v>9</v>
      </c>
      <c r="I817" s="1" t="s">
        <v>50</v>
      </c>
      <c r="J817" s="1" t="s">
        <v>50</v>
      </c>
      <c r="K817" s="1" t="s">
        <v>50</v>
      </c>
      <c r="L817">
        <f t="shared" si="84"/>
        <v>96.197414256198073</v>
      </c>
      <c r="M817">
        <f t="shared" si="83"/>
        <v>210.14742667389368</v>
      </c>
      <c r="N817">
        <f t="shared" si="85"/>
        <v>172.96798541727486</v>
      </c>
      <c r="O817">
        <f t="shared" si="86"/>
        <v>304.39567777634272</v>
      </c>
      <c r="P817">
        <f t="shared" si="87"/>
        <v>310</v>
      </c>
      <c r="Q817" t="e">
        <f t="shared" si="88"/>
        <v>#N/A</v>
      </c>
      <c r="U817">
        <f>C817/Navio!$J$4</f>
        <v>15.765365158089502</v>
      </c>
    </row>
    <row r="818" spans="1:21" x14ac:dyDescent="0.3">
      <c r="A818">
        <v>816</v>
      </c>
      <c r="B818" s="6">
        <v>878.4807319777434</v>
      </c>
      <c r="C818" s="46">
        <v>277.17559015359808</v>
      </c>
      <c r="D818" s="1">
        <v>12</v>
      </c>
      <c r="E818" s="1">
        <v>14</v>
      </c>
      <c r="F818" s="1">
        <v>13</v>
      </c>
      <c r="G818" s="1">
        <v>11</v>
      </c>
      <c r="H818" s="1">
        <v>10</v>
      </c>
      <c r="I818" s="1" t="s">
        <v>50</v>
      </c>
      <c r="J818" s="1" t="s">
        <v>50</v>
      </c>
      <c r="K818" s="1" t="s">
        <v>50</v>
      </c>
      <c r="L818">
        <f t="shared" si="84"/>
        <v>82.076561445310972</v>
      </c>
      <c r="M818">
        <f t="shared" si="83"/>
        <v>96.197414256198073</v>
      </c>
      <c r="N818">
        <f t="shared" si="85"/>
        <v>185.56448544286178</v>
      </c>
      <c r="O818">
        <f t="shared" si="86"/>
        <v>278.99258318037374</v>
      </c>
      <c r="P818">
        <f t="shared" si="87"/>
        <v>290.36739528320618</v>
      </c>
      <c r="Q818" t="e">
        <f t="shared" si="88"/>
        <v>#N/A</v>
      </c>
      <c r="U818">
        <f>C818/Navio!$J$4</f>
        <v>14.966297495375702</v>
      </c>
    </row>
    <row r="819" spans="1:21" x14ac:dyDescent="0.3">
      <c r="A819">
        <v>817</v>
      </c>
      <c r="B819" s="6">
        <v>839.93931286063696</v>
      </c>
      <c r="C819" s="46">
        <v>284.241758603145</v>
      </c>
      <c r="D819" s="1">
        <v>12</v>
      </c>
      <c r="E819" s="1">
        <v>16</v>
      </c>
      <c r="F819" s="1">
        <v>13</v>
      </c>
      <c r="G819" s="1">
        <v>11</v>
      </c>
      <c r="H819" s="1">
        <v>10</v>
      </c>
      <c r="I819" s="1" t="s">
        <v>50</v>
      </c>
      <c r="J819" s="1" t="s">
        <v>50</v>
      </c>
      <c r="K819" s="1" t="s">
        <v>50</v>
      </c>
      <c r="L819">
        <f t="shared" si="84"/>
        <v>82.076561445310972</v>
      </c>
      <c r="M819">
        <f t="shared" si="83"/>
        <v>172.96798541727486</v>
      </c>
      <c r="N819">
        <f t="shared" si="85"/>
        <v>185.56448544286178</v>
      </c>
      <c r="O819">
        <f t="shared" si="86"/>
        <v>278.99258318037374</v>
      </c>
      <c r="P819">
        <f t="shared" si="87"/>
        <v>290.36739528320618</v>
      </c>
      <c r="Q819" t="e">
        <f t="shared" si="88"/>
        <v>#N/A</v>
      </c>
      <c r="U819">
        <f>C819/Navio!$J$4</f>
        <v>15.347840397872103</v>
      </c>
    </row>
    <row r="820" spans="1:21" x14ac:dyDescent="0.3">
      <c r="A820">
        <v>818</v>
      </c>
      <c r="B820" s="6">
        <v>750.57224167397328</v>
      </c>
      <c r="C820" s="46">
        <v>290.629088611577</v>
      </c>
      <c r="D820" s="1">
        <v>12</v>
      </c>
      <c r="E820" s="1">
        <v>14</v>
      </c>
      <c r="F820" s="1">
        <v>16</v>
      </c>
      <c r="G820" s="1">
        <v>11</v>
      </c>
      <c r="H820" s="1">
        <v>10</v>
      </c>
      <c r="I820" s="1" t="s">
        <v>50</v>
      </c>
      <c r="J820" s="1" t="s">
        <v>50</v>
      </c>
      <c r="K820" s="1" t="s">
        <v>50</v>
      </c>
      <c r="L820">
        <f t="shared" si="84"/>
        <v>82.076561445310972</v>
      </c>
      <c r="M820">
        <f t="shared" si="83"/>
        <v>96.197414256198073</v>
      </c>
      <c r="N820">
        <f t="shared" si="85"/>
        <v>172.96798541727486</v>
      </c>
      <c r="O820">
        <f t="shared" si="86"/>
        <v>278.99258318037374</v>
      </c>
      <c r="P820">
        <f t="shared" si="87"/>
        <v>290.36739528320618</v>
      </c>
      <c r="Q820" t="e">
        <f t="shared" si="88"/>
        <v>#N/A</v>
      </c>
      <c r="U820">
        <f>C820/Navio!$J$4</f>
        <v>15.692728925228931</v>
      </c>
    </row>
    <row r="821" spans="1:21" x14ac:dyDescent="0.3">
      <c r="A821">
        <v>819</v>
      </c>
      <c r="B821" s="6">
        <v>864.52225409166886</v>
      </c>
      <c r="C821" s="46">
        <v>284.03276530055263</v>
      </c>
      <c r="D821" s="1">
        <v>12</v>
      </c>
      <c r="E821" s="1">
        <v>15</v>
      </c>
      <c r="F821" s="1">
        <v>16</v>
      </c>
      <c r="G821" s="1">
        <v>11</v>
      </c>
      <c r="H821" s="1">
        <v>10</v>
      </c>
      <c r="I821" s="1" t="s">
        <v>50</v>
      </c>
      <c r="J821" s="1" t="s">
        <v>50</v>
      </c>
      <c r="K821" s="1" t="s">
        <v>50</v>
      </c>
      <c r="L821">
        <f t="shared" si="84"/>
        <v>82.076561445310972</v>
      </c>
      <c r="M821">
        <f t="shared" si="83"/>
        <v>210.14742667389368</v>
      </c>
      <c r="N821">
        <f t="shared" si="85"/>
        <v>172.96798541727486</v>
      </c>
      <c r="O821">
        <f t="shared" si="86"/>
        <v>278.99258318037374</v>
      </c>
      <c r="P821">
        <f t="shared" si="87"/>
        <v>290.36739528320618</v>
      </c>
      <c r="Q821" t="e">
        <f t="shared" si="88"/>
        <v>#N/A</v>
      </c>
      <c r="U821">
        <f>C821/Navio!$J$4</f>
        <v>15.336555652561721</v>
      </c>
    </row>
    <row r="822" spans="1:21" x14ac:dyDescent="0.3">
      <c r="A822">
        <v>820</v>
      </c>
      <c r="B822" s="6">
        <v>809.63557547126334</v>
      </c>
      <c r="C822" s="46">
        <v>281.65657869834513</v>
      </c>
      <c r="D822" s="1">
        <v>12</v>
      </c>
      <c r="E822" s="1">
        <v>14</v>
      </c>
      <c r="F822" s="1">
        <v>15</v>
      </c>
      <c r="G822" s="1">
        <v>13</v>
      </c>
      <c r="H822" s="1">
        <v>10</v>
      </c>
      <c r="I822" s="1" t="s">
        <v>50</v>
      </c>
      <c r="J822" s="1" t="s">
        <v>50</v>
      </c>
      <c r="K822" s="1" t="s">
        <v>50</v>
      </c>
      <c r="L822">
        <f t="shared" si="84"/>
        <v>82.076561445310972</v>
      </c>
      <c r="M822">
        <f t="shared" si="83"/>
        <v>96.197414256198073</v>
      </c>
      <c r="N822">
        <f t="shared" si="85"/>
        <v>210.14742667389368</v>
      </c>
      <c r="O822">
        <f t="shared" si="86"/>
        <v>185.56448544286178</v>
      </c>
      <c r="P822">
        <f t="shared" si="87"/>
        <v>290.36739528320618</v>
      </c>
      <c r="Q822" t="e">
        <f t="shared" si="88"/>
        <v>#N/A</v>
      </c>
      <c r="U822">
        <f>C822/Navio!$J$4</f>
        <v>15.20825172950177</v>
      </c>
    </row>
    <row r="823" spans="1:21" x14ac:dyDescent="0.3">
      <c r="A823">
        <v>821</v>
      </c>
      <c r="B823" s="6">
        <v>657.14414393646132</v>
      </c>
      <c r="C823" s="46">
        <v>290.61021605115252</v>
      </c>
      <c r="D823" s="1">
        <v>12</v>
      </c>
      <c r="E823" s="1">
        <v>14</v>
      </c>
      <c r="F823" s="1">
        <v>16</v>
      </c>
      <c r="G823" s="1">
        <v>13</v>
      </c>
      <c r="H823" s="1">
        <v>10</v>
      </c>
      <c r="I823" s="1" t="s">
        <v>50</v>
      </c>
      <c r="J823" s="1" t="s">
        <v>50</v>
      </c>
      <c r="K823" s="1" t="s">
        <v>50</v>
      </c>
      <c r="L823">
        <f t="shared" si="84"/>
        <v>82.076561445310972</v>
      </c>
      <c r="M823">
        <f t="shared" si="83"/>
        <v>96.197414256198073</v>
      </c>
      <c r="N823">
        <f t="shared" si="85"/>
        <v>172.96798541727486</v>
      </c>
      <c r="O823">
        <f t="shared" si="86"/>
        <v>185.56448544286178</v>
      </c>
      <c r="P823">
        <f t="shared" si="87"/>
        <v>290.36739528320618</v>
      </c>
      <c r="Q823" t="e">
        <f t="shared" si="88"/>
        <v>#N/A</v>
      </c>
      <c r="U823">
        <f>C823/Navio!$J$4</f>
        <v>15.691709887608569</v>
      </c>
    </row>
    <row r="824" spans="1:21" x14ac:dyDescent="0.3">
      <c r="A824">
        <v>822</v>
      </c>
      <c r="B824" s="6">
        <v>771.09415635415689</v>
      </c>
      <c r="C824" s="46">
        <v>284.01389274012814</v>
      </c>
      <c r="D824" s="1">
        <v>12</v>
      </c>
      <c r="E824" s="1">
        <v>15</v>
      </c>
      <c r="F824" s="1">
        <v>16</v>
      </c>
      <c r="G824" s="1">
        <v>13</v>
      </c>
      <c r="H824" s="1">
        <v>10</v>
      </c>
      <c r="I824" s="1" t="s">
        <v>50</v>
      </c>
      <c r="J824" s="1" t="s">
        <v>50</v>
      </c>
      <c r="K824" s="1" t="s">
        <v>50</v>
      </c>
      <c r="L824">
        <f t="shared" si="84"/>
        <v>82.076561445310972</v>
      </c>
      <c r="M824">
        <f t="shared" si="83"/>
        <v>210.14742667389368</v>
      </c>
      <c r="N824">
        <f t="shared" si="85"/>
        <v>172.96798541727486</v>
      </c>
      <c r="O824">
        <f t="shared" si="86"/>
        <v>185.56448544286178</v>
      </c>
      <c r="P824">
        <f t="shared" si="87"/>
        <v>290.36739528320618</v>
      </c>
      <c r="Q824" t="e">
        <f t="shared" si="88"/>
        <v>#N/A</v>
      </c>
      <c r="U824">
        <f>C824/Navio!$J$4</f>
        <v>15.335536614941359</v>
      </c>
    </row>
    <row r="825" spans="1:21" x14ac:dyDescent="0.3">
      <c r="A825">
        <v>823</v>
      </c>
      <c r="B825" s="6">
        <v>865.342407456606</v>
      </c>
      <c r="C825" s="46">
        <v>288.66048023094322</v>
      </c>
      <c r="D825" s="1">
        <v>12</v>
      </c>
      <c r="E825" s="1">
        <v>16</v>
      </c>
      <c r="F825" s="1">
        <v>17</v>
      </c>
      <c r="G825" s="1">
        <v>13</v>
      </c>
      <c r="H825" s="1">
        <v>10</v>
      </c>
      <c r="I825" s="1" t="s">
        <v>50</v>
      </c>
      <c r="J825" s="1" t="s">
        <v>50</v>
      </c>
      <c r="K825" s="1" t="s">
        <v>50</v>
      </c>
      <c r="L825">
        <f t="shared" si="84"/>
        <v>82.076561445310972</v>
      </c>
      <c r="M825">
        <f t="shared" si="83"/>
        <v>172.96798541727486</v>
      </c>
      <c r="N825">
        <f t="shared" si="85"/>
        <v>304.39567777634272</v>
      </c>
      <c r="O825">
        <f t="shared" si="86"/>
        <v>185.56448544286178</v>
      </c>
      <c r="P825">
        <f t="shared" si="87"/>
        <v>290.36739528320618</v>
      </c>
      <c r="Q825" t="e">
        <f t="shared" si="88"/>
        <v>#N/A</v>
      </c>
      <c r="U825">
        <f>C825/Navio!$J$4</f>
        <v>15.586432484549835</v>
      </c>
    </row>
    <row r="826" spans="1:21" x14ac:dyDescent="0.3">
      <c r="A826">
        <v>824</v>
      </c>
      <c r="B826" s="6">
        <v>681.72708516749321</v>
      </c>
      <c r="C826" s="46">
        <v>291.59649533383765</v>
      </c>
      <c r="D826" s="1">
        <v>12</v>
      </c>
      <c r="E826" s="1">
        <v>14</v>
      </c>
      <c r="F826" s="1">
        <v>16</v>
      </c>
      <c r="G826" s="1">
        <v>15</v>
      </c>
      <c r="H826" s="1">
        <v>10</v>
      </c>
      <c r="I826" s="1" t="s">
        <v>50</v>
      </c>
      <c r="J826" s="1" t="s">
        <v>50</v>
      </c>
      <c r="K826" s="1" t="s">
        <v>50</v>
      </c>
      <c r="L826">
        <f t="shared" si="84"/>
        <v>82.076561445310972</v>
      </c>
      <c r="M826">
        <f t="shared" si="83"/>
        <v>96.197414256198073</v>
      </c>
      <c r="N826">
        <f t="shared" si="85"/>
        <v>172.96798541727486</v>
      </c>
      <c r="O826">
        <f t="shared" si="86"/>
        <v>210.14742667389368</v>
      </c>
      <c r="P826">
        <f t="shared" si="87"/>
        <v>290.36739528320618</v>
      </c>
      <c r="Q826" t="e">
        <f t="shared" si="88"/>
        <v>#N/A</v>
      </c>
      <c r="U826">
        <f>C826/Navio!$J$4</f>
        <v>15.74496475449642</v>
      </c>
    </row>
    <row r="827" spans="1:21" x14ac:dyDescent="0.3">
      <c r="A827">
        <v>825</v>
      </c>
      <c r="B827" s="6">
        <v>775.9753362699422</v>
      </c>
      <c r="C827" s="46">
        <v>294.83700362504521</v>
      </c>
      <c r="D827" s="1">
        <v>12</v>
      </c>
      <c r="E827" s="1">
        <v>14</v>
      </c>
      <c r="F827" s="1">
        <v>16</v>
      </c>
      <c r="G827" s="1">
        <v>17</v>
      </c>
      <c r="H827" s="1">
        <v>10</v>
      </c>
      <c r="I827" s="1" t="s">
        <v>50</v>
      </c>
      <c r="J827" s="1" t="s">
        <v>50</v>
      </c>
      <c r="K827" s="1" t="s">
        <v>50</v>
      </c>
      <c r="L827">
        <f t="shared" si="84"/>
        <v>82.076561445310972</v>
      </c>
      <c r="M827">
        <f t="shared" si="83"/>
        <v>96.197414256198073</v>
      </c>
      <c r="N827">
        <f t="shared" si="85"/>
        <v>172.96798541727486</v>
      </c>
      <c r="O827">
        <f t="shared" si="86"/>
        <v>304.39567777634272</v>
      </c>
      <c r="P827">
        <f t="shared" si="87"/>
        <v>290.36739528320618</v>
      </c>
      <c r="Q827" t="e">
        <f t="shared" si="88"/>
        <v>#N/A</v>
      </c>
      <c r="U827">
        <f>C827/Navio!$J$4</f>
        <v>15.919938355510739</v>
      </c>
    </row>
    <row r="828" spans="1:21" x14ac:dyDescent="0.3">
      <c r="A828">
        <v>826</v>
      </c>
      <c r="B828" s="6">
        <v>889.92534868763789</v>
      </c>
      <c r="C828" s="46">
        <v>288.24068031402089</v>
      </c>
      <c r="D828" s="1">
        <v>12</v>
      </c>
      <c r="E828" s="1">
        <v>15</v>
      </c>
      <c r="F828" s="1">
        <v>16</v>
      </c>
      <c r="G828" s="1">
        <v>17</v>
      </c>
      <c r="H828" s="1">
        <v>10</v>
      </c>
      <c r="I828" s="1" t="s">
        <v>50</v>
      </c>
      <c r="J828" s="1" t="s">
        <v>50</v>
      </c>
      <c r="K828" s="1" t="s">
        <v>50</v>
      </c>
      <c r="L828">
        <f t="shared" si="84"/>
        <v>82.076561445310972</v>
      </c>
      <c r="M828">
        <f t="shared" si="83"/>
        <v>210.14742667389368</v>
      </c>
      <c r="N828">
        <f t="shared" si="85"/>
        <v>172.96798541727486</v>
      </c>
      <c r="O828">
        <f t="shared" si="86"/>
        <v>304.39567777634272</v>
      </c>
      <c r="P828">
        <f t="shared" si="87"/>
        <v>290.36739528320618</v>
      </c>
      <c r="Q828" t="e">
        <f t="shared" si="88"/>
        <v>#N/A</v>
      </c>
      <c r="U828">
        <f>C828/Navio!$J$4</f>
        <v>15.563765082843531</v>
      </c>
    </row>
    <row r="829" spans="1:21" x14ac:dyDescent="0.3">
      <c r="A829">
        <v>827</v>
      </c>
      <c r="B829" s="6">
        <v>839.93271679525128</v>
      </c>
      <c r="C829" s="46">
        <v>289.08266420200465</v>
      </c>
      <c r="D829" s="1">
        <v>14</v>
      </c>
      <c r="E829" s="1">
        <v>16</v>
      </c>
      <c r="F829" s="1">
        <v>15</v>
      </c>
      <c r="G829" s="1">
        <v>13</v>
      </c>
      <c r="H829" s="1">
        <v>10</v>
      </c>
      <c r="I829" s="1" t="s">
        <v>50</v>
      </c>
      <c r="J829" s="1" t="s">
        <v>50</v>
      </c>
      <c r="K829" s="1" t="s">
        <v>50</v>
      </c>
      <c r="L829">
        <f t="shared" si="84"/>
        <v>96.197414256198073</v>
      </c>
      <c r="M829">
        <f t="shared" si="83"/>
        <v>172.96798541727486</v>
      </c>
      <c r="N829">
        <f t="shared" si="85"/>
        <v>210.14742667389368</v>
      </c>
      <c r="O829">
        <f t="shared" si="86"/>
        <v>185.56448544286178</v>
      </c>
      <c r="P829">
        <f t="shared" si="87"/>
        <v>290.36739528320618</v>
      </c>
      <c r="Q829" t="e">
        <f t="shared" si="88"/>
        <v>#N/A</v>
      </c>
      <c r="U829">
        <f>C829/Navio!$J$4</f>
        <v>15.609228614992574</v>
      </c>
    </row>
    <row r="830" spans="1:21" x14ac:dyDescent="0.3">
      <c r="A830">
        <v>828</v>
      </c>
      <c r="B830" s="6">
        <v>798.26076336843096</v>
      </c>
      <c r="C830" s="46">
        <v>279.15889742385798</v>
      </c>
      <c r="D830" s="1">
        <v>12</v>
      </c>
      <c r="E830" s="1">
        <v>14</v>
      </c>
      <c r="F830" s="1">
        <v>15</v>
      </c>
      <c r="G830" s="1">
        <v>13</v>
      </c>
      <c r="H830" s="1">
        <v>11</v>
      </c>
      <c r="I830" s="1" t="s">
        <v>50</v>
      </c>
      <c r="J830" s="1" t="s">
        <v>50</v>
      </c>
      <c r="K830" s="1" t="s">
        <v>50</v>
      </c>
      <c r="L830">
        <f t="shared" si="84"/>
        <v>82.076561445310972</v>
      </c>
      <c r="M830">
        <f t="shared" si="83"/>
        <v>96.197414256198073</v>
      </c>
      <c r="N830">
        <f t="shared" si="85"/>
        <v>210.14742667389368</v>
      </c>
      <c r="O830">
        <f t="shared" si="86"/>
        <v>185.56448544286178</v>
      </c>
      <c r="P830">
        <f t="shared" si="87"/>
        <v>278.99258318037374</v>
      </c>
      <c r="Q830" t="e">
        <f t="shared" si="88"/>
        <v>#N/A</v>
      </c>
      <c r="U830">
        <f>C830/Navio!$J$4</f>
        <v>15.073387613286165</v>
      </c>
    </row>
    <row r="831" spans="1:21" x14ac:dyDescent="0.3">
      <c r="A831">
        <v>829</v>
      </c>
      <c r="B831" s="6">
        <v>645.76933183362883</v>
      </c>
      <c r="C831" s="46">
        <v>288.11253477666537</v>
      </c>
      <c r="D831" s="1">
        <v>12</v>
      </c>
      <c r="E831" s="1">
        <v>14</v>
      </c>
      <c r="F831" s="1">
        <v>16</v>
      </c>
      <c r="G831" s="1">
        <v>13</v>
      </c>
      <c r="H831" s="1">
        <v>11</v>
      </c>
      <c r="I831" s="1" t="s">
        <v>50</v>
      </c>
      <c r="J831" s="1" t="s">
        <v>50</v>
      </c>
      <c r="K831" s="1" t="s">
        <v>50</v>
      </c>
      <c r="L831">
        <f t="shared" si="84"/>
        <v>82.076561445310972</v>
      </c>
      <c r="M831">
        <f t="shared" si="83"/>
        <v>96.197414256198073</v>
      </c>
      <c r="N831">
        <f t="shared" si="85"/>
        <v>172.96798541727486</v>
      </c>
      <c r="O831">
        <f t="shared" si="86"/>
        <v>185.56448544286178</v>
      </c>
      <c r="P831">
        <f t="shared" si="87"/>
        <v>278.99258318037374</v>
      </c>
      <c r="Q831" t="e">
        <f t="shared" si="88"/>
        <v>#N/A</v>
      </c>
      <c r="U831">
        <f>C831/Navio!$J$4</f>
        <v>15.556845771392965</v>
      </c>
    </row>
    <row r="832" spans="1:21" x14ac:dyDescent="0.3">
      <c r="A832">
        <v>830</v>
      </c>
      <c r="B832" s="6">
        <v>892.50901447087995</v>
      </c>
      <c r="C832" s="46">
        <v>290.67158630915321</v>
      </c>
      <c r="D832" s="1">
        <v>12</v>
      </c>
      <c r="E832" s="1">
        <v>14</v>
      </c>
      <c r="F832" s="1">
        <v>17</v>
      </c>
      <c r="G832" s="1">
        <v>13</v>
      </c>
      <c r="H832" s="1">
        <v>11</v>
      </c>
      <c r="I832" s="1" t="s">
        <v>50</v>
      </c>
      <c r="J832" s="1" t="s">
        <v>50</v>
      </c>
      <c r="K832" s="1" t="s">
        <v>50</v>
      </c>
      <c r="L832">
        <f t="shared" si="84"/>
        <v>82.076561445310972</v>
      </c>
      <c r="M832">
        <f t="shared" si="83"/>
        <v>96.197414256198073</v>
      </c>
      <c r="N832">
        <f t="shared" si="85"/>
        <v>304.39567777634272</v>
      </c>
      <c r="O832">
        <f t="shared" si="86"/>
        <v>185.56448544286178</v>
      </c>
      <c r="P832">
        <f t="shared" si="87"/>
        <v>278.99258318037374</v>
      </c>
      <c r="Q832" t="e">
        <f t="shared" si="88"/>
        <v>#N/A</v>
      </c>
      <c r="U832">
        <f>C832/Navio!$J$4</f>
        <v>15.695023619305136</v>
      </c>
    </row>
    <row r="833" spans="1:21" x14ac:dyDescent="0.3">
      <c r="A833">
        <v>831</v>
      </c>
      <c r="B833" s="6">
        <v>759.71934425132451</v>
      </c>
      <c r="C833" s="46">
        <v>281.51621146564105</v>
      </c>
      <c r="D833" s="1">
        <v>12</v>
      </c>
      <c r="E833" s="1">
        <v>15</v>
      </c>
      <c r="F833" s="1">
        <v>16</v>
      </c>
      <c r="G833" s="1">
        <v>13</v>
      </c>
      <c r="H833" s="1">
        <v>11</v>
      </c>
      <c r="I833" s="1" t="s">
        <v>50</v>
      </c>
      <c r="J833" s="1" t="s">
        <v>50</v>
      </c>
      <c r="K833" s="1" t="s">
        <v>50</v>
      </c>
      <c r="L833">
        <f t="shared" si="84"/>
        <v>82.076561445310972</v>
      </c>
      <c r="M833">
        <f t="shared" si="83"/>
        <v>210.14742667389368</v>
      </c>
      <c r="N833">
        <f t="shared" si="85"/>
        <v>172.96798541727486</v>
      </c>
      <c r="O833">
        <f t="shared" si="86"/>
        <v>185.56448544286178</v>
      </c>
      <c r="P833">
        <f t="shared" si="87"/>
        <v>278.99258318037374</v>
      </c>
      <c r="Q833" t="e">
        <f t="shared" si="88"/>
        <v>#N/A</v>
      </c>
      <c r="U833">
        <f>C833/Navio!$J$4</f>
        <v>15.200672498725757</v>
      </c>
    </row>
    <row r="834" spans="1:21" x14ac:dyDescent="0.3">
      <c r="A834">
        <v>832</v>
      </c>
      <c r="B834" s="6">
        <v>853.9675953537735</v>
      </c>
      <c r="C834" s="46">
        <v>286.16279895645607</v>
      </c>
      <c r="D834" s="1">
        <v>12</v>
      </c>
      <c r="E834" s="1">
        <v>16</v>
      </c>
      <c r="F834" s="1">
        <v>17</v>
      </c>
      <c r="G834" s="1">
        <v>13</v>
      </c>
      <c r="H834" s="1">
        <v>11</v>
      </c>
      <c r="I834" s="1" t="s">
        <v>50</v>
      </c>
      <c r="J834" s="1" t="s">
        <v>50</v>
      </c>
      <c r="K834" s="1" t="s">
        <v>50</v>
      </c>
      <c r="L834">
        <f t="shared" si="84"/>
        <v>82.076561445310972</v>
      </c>
      <c r="M834">
        <f t="shared" si="83"/>
        <v>172.96798541727486</v>
      </c>
      <c r="N834">
        <f t="shared" si="85"/>
        <v>304.39567777634272</v>
      </c>
      <c r="O834">
        <f t="shared" si="86"/>
        <v>185.56448544286178</v>
      </c>
      <c r="P834">
        <f t="shared" si="87"/>
        <v>278.99258318037374</v>
      </c>
      <c r="Q834" t="e">
        <f t="shared" si="88"/>
        <v>#N/A</v>
      </c>
      <c r="U834">
        <f>C834/Navio!$J$4</f>
        <v>15.451568368334231</v>
      </c>
    </row>
    <row r="835" spans="1:21" x14ac:dyDescent="0.3">
      <c r="A835">
        <v>833</v>
      </c>
      <c r="B835" s="6">
        <v>670.35227306466072</v>
      </c>
      <c r="C835" s="46">
        <v>288.86941643888053</v>
      </c>
      <c r="D835" s="1">
        <v>12</v>
      </c>
      <c r="E835" s="1">
        <v>14</v>
      </c>
      <c r="F835" s="1">
        <v>16</v>
      </c>
      <c r="G835" s="1">
        <v>15</v>
      </c>
      <c r="H835" s="1">
        <v>11</v>
      </c>
      <c r="I835" s="1" t="s">
        <v>50</v>
      </c>
      <c r="J835" s="1" t="s">
        <v>50</v>
      </c>
      <c r="K835" s="1" t="s">
        <v>50</v>
      </c>
      <c r="L835">
        <f t="shared" si="84"/>
        <v>82.076561445310972</v>
      </c>
      <c r="M835">
        <f t="shared" ref="M835:M898" si="89">VLOOKUP(E835,$Y$2:$Z$80,2)</f>
        <v>96.197414256198073</v>
      </c>
      <c r="N835">
        <f t="shared" si="85"/>
        <v>172.96798541727486</v>
      </c>
      <c r="O835">
        <f t="shared" si="86"/>
        <v>210.14742667389368</v>
      </c>
      <c r="P835">
        <f t="shared" si="87"/>
        <v>278.99258318037374</v>
      </c>
      <c r="Q835" t="e">
        <f t="shared" si="88"/>
        <v>#N/A</v>
      </c>
      <c r="U835">
        <f>C835/Navio!$J$4</f>
        <v>15.597714146992812</v>
      </c>
    </row>
    <row r="836" spans="1:21" x14ac:dyDescent="0.3">
      <c r="A836">
        <v>834</v>
      </c>
      <c r="B836" s="6">
        <v>764.60052416710982</v>
      </c>
      <c r="C836" s="46">
        <v>292.67321425296848</v>
      </c>
      <c r="D836" s="1">
        <v>12</v>
      </c>
      <c r="E836" s="1">
        <v>14</v>
      </c>
      <c r="F836" s="1">
        <v>16</v>
      </c>
      <c r="G836" s="1">
        <v>17</v>
      </c>
      <c r="H836" s="1">
        <v>11</v>
      </c>
      <c r="I836" s="1" t="s">
        <v>50</v>
      </c>
      <c r="J836" s="1" t="s">
        <v>50</v>
      </c>
      <c r="K836" s="1" t="s">
        <v>50</v>
      </c>
      <c r="L836">
        <f t="shared" si="84"/>
        <v>82.076561445310972</v>
      </c>
      <c r="M836">
        <f t="shared" si="89"/>
        <v>96.197414256198073</v>
      </c>
      <c r="N836">
        <f t="shared" si="85"/>
        <v>172.96798541727486</v>
      </c>
      <c r="O836">
        <f t="shared" si="86"/>
        <v>304.39567777634272</v>
      </c>
      <c r="P836">
        <f t="shared" si="87"/>
        <v>278.99258318037374</v>
      </c>
      <c r="Q836" t="e">
        <f t="shared" si="88"/>
        <v>#N/A</v>
      </c>
      <c r="U836">
        <f>C836/Navio!$J$4</f>
        <v>15.803102975303243</v>
      </c>
    </row>
    <row r="837" spans="1:21" x14ac:dyDescent="0.3">
      <c r="A837">
        <v>835</v>
      </c>
      <c r="B837" s="6">
        <v>878.5505365848054</v>
      </c>
      <c r="C837" s="46">
        <v>286.0768909419441</v>
      </c>
      <c r="D837" s="1">
        <v>12</v>
      </c>
      <c r="E837" s="1">
        <v>15</v>
      </c>
      <c r="F837" s="1">
        <v>16</v>
      </c>
      <c r="G837" s="1">
        <v>17</v>
      </c>
      <c r="H837" s="1">
        <v>11</v>
      </c>
      <c r="I837" s="1" t="s">
        <v>50</v>
      </c>
      <c r="J837" s="1" t="s">
        <v>50</v>
      </c>
      <c r="K837" s="1" t="s">
        <v>50</v>
      </c>
      <c r="L837">
        <f t="shared" si="84"/>
        <v>82.076561445310972</v>
      </c>
      <c r="M837">
        <f t="shared" si="89"/>
        <v>210.14742667389368</v>
      </c>
      <c r="N837">
        <f t="shared" si="85"/>
        <v>172.96798541727486</v>
      </c>
      <c r="O837">
        <f t="shared" si="86"/>
        <v>304.39567777634272</v>
      </c>
      <c r="P837">
        <f t="shared" si="87"/>
        <v>278.99258318037374</v>
      </c>
      <c r="Q837" t="e">
        <f t="shared" si="88"/>
        <v>#N/A</v>
      </c>
      <c r="U837">
        <f>C837/Navio!$J$4</f>
        <v>15.446929702636034</v>
      </c>
    </row>
    <row r="838" spans="1:21" x14ac:dyDescent="0.3">
      <c r="A838">
        <v>836</v>
      </c>
      <c r="B838" s="6">
        <v>828.5579046924189</v>
      </c>
      <c r="C838" s="46">
        <v>286.58498292751756</v>
      </c>
      <c r="D838" s="1">
        <v>14</v>
      </c>
      <c r="E838" s="1">
        <v>16</v>
      </c>
      <c r="F838" s="1">
        <v>15</v>
      </c>
      <c r="G838" s="1">
        <v>13</v>
      </c>
      <c r="H838" s="1">
        <v>11</v>
      </c>
      <c r="I838" s="1" t="s">
        <v>50</v>
      </c>
      <c r="J838" s="1" t="s">
        <v>50</v>
      </c>
      <c r="K838" s="1" t="s">
        <v>50</v>
      </c>
      <c r="L838">
        <f t="shared" si="84"/>
        <v>96.197414256198073</v>
      </c>
      <c r="M838">
        <f t="shared" si="89"/>
        <v>172.96798541727486</v>
      </c>
      <c r="N838">
        <f t="shared" si="85"/>
        <v>210.14742667389368</v>
      </c>
      <c r="O838">
        <f t="shared" si="86"/>
        <v>185.56448544286178</v>
      </c>
      <c r="P838">
        <f t="shared" si="87"/>
        <v>278.99258318037374</v>
      </c>
      <c r="Q838" t="e">
        <f t="shared" si="88"/>
        <v>#N/A</v>
      </c>
      <c r="U838">
        <f>C838/Navio!$J$4</f>
        <v>15.474364498776971</v>
      </c>
    </row>
    <row r="839" spans="1:21" x14ac:dyDescent="0.3">
      <c r="A839">
        <v>837</v>
      </c>
      <c r="B839" s="6">
        <v>576.92417532714876</v>
      </c>
      <c r="C839" s="46">
        <v>288.75463838158049</v>
      </c>
      <c r="D839" s="1">
        <v>13</v>
      </c>
      <c r="E839" s="1">
        <v>15</v>
      </c>
      <c r="F839" s="1">
        <v>16</v>
      </c>
      <c r="G839" s="1">
        <v>14</v>
      </c>
      <c r="H839" s="1">
        <v>12</v>
      </c>
      <c r="I839" s="1" t="s">
        <v>50</v>
      </c>
      <c r="J839" s="1" t="s">
        <v>50</v>
      </c>
      <c r="K839" s="1" t="s">
        <v>50</v>
      </c>
      <c r="L839">
        <f t="shared" si="84"/>
        <v>185.56448544286178</v>
      </c>
      <c r="M839">
        <f t="shared" si="89"/>
        <v>210.14742667389368</v>
      </c>
      <c r="N839">
        <f t="shared" si="85"/>
        <v>172.96798541727486</v>
      </c>
      <c r="O839">
        <f t="shared" si="86"/>
        <v>96.197414256198073</v>
      </c>
      <c r="P839">
        <f t="shared" si="87"/>
        <v>82.076561445310972</v>
      </c>
      <c r="Q839" t="e">
        <f t="shared" si="88"/>
        <v>#N/A</v>
      </c>
      <c r="U839">
        <f>C839/Navio!$J$4</f>
        <v>15.591516622345919</v>
      </c>
    </row>
    <row r="840" spans="1:21" x14ac:dyDescent="0.3">
      <c r="A840">
        <v>838</v>
      </c>
      <c r="B840" s="6">
        <v>823.66385796439988</v>
      </c>
      <c r="C840" s="46">
        <v>289.82152002635729</v>
      </c>
      <c r="D840" s="1">
        <v>13</v>
      </c>
      <c r="E840" s="1">
        <v>17</v>
      </c>
      <c r="F840" s="1">
        <v>15</v>
      </c>
      <c r="G840" s="1">
        <v>14</v>
      </c>
      <c r="H840" s="1">
        <v>12</v>
      </c>
      <c r="I840" s="1" t="s">
        <v>50</v>
      </c>
      <c r="J840" s="1" t="s">
        <v>50</v>
      </c>
      <c r="K840" s="1" t="s">
        <v>50</v>
      </c>
      <c r="L840">
        <f t="shared" si="84"/>
        <v>185.56448544286178</v>
      </c>
      <c r="M840">
        <f t="shared" si="89"/>
        <v>304.39567777634272</v>
      </c>
      <c r="N840">
        <f t="shared" si="85"/>
        <v>210.14742667389368</v>
      </c>
      <c r="O840">
        <f t="shared" si="86"/>
        <v>96.197414256198073</v>
      </c>
      <c r="P840">
        <f t="shared" si="87"/>
        <v>82.076561445310972</v>
      </c>
      <c r="Q840" t="e">
        <f t="shared" si="88"/>
        <v>#N/A</v>
      </c>
      <c r="U840">
        <f>C840/Navio!$J$4</f>
        <v>15.649123672372356</v>
      </c>
    </row>
    <row r="841" spans="1:21" x14ac:dyDescent="0.3">
      <c r="A841">
        <v>839</v>
      </c>
      <c r="B841" s="6">
        <v>671.17242642959786</v>
      </c>
      <c r="C841" s="46">
        <v>291.87614879788919</v>
      </c>
      <c r="D841" s="1">
        <v>13</v>
      </c>
      <c r="E841" s="1">
        <v>17</v>
      </c>
      <c r="F841" s="1">
        <v>16</v>
      </c>
      <c r="G841" s="1">
        <v>14</v>
      </c>
      <c r="H841" s="1">
        <v>12</v>
      </c>
      <c r="I841" s="1" t="s">
        <v>50</v>
      </c>
      <c r="J841" s="1" t="s">
        <v>50</v>
      </c>
      <c r="K841" s="1" t="s">
        <v>50</v>
      </c>
      <c r="L841">
        <f t="shared" si="84"/>
        <v>185.56448544286178</v>
      </c>
      <c r="M841">
        <f t="shared" si="89"/>
        <v>304.39567777634272</v>
      </c>
      <c r="N841">
        <f t="shared" si="85"/>
        <v>172.96798541727486</v>
      </c>
      <c r="O841">
        <f t="shared" si="86"/>
        <v>96.197414256198073</v>
      </c>
      <c r="P841">
        <f t="shared" si="87"/>
        <v>82.076561445310972</v>
      </c>
      <c r="Q841" t="e">
        <f t="shared" si="88"/>
        <v>#N/A</v>
      </c>
      <c r="U841">
        <f>C841/Navio!$J$4</f>
        <v>15.760064846594315</v>
      </c>
    </row>
    <row r="842" spans="1:21" x14ac:dyDescent="0.3">
      <c r="A842">
        <v>840</v>
      </c>
      <c r="B842" s="6">
        <v>785.12243884729344</v>
      </c>
      <c r="C842" s="46">
        <v>285.27982548686487</v>
      </c>
      <c r="D842" s="1">
        <v>13</v>
      </c>
      <c r="E842" s="1">
        <v>17</v>
      </c>
      <c r="F842" s="1">
        <v>16</v>
      </c>
      <c r="G842" s="1">
        <v>15</v>
      </c>
      <c r="H842" s="1">
        <v>12</v>
      </c>
      <c r="I842" s="1" t="s">
        <v>50</v>
      </c>
      <c r="J842" s="1" t="s">
        <v>50</v>
      </c>
      <c r="K842" s="1" t="s">
        <v>50</v>
      </c>
      <c r="L842">
        <f t="shared" si="84"/>
        <v>185.56448544286178</v>
      </c>
      <c r="M842">
        <f t="shared" si="89"/>
        <v>304.39567777634272</v>
      </c>
      <c r="N842">
        <f t="shared" si="85"/>
        <v>172.96798541727486</v>
      </c>
      <c r="O842">
        <f t="shared" si="86"/>
        <v>210.14742667389368</v>
      </c>
      <c r="P842">
        <f t="shared" si="87"/>
        <v>82.076561445310972</v>
      </c>
      <c r="Q842" t="e">
        <f t="shared" si="88"/>
        <v>#N/A</v>
      </c>
      <c r="U842">
        <f>C842/Navio!$J$4</f>
        <v>15.403891573927108</v>
      </c>
    </row>
    <row r="843" spans="1:21" x14ac:dyDescent="0.3">
      <c r="A843">
        <v>841</v>
      </c>
      <c r="B843" s="6">
        <v>695.75536766062976</v>
      </c>
      <c r="C843" s="46">
        <v>291.63616148478849</v>
      </c>
      <c r="D843" s="1">
        <v>14</v>
      </c>
      <c r="E843" s="1">
        <v>15</v>
      </c>
      <c r="F843" s="1">
        <v>16</v>
      </c>
      <c r="G843" s="1">
        <v>17</v>
      </c>
      <c r="H843" s="1">
        <v>12</v>
      </c>
      <c r="I843" s="1" t="s">
        <v>50</v>
      </c>
      <c r="J843" s="1" t="s">
        <v>50</v>
      </c>
      <c r="K843" s="1" t="s">
        <v>50</v>
      </c>
      <c r="L843">
        <f t="shared" si="84"/>
        <v>96.197414256198073</v>
      </c>
      <c r="M843">
        <f t="shared" si="89"/>
        <v>210.14742667389368</v>
      </c>
      <c r="N843">
        <f t="shared" si="85"/>
        <v>172.96798541727486</v>
      </c>
      <c r="O843">
        <f t="shared" si="86"/>
        <v>304.39567777634272</v>
      </c>
      <c r="P843">
        <f t="shared" si="87"/>
        <v>82.076561445310972</v>
      </c>
      <c r="Q843" t="e">
        <f t="shared" si="88"/>
        <v>#N/A</v>
      </c>
      <c r="U843">
        <f>C843/Navio!$J$4</f>
        <v>15.747106557154071</v>
      </c>
    </row>
    <row r="844" spans="1:21" x14ac:dyDescent="0.3">
      <c r="A844">
        <v>842</v>
      </c>
      <c r="B844" s="6">
        <v>853.96099928838782</v>
      </c>
      <c r="C844" s="46">
        <v>290.69305455571231</v>
      </c>
      <c r="D844" s="1">
        <v>14</v>
      </c>
      <c r="E844" s="1">
        <v>15</v>
      </c>
      <c r="F844" s="1">
        <v>16</v>
      </c>
      <c r="G844" s="1">
        <v>17</v>
      </c>
      <c r="H844" s="1">
        <v>13</v>
      </c>
      <c r="I844" s="1" t="s">
        <v>50</v>
      </c>
      <c r="J844" s="1" t="s">
        <v>50</v>
      </c>
      <c r="K844" s="1" t="s">
        <v>50</v>
      </c>
      <c r="L844">
        <f t="shared" si="84"/>
        <v>96.197414256198073</v>
      </c>
      <c r="M844">
        <f t="shared" si="89"/>
        <v>210.14742667389368</v>
      </c>
      <c r="N844">
        <f t="shared" si="85"/>
        <v>172.96798541727486</v>
      </c>
      <c r="O844">
        <f t="shared" si="86"/>
        <v>304.39567777634272</v>
      </c>
      <c r="P844">
        <f t="shared" si="87"/>
        <v>185.56448544286178</v>
      </c>
      <c r="Q844" t="e">
        <f t="shared" si="88"/>
        <v>#N/A</v>
      </c>
      <c r="U844">
        <f>C844/Navio!$J$4</f>
        <v>15.696182812885384</v>
      </c>
    </row>
    <row r="845" spans="1:21" x14ac:dyDescent="0.3">
      <c r="A845">
        <v>843</v>
      </c>
      <c r="B845" s="6">
        <v>878.92366335450788</v>
      </c>
      <c r="C845" s="46">
        <v>274.06405278234297</v>
      </c>
      <c r="D845" s="1">
        <v>9</v>
      </c>
      <c r="E845" s="1">
        <v>10</v>
      </c>
      <c r="F845" s="1">
        <v>12</v>
      </c>
      <c r="G845" s="1">
        <v>14</v>
      </c>
      <c r="H845" s="1">
        <v>7</v>
      </c>
      <c r="I845" s="1">
        <v>8</v>
      </c>
      <c r="J845" s="1" t="s">
        <v>50</v>
      </c>
      <c r="K845" s="1" t="s">
        <v>50</v>
      </c>
      <c r="L845">
        <f t="shared" ref="L845:L908" si="90">VLOOKUP(D845,$Y$2:$Z$80,2)</f>
        <v>310</v>
      </c>
      <c r="M845">
        <f t="shared" si="89"/>
        <v>290.36739528320618</v>
      </c>
      <c r="N845">
        <f t="shared" ref="N845:N908" si="91">VLOOKUP(F845,$Y$2:$Z$80,2)</f>
        <v>82.076561445310972</v>
      </c>
      <c r="O845">
        <f t="shared" ref="O845:O908" si="92">VLOOKUP(G845,$Y$2:$Z$80,2)</f>
        <v>96.197414256198073</v>
      </c>
      <c r="P845">
        <f t="shared" ref="P845:P908" si="93">VLOOKUP(H845,$Y$2:$Z$80,2)</f>
        <v>310</v>
      </c>
      <c r="Q845">
        <f t="shared" ref="Q845:Q908" si="94">VLOOKUP(I845,$Y$2:$Z$80,2)</f>
        <v>310</v>
      </c>
      <c r="U845">
        <f>C845/Navio!$J$4</f>
        <v>14.79828777294532</v>
      </c>
    </row>
    <row r="846" spans="1:21" x14ac:dyDescent="0.3">
      <c r="A846">
        <v>844</v>
      </c>
      <c r="B846" s="6">
        <v>840.38224423740144</v>
      </c>
      <c r="C846" s="46">
        <v>287.31633197182884</v>
      </c>
      <c r="D846" s="1">
        <v>9</v>
      </c>
      <c r="E846" s="1">
        <v>10</v>
      </c>
      <c r="F846" s="1">
        <v>16</v>
      </c>
      <c r="G846" s="1">
        <v>12</v>
      </c>
      <c r="H846" s="1">
        <v>7</v>
      </c>
      <c r="I846" s="1">
        <v>8</v>
      </c>
      <c r="J846" s="1" t="s">
        <v>50</v>
      </c>
      <c r="K846" s="1" t="s">
        <v>50</v>
      </c>
      <c r="L846">
        <f t="shared" si="90"/>
        <v>310</v>
      </c>
      <c r="M846">
        <f t="shared" si="89"/>
        <v>290.36739528320618</v>
      </c>
      <c r="N846">
        <f t="shared" si="91"/>
        <v>172.96798541727486</v>
      </c>
      <c r="O846">
        <f t="shared" si="92"/>
        <v>82.076561445310972</v>
      </c>
      <c r="P846">
        <f t="shared" si="93"/>
        <v>310</v>
      </c>
      <c r="Q846">
        <f t="shared" si="94"/>
        <v>310</v>
      </c>
      <c r="U846">
        <f>C846/Navio!$J$4</f>
        <v>15.513854222111036</v>
      </c>
    </row>
    <row r="847" spans="1:21" x14ac:dyDescent="0.3">
      <c r="A847">
        <v>845</v>
      </c>
      <c r="B847" s="6">
        <v>867.5488512516755</v>
      </c>
      <c r="C847" s="46">
        <v>272.69724903696789</v>
      </c>
      <c r="D847" s="1">
        <v>9</v>
      </c>
      <c r="E847" s="1">
        <v>11</v>
      </c>
      <c r="F847" s="1">
        <v>12</v>
      </c>
      <c r="G847" s="1">
        <v>14</v>
      </c>
      <c r="H847" s="1">
        <v>7</v>
      </c>
      <c r="I847" s="1">
        <v>8</v>
      </c>
      <c r="J847" s="1" t="s">
        <v>50</v>
      </c>
      <c r="K847" s="1" t="s">
        <v>50</v>
      </c>
      <c r="L847">
        <f t="shared" si="90"/>
        <v>310</v>
      </c>
      <c r="M847">
        <f t="shared" si="89"/>
        <v>278.99258318037374</v>
      </c>
      <c r="N847">
        <f t="shared" si="91"/>
        <v>82.076561445310972</v>
      </c>
      <c r="O847">
        <f t="shared" si="92"/>
        <v>96.197414256198073</v>
      </c>
      <c r="P847">
        <f t="shared" si="93"/>
        <v>310</v>
      </c>
      <c r="Q847">
        <f t="shared" si="94"/>
        <v>310</v>
      </c>
      <c r="U847">
        <f>C847/Navio!$J$4</f>
        <v>14.724486211055467</v>
      </c>
    </row>
    <row r="848" spans="1:21" x14ac:dyDescent="0.3">
      <c r="A848">
        <v>846</v>
      </c>
      <c r="B848" s="6">
        <v>829.00743213456906</v>
      </c>
      <c r="C848" s="46">
        <v>284.96028215610397</v>
      </c>
      <c r="D848" s="1">
        <v>9</v>
      </c>
      <c r="E848" s="1">
        <v>11</v>
      </c>
      <c r="F848" s="1">
        <v>16</v>
      </c>
      <c r="G848" s="1">
        <v>12</v>
      </c>
      <c r="H848" s="1">
        <v>7</v>
      </c>
      <c r="I848" s="1">
        <v>8</v>
      </c>
      <c r="J848" s="1" t="s">
        <v>50</v>
      </c>
      <c r="K848" s="1" t="s">
        <v>50</v>
      </c>
      <c r="L848">
        <f t="shared" si="90"/>
        <v>310</v>
      </c>
      <c r="M848">
        <f t="shared" si="89"/>
        <v>278.99258318037374</v>
      </c>
      <c r="N848">
        <f t="shared" si="91"/>
        <v>172.96798541727486</v>
      </c>
      <c r="O848">
        <f t="shared" si="92"/>
        <v>82.076561445310972</v>
      </c>
      <c r="P848">
        <f t="shared" si="93"/>
        <v>310</v>
      </c>
      <c r="Q848">
        <f t="shared" si="94"/>
        <v>310</v>
      </c>
      <c r="U848">
        <f>C848/Navio!$J$4</f>
        <v>15.386637599476542</v>
      </c>
    </row>
    <row r="849" spans="1:21" x14ac:dyDescent="0.3">
      <c r="A849">
        <v>847</v>
      </c>
      <c r="B849" s="6">
        <v>897.84599257566344</v>
      </c>
      <c r="C849" s="46">
        <v>289.09431515279687</v>
      </c>
      <c r="D849" s="1">
        <v>9</v>
      </c>
      <c r="E849" s="1">
        <v>11</v>
      </c>
      <c r="F849" s="1">
        <v>16</v>
      </c>
      <c r="G849" s="1">
        <v>14</v>
      </c>
      <c r="H849" s="1">
        <v>7</v>
      </c>
      <c r="I849" s="1">
        <v>8</v>
      </c>
      <c r="J849" s="1" t="s">
        <v>50</v>
      </c>
      <c r="K849" s="1" t="s">
        <v>50</v>
      </c>
      <c r="L849">
        <f t="shared" si="90"/>
        <v>310</v>
      </c>
      <c r="M849">
        <f t="shared" si="89"/>
        <v>278.99258318037374</v>
      </c>
      <c r="N849">
        <f t="shared" si="91"/>
        <v>172.96798541727486</v>
      </c>
      <c r="O849">
        <f t="shared" si="92"/>
        <v>96.197414256198073</v>
      </c>
      <c r="P849">
        <f t="shared" si="93"/>
        <v>310</v>
      </c>
      <c r="Q849">
        <f t="shared" si="94"/>
        <v>310</v>
      </c>
      <c r="U849">
        <f>C849/Navio!$J$4</f>
        <v>15.609857716550772</v>
      </c>
    </row>
    <row r="850" spans="1:21" x14ac:dyDescent="0.3">
      <c r="A850">
        <v>848</v>
      </c>
      <c r="B850" s="6">
        <v>774.12075351416354</v>
      </c>
      <c r="C850" s="46">
        <v>277.973766327205</v>
      </c>
      <c r="D850" s="1">
        <v>9</v>
      </c>
      <c r="E850" s="1">
        <v>13</v>
      </c>
      <c r="F850" s="1">
        <v>14</v>
      </c>
      <c r="G850" s="1">
        <v>12</v>
      </c>
      <c r="H850" s="1">
        <v>7</v>
      </c>
      <c r="I850" s="1">
        <v>8</v>
      </c>
      <c r="J850" s="1" t="s">
        <v>50</v>
      </c>
      <c r="K850" s="1" t="s">
        <v>50</v>
      </c>
      <c r="L850">
        <f t="shared" si="90"/>
        <v>310</v>
      </c>
      <c r="M850">
        <f t="shared" si="89"/>
        <v>185.56448544286178</v>
      </c>
      <c r="N850">
        <f t="shared" si="91"/>
        <v>96.197414256198073</v>
      </c>
      <c r="O850">
        <f t="shared" si="92"/>
        <v>82.076561445310972</v>
      </c>
      <c r="P850">
        <f t="shared" si="93"/>
        <v>310</v>
      </c>
      <c r="Q850">
        <f t="shared" si="94"/>
        <v>310</v>
      </c>
      <c r="U850">
        <f>C850/Navio!$J$4</f>
        <v>15.009395598139015</v>
      </c>
    </row>
    <row r="851" spans="1:21" x14ac:dyDescent="0.3">
      <c r="A851">
        <v>849</v>
      </c>
      <c r="B851" s="6">
        <v>888.07076593185911</v>
      </c>
      <c r="C851" s="46">
        <v>274.21676274246727</v>
      </c>
      <c r="D851" s="1">
        <v>9</v>
      </c>
      <c r="E851" s="1">
        <v>13</v>
      </c>
      <c r="F851" s="1">
        <v>15</v>
      </c>
      <c r="G851" s="1">
        <v>12</v>
      </c>
      <c r="H851" s="1">
        <v>7</v>
      </c>
      <c r="I851" s="1">
        <v>8</v>
      </c>
      <c r="J851" s="1" t="s">
        <v>50</v>
      </c>
      <c r="K851" s="1" t="s">
        <v>50</v>
      </c>
      <c r="L851">
        <f t="shared" si="90"/>
        <v>310</v>
      </c>
      <c r="M851">
        <f t="shared" si="89"/>
        <v>185.56448544286178</v>
      </c>
      <c r="N851">
        <f t="shared" si="91"/>
        <v>210.14742667389368</v>
      </c>
      <c r="O851">
        <f t="shared" si="92"/>
        <v>82.076561445310972</v>
      </c>
      <c r="P851">
        <f t="shared" si="93"/>
        <v>310</v>
      </c>
      <c r="Q851">
        <f t="shared" si="94"/>
        <v>310</v>
      </c>
      <c r="U851">
        <f>C851/Navio!$J$4</f>
        <v>14.806533458261478</v>
      </c>
    </row>
    <row r="852" spans="1:21" x14ac:dyDescent="0.3">
      <c r="A852">
        <v>850</v>
      </c>
      <c r="B852" s="6">
        <v>735.5793343970571</v>
      </c>
      <c r="C852" s="46">
        <v>285.03993477675192</v>
      </c>
      <c r="D852" s="1">
        <v>9</v>
      </c>
      <c r="E852" s="1">
        <v>13</v>
      </c>
      <c r="F852" s="1">
        <v>16</v>
      </c>
      <c r="G852" s="1">
        <v>12</v>
      </c>
      <c r="H852" s="1">
        <v>7</v>
      </c>
      <c r="I852" s="1">
        <v>8</v>
      </c>
      <c r="J852" s="1" t="s">
        <v>50</v>
      </c>
      <c r="K852" s="1" t="s">
        <v>50</v>
      </c>
      <c r="L852">
        <f t="shared" si="90"/>
        <v>310</v>
      </c>
      <c r="M852">
        <f t="shared" si="89"/>
        <v>185.56448544286178</v>
      </c>
      <c r="N852">
        <f t="shared" si="91"/>
        <v>172.96798541727486</v>
      </c>
      <c r="O852">
        <f t="shared" si="92"/>
        <v>82.076561445310972</v>
      </c>
      <c r="P852">
        <f t="shared" si="93"/>
        <v>310</v>
      </c>
      <c r="Q852">
        <f t="shared" si="94"/>
        <v>310</v>
      </c>
      <c r="U852">
        <f>C852/Navio!$J$4</f>
        <v>15.390938500635416</v>
      </c>
    </row>
    <row r="853" spans="1:21" x14ac:dyDescent="0.3">
      <c r="A853">
        <v>851</v>
      </c>
      <c r="B853" s="6">
        <v>798.70369474519543</v>
      </c>
      <c r="C853" s="46">
        <v>280.16219603717525</v>
      </c>
      <c r="D853" s="1">
        <v>9</v>
      </c>
      <c r="E853" s="1">
        <v>12</v>
      </c>
      <c r="F853" s="1">
        <v>15</v>
      </c>
      <c r="G853" s="1">
        <v>14</v>
      </c>
      <c r="H853" s="1">
        <v>7</v>
      </c>
      <c r="I853" s="1">
        <v>8</v>
      </c>
      <c r="J853" s="1" t="s">
        <v>50</v>
      </c>
      <c r="K853" s="1" t="s">
        <v>50</v>
      </c>
      <c r="L853">
        <f t="shared" si="90"/>
        <v>310</v>
      </c>
      <c r="M853">
        <f t="shared" si="89"/>
        <v>82.076561445310972</v>
      </c>
      <c r="N853">
        <f t="shared" si="91"/>
        <v>210.14742667389368</v>
      </c>
      <c r="O853">
        <f t="shared" si="92"/>
        <v>96.197414256198073</v>
      </c>
      <c r="P853">
        <f t="shared" si="93"/>
        <v>310</v>
      </c>
      <c r="Q853">
        <f t="shared" si="94"/>
        <v>310</v>
      </c>
      <c r="U853">
        <f>C853/Navio!$J$4</f>
        <v>15.127561451304452</v>
      </c>
    </row>
    <row r="854" spans="1:21" x14ac:dyDescent="0.3">
      <c r="A854">
        <v>852</v>
      </c>
      <c r="B854" s="6">
        <v>646.2122632103933</v>
      </c>
      <c r="C854" s="46">
        <v>290.64091046448897</v>
      </c>
      <c r="D854" s="1">
        <v>9</v>
      </c>
      <c r="E854" s="1">
        <v>12</v>
      </c>
      <c r="F854" s="1">
        <v>16</v>
      </c>
      <c r="G854" s="1">
        <v>14</v>
      </c>
      <c r="H854" s="1">
        <v>7</v>
      </c>
      <c r="I854" s="1">
        <v>8</v>
      </c>
      <c r="J854" s="1" t="s">
        <v>50</v>
      </c>
      <c r="K854" s="1" t="s">
        <v>50</v>
      </c>
      <c r="L854">
        <f t="shared" si="90"/>
        <v>310</v>
      </c>
      <c r="M854">
        <f t="shared" si="89"/>
        <v>82.076561445310972</v>
      </c>
      <c r="N854">
        <f t="shared" si="91"/>
        <v>172.96798541727486</v>
      </c>
      <c r="O854">
        <f t="shared" si="92"/>
        <v>96.197414256198073</v>
      </c>
      <c r="P854">
        <f t="shared" si="93"/>
        <v>310</v>
      </c>
      <c r="Q854">
        <f t="shared" si="94"/>
        <v>310</v>
      </c>
      <c r="U854">
        <f>C854/Navio!$J$4</f>
        <v>15.69336725477133</v>
      </c>
    </row>
    <row r="855" spans="1:21" x14ac:dyDescent="0.3">
      <c r="A855">
        <v>853</v>
      </c>
      <c r="B855" s="6">
        <v>892.95194584764442</v>
      </c>
      <c r="C855" s="46">
        <v>294.18800823561361</v>
      </c>
      <c r="D855" s="1">
        <v>9</v>
      </c>
      <c r="E855" s="1">
        <v>17</v>
      </c>
      <c r="F855" s="1">
        <v>14</v>
      </c>
      <c r="G855" s="1">
        <v>12</v>
      </c>
      <c r="H855" s="1">
        <v>7</v>
      </c>
      <c r="I855" s="1">
        <v>8</v>
      </c>
      <c r="J855" s="1" t="s">
        <v>50</v>
      </c>
      <c r="K855" s="1" t="s">
        <v>50</v>
      </c>
      <c r="L855">
        <f t="shared" si="90"/>
        <v>310</v>
      </c>
      <c r="M855">
        <f t="shared" si="89"/>
        <v>304.39567777634272</v>
      </c>
      <c r="N855">
        <f t="shared" si="91"/>
        <v>96.197414256198073</v>
      </c>
      <c r="O855">
        <f t="shared" si="92"/>
        <v>82.076561445310972</v>
      </c>
      <c r="P855">
        <f t="shared" si="93"/>
        <v>310</v>
      </c>
      <c r="Q855">
        <f t="shared" si="94"/>
        <v>310</v>
      </c>
      <c r="U855">
        <f>C855/Navio!$J$4</f>
        <v>15.884895377642529</v>
      </c>
    </row>
    <row r="856" spans="1:21" x14ac:dyDescent="0.3">
      <c r="A856">
        <v>854</v>
      </c>
      <c r="B856" s="6">
        <v>760.16227562808899</v>
      </c>
      <c r="C856" s="46">
        <v>284.27556900866205</v>
      </c>
      <c r="D856" s="1">
        <v>9</v>
      </c>
      <c r="E856" s="1">
        <v>16</v>
      </c>
      <c r="F856" s="1">
        <v>15</v>
      </c>
      <c r="G856" s="1">
        <v>12</v>
      </c>
      <c r="H856" s="1">
        <v>7</v>
      </c>
      <c r="I856" s="1">
        <v>8</v>
      </c>
      <c r="J856" s="1" t="s">
        <v>50</v>
      </c>
      <c r="K856" s="1" t="s">
        <v>50</v>
      </c>
      <c r="L856">
        <f t="shared" si="90"/>
        <v>310</v>
      </c>
      <c r="M856">
        <f t="shared" si="89"/>
        <v>172.96798541727486</v>
      </c>
      <c r="N856">
        <f t="shared" si="91"/>
        <v>210.14742667389368</v>
      </c>
      <c r="O856">
        <f t="shared" si="92"/>
        <v>82.076561445310972</v>
      </c>
      <c r="P856">
        <f t="shared" si="93"/>
        <v>310</v>
      </c>
      <c r="Q856">
        <f t="shared" si="94"/>
        <v>310</v>
      </c>
      <c r="U856">
        <f>C856/Navio!$J$4</f>
        <v>15.349666015297963</v>
      </c>
    </row>
    <row r="857" spans="1:21" x14ac:dyDescent="0.3">
      <c r="A857">
        <v>855</v>
      </c>
      <c r="B857" s="6">
        <v>854.41052673053798</v>
      </c>
      <c r="C857" s="46">
        <v>289.67922088291647</v>
      </c>
      <c r="D857" s="1">
        <v>9</v>
      </c>
      <c r="E857" s="1">
        <v>17</v>
      </c>
      <c r="F857" s="1">
        <v>16</v>
      </c>
      <c r="G857" s="1">
        <v>12</v>
      </c>
      <c r="H857" s="1">
        <v>7</v>
      </c>
      <c r="I857" s="1">
        <v>8</v>
      </c>
      <c r="J857" s="1" t="s">
        <v>50</v>
      </c>
      <c r="K857" s="1" t="s">
        <v>50</v>
      </c>
      <c r="L857">
        <f t="shared" si="90"/>
        <v>310</v>
      </c>
      <c r="M857">
        <f t="shared" si="89"/>
        <v>304.39567777634272</v>
      </c>
      <c r="N857">
        <f t="shared" si="91"/>
        <v>172.96798541727486</v>
      </c>
      <c r="O857">
        <f t="shared" si="92"/>
        <v>82.076561445310972</v>
      </c>
      <c r="P857">
        <f t="shared" si="93"/>
        <v>310</v>
      </c>
      <c r="Q857">
        <f t="shared" si="94"/>
        <v>310</v>
      </c>
      <c r="U857">
        <f>C857/Navio!$J$4</f>
        <v>15.641440126671624</v>
      </c>
    </row>
    <row r="858" spans="1:21" x14ac:dyDescent="0.3">
      <c r="A858">
        <v>856</v>
      </c>
      <c r="B858" s="6">
        <v>804.41789483815148</v>
      </c>
      <c r="C858" s="46">
        <v>289.17396777344482</v>
      </c>
      <c r="D858" s="1">
        <v>9</v>
      </c>
      <c r="E858" s="1">
        <v>13</v>
      </c>
      <c r="F858" s="1">
        <v>16</v>
      </c>
      <c r="G858" s="1">
        <v>14</v>
      </c>
      <c r="H858" s="1">
        <v>7</v>
      </c>
      <c r="I858" s="1">
        <v>8</v>
      </c>
      <c r="J858" s="1" t="s">
        <v>50</v>
      </c>
      <c r="K858" s="1" t="s">
        <v>50</v>
      </c>
      <c r="L858">
        <f t="shared" si="90"/>
        <v>310</v>
      </c>
      <c r="M858">
        <f t="shared" si="89"/>
        <v>185.56448544286178</v>
      </c>
      <c r="N858">
        <f t="shared" si="91"/>
        <v>172.96798541727486</v>
      </c>
      <c r="O858">
        <f t="shared" si="92"/>
        <v>96.197414256198073</v>
      </c>
      <c r="P858">
        <f t="shared" si="93"/>
        <v>310</v>
      </c>
      <c r="Q858">
        <f t="shared" si="94"/>
        <v>310</v>
      </c>
      <c r="U858">
        <f>C858/Navio!$J$4</f>
        <v>15.614158617709649</v>
      </c>
    </row>
    <row r="859" spans="1:21" x14ac:dyDescent="0.3">
      <c r="A859">
        <v>857</v>
      </c>
      <c r="B859" s="6">
        <v>829.00083606918338</v>
      </c>
      <c r="C859" s="46">
        <v>288.89802113298146</v>
      </c>
      <c r="D859" s="1">
        <v>9</v>
      </c>
      <c r="E859" s="1">
        <v>15</v>
      </c>
      <c r="F859" s="1">
        <v>16</v>
      </c>
      <c r="G859" s="1">
        <v>14</v>
      </c>
      <c r="H859" s="1">
        <v>7</v>
      </c>
      <c r="I859" s="1">
        <v>8</v>
      </c>
      <c r="J859" s="1" t="s">
        <v>50</v>
      </c>
      <c r="K859" s="1" t="s">
        <v>50</v>
      </c>
      <c r="L859">
        <f t="shared" si="90"/>
        <v>310</v>
      </c>
      <c r="M859">
        <f t="shared" si="89"/>
        <v>210.14742667389368</v>
      </c>
      <c r="N859">
        <f t="shared" si="91"/>
        <v>172.96798541727486</v>
      </c>
      <c r="O859">
        <f t="shared" si="92"/>
        <v>96.197414256198073</v>
      </c>
      <c r="P859">
        <f t="shared" si="93"/>
        <v>310</v>
      </c>
      <c r="Q859">
        <f t="shared" si="94"/>
        <v>310</v>
      </c>
      <c r="U859">
        <f>C859/Navio!$J$4</f>
        <v>15.599258678246237</v>
      </c>
    </row>
    <row r="860" spans="1:21" x14ac:dyDescent="0.3">
      <c r="A860">
        <v>858</v>
      </c>
      <c r="B860" s="6">
        <v>870.94672968026327</v>
      </c>
      <c r="C860" s="46">
        <v>287.13203220991699</v>
      </c>
      <c r="D860" s="1">
        <v>10</v>
      </c>
      <c r="E860" s="1">
        <v>13</v>
      </c>
      <c r="F860" s="1">
        <v>16</v>
      </c>
      <c r="G860" s="1">
        <v>12</v>
      </c>
      <c r="H860" s="1">
        <v>7</v>
      </c>
      <c r="I860" s="1">
        <v>8</v>
      </c>
      <c r="J860" s="1" t="s">
        <v>50</v>
      </c>
      <c r="K860" s="1" t="s">
        <v>50</v>
      </c>
      <c r="L860">
        <f t="shared" si="90"/>
        <v>290.36739528320618</v>
      </c>
      <c r="M860">
        <f t="shared" si="89"/>
        <v>185.56448544286178</v>
      </c>
      <c r="N860">
        <f t="shared" si="91"/>
        <v>172.96798541727486</v>
      </c>
      <c r="O860">
        <f t="shared" si="92"/>
        <v>82.076561445310972</v>
      </c>
      <c r="P860">
        <f t="shared" si="93"/>
        <v>310</v>
      </c>
      <c r="Q860">
        <f t="shared" si="94"/>
        <v>310</v>
      </c>
      <c r="U860">
        <f>C860/Navio!$J$4</f>
        <v>15.503902822481757</v>
      </c>
    </row>
    <row r="861" spans="1:21" x14ac:dyDescent="0.3">
      <c r="A861">
        <v>859</v>
      </c>
      <c r="B861" s="6">
        <v>781.57965849359948</v>
      </c>
      <c r="C861" s="46">
        <v>293.67577570927818</v>
      </c>
      <c r="D861" s="1">
        <v>10</v>
      </c>
      <c r="E861" s="1">
        <v>16</v>
      </c>
      <c r="F861" s="1">
        <v>14</v>
      </c>
      <c r="G861" s="1">
        <v>12</v>
      </c>
      <c r="H861" s="1">
        <v>7</v>
      </c>
      <c r="I861" s="1">
        <v>8</v>
      </c>
      <c r="J861" s="1" t="s">
        <v>50</v>
      </c>
      <c r="K861" s="1" t="s">
        <v>50</v>
      </c>
      <c r="L861">
        <f t="shared" si="90"/>
        <v>290.36739528320618</v>
      </c>
      <c r="M861">
        <f t="shared" si="89"/>
        <v>172.96798541727486</v>
      </c>
      <c r="N861">
        <f t="shared" si="91"/>
        <v>96.197414256198073</v>
      </c>
      <c r="O861">
        <f t="shared" si="92"/>
        <v>82.076561445310972</v>
      </c>
      <c r="P861">
        <f t="shared" si="93"/>
        <v>310</v>
      </c>
      <c r="Q861">
        <f t="shared" si="94"/>
        <v>310</v>
      </c>
      <c r="U861">
        <f>C861/Navio!$J$4</f>
        <v>15.857237009992998</v>
      </c>
    </row>
    <row r="862" spans="1:21" x14ac:dyDescent="0.3">
      <c r="A862">
        <v>860</v>
      </c>
      <c r="B862" s="6">
        <v>895.52967091129517</v>
      </c>
      <c r="C862" s="46">
        <v>287.07945239825386</v>
      </c>
      <c r="D862" s="1">
        <v>10</v>
      </c>
      <c r="E862" s="1">
        <v>16</v>
      </c>
      <c r="F862" s="1">
        <v>15</v>
      </c>
      <c r="G862" s="1">
        <v>12</v>
      </c>
      <c r="H862" s="1">
        <v>7</v>
      </c>
      <c r="I862" s="1">
        <v>8</v>
      </c>
      <c r="J862" s="1" t="s">
        <v>50</v>
      </c>
      <c r="K862" s="1" t="s">
        <v>50</v>
      </c>
      <c r="L862">
        <f t="shared" si="90"/>
        <v>290.36739528320618</v>
      </c>
      <c r="M862">
        <f t="shared" si="89"/>
        <v>172.96798541727486</v>
      </c>
      <c r="N862">
        <f t="shared" si="91"/>
        <v>210.14742667389368</v>
      </c>
      <c r="O862">
        <f t="shared" si="92"/>
        <v>82.076561445310972</v>
      </c>
      <c r="P862">
        <f t="shared" si="93"/>
        <v>310</v>
      </c>
      <c r="Q862">
        <f t="shared" si="94"/>
        <v>310</v>
      </c>
      <c r="U862">
        <f>C862/Navio!$J$4</f>
        <v>15.50106373732579</v>
      </c>
    </row>
    <row r="863" spans="1:21" x14ac:dyDescent="0.3">
      <c r="A863">
        <v>861</v>
      </c>
      <c r="B863" s="6">
        <v>898.11333669453722</v>
      </c>
      <c r="C863" s="46">
        <v>277.1924213553753</v>
      </c>
      <c r="D863" s="1">
        <v>8</v>
      </c>
      <c r="E863" s="1">
        <v>11</v>
      </c>
      <c r="F863" s="1">
        <v>13</v>
      </c>
      <c r="G863" s="1">
        <v>14</v>
      </c>
      <c r="H863" s="1">
        <v>12</v>
      </c>
      <c r="I863" s="1">
        <v>7</v>
      </c>
      <c r="J863" s="1" t="s">
        <v>50</v>
      </c>
      <c r="K863" s="1" t="s">
        <v>50</v>
      </c>
      <c r="L863">
        <f t="shared" si="90"/>
        <v>310</v>
      </c>
      <c r="M863">
        <f t="shared" si="89"/>
        <v>278.99258318037374</v>
      </c>
      <c r="N863">
        <f t="shared" si="91"/>
        <v>185.56448544286178</v>
      </c>
      <c r="O863">
        <f t="shared" si="92"/>
        <v>96.197414256198073</v>
      </c>
      <c r="P863">
        <f t="shared" si="93"/>
        <v>82.076561445310972</v>
      </c>
      <c r="Q863">
        <f t="shared" si="94"/>
        <v>310</v>
      </c>
      <c r="U863">
        <f>C863/Navio!$J$4</f>
        <v>14.967206308351848</v>
      </c>
    </row>
    <row r="864" spans="1:21" x14ac:dyDescent="0.3">
      <c r="A864">
        <v>862</v>
      </c>
      <c r="B864" s="6">
        <v>859.57191757743078</v>
      </c>
      <c r="C864" s="46">
        <v>284.25858980492222</v>
      </c>
      <c r="D864" s="1">
        <v>8</v>
      </c>
      <c r="E864" s="1">
        <v>11</v>
      </c>
      <c r="F864" s="1">
        <v>13</v>
      </c>
      <c r="G864" s="1">
        <v>16</v>
      </c>
      <c r="H864" s="1">
        <v>12</v>
      </c>
      <c r="I864" s="1">
        <v>7</v>
      </c>
      <c r="J864" s="1" t="s">
        <v>50</v>
      </c>
      <c r="K864" s="1" t="s">
        <v>50</v>
      </c>
      <c r="L864">
        <f t="shared" si="90"/>
        <v>310</v>
      </c>
      <c r="M864">
        <f t="shared" si="89"/>
        <v>278.99258318037374</v>
      </c>
      <c r="N864">
        <f t="shared" si="91"/>
        <v>185.56448544286178</v>
      </c>
      <c r="O864">
        <f t="shared" si="92"/>
        <v>172.96798541727486</v>
      </c>
      <c r="P864">
        <f t="shared" si="93"/>
        <v>82.076561445310972</v>
      </c>
      <c r="Q864">
        <f t="shared" si="94"/>
        <v>310</v>
      </c>
      <c r="U864">
        <f>C864/Navio!$J$4</f>
        <v>15.348749210848249</v>
      </c>
    </row>
    <row r="865" spans="1:21" x14ac:dyDescent="0.3">
      <c r="A865">
        <v>863</v>
      </c>
      <c r="B865" s="6">
        <v>770.2048463907671</v>
      </c>
      <c r="C865" s="46">
        <v>290.64591981335423</v>
      </c>
      <c r="D865" s="1">
        <v>8</v>
      </c>
      <c r="E865" s="1">
        <v>11</v>
      </c>
      <c r="F865" s="1">
        <v>16</v>
      </c>
      <c r="G865" s="1">
        <v>14</v>
      </c>
      <c r="H865" s="1">
        <v>12</v>
      </c>
      <c r="I865" s="1">
        <v>7</v>
      </c>
      <c r="J865" s="1" t="s">
        <v>50</v>
      </c>
      <c r="K865" s="1" t="s">
        <v>50</v>
      </c>
      <c r="L865">
        <f t="shared" si="90"/>
        <v>310</v>
      </c>
      <c r="M865">
        <f t="shared" si="89"/>
        <v>278.99258318037374</v>
      </c>
      <c r="N865">
        <f t="shared" si="91"/>
        <v>172.96798541727486</v>
      </c>
      <c r="O865">
        <f t="shared" si="92"/>
        <v>96.197414256198073</v>
      </c>
      <c r="P865">
        <f t="shared" si="93"/>
        <v>82.076561445310972</v>
      </c>
      <c r="Q865">
        <f t="shared" si="94"/>
        <v>310</v>
      </c>
      <c r="U865">
        <f>C865/Navio!$J$4</f>
        <v>15.693637738205076</v>
      </c>
    </row>
    <row r="866" spans="1:21" x14ac:dyDescent="0.3">
      <c r="A866">
        <v>864</v>
      </c>
      <c r="B866" s="6">
        <v>884.15485880846268</v>
      </c>
      <c r="C866" s="46">
        <v>284.04959650232985</v>
      </c>
      <c r="D866" s="1">
        <v>8</v>
      </c>
      <c r="E866" s="1">
        <v>11</v>
      </c>
      <c r="F866" s="1">
        <v>16</v>
      </c>
      <c r="G866" s="1">
        <v>15</v>
      </c>
      <c r="H866" s="1">
        <v>12</v>
      </c>
      <c r="I866" s="1">
        <v>7</v>
      </c>
      <c r="J866" s="1" t="s">
        <v>50</v>
      </c>
      <c r="K866" s="1" t="s">
        <v>50</v>
      </c>
      <c r="L866">
        <f t="shared" si="90"/>
        <v>310</v>
      </c>
      <c r="M866">
        <f t="shared" si="89"/>
        <v>278.99258318037374</v>
      </c>
      <c r="N866">
        <f t="shared" si="91"/>
        <v>172.96798541727486</v>
      </c>
      <c r="O866">
        <f t="shared" si="92"/>
        <v>210.14742667389368</v>
      </c>
      <c r="P866">
        <f t="shared" si="93"/>
        <v>82.076561445310972</v>
      </c>
      <c r="Q866">
        <f t="shared" si="94"/>
        <v>310</v>
      </c>
      <c r="U866">
        <f>C866/Navio!$J$4</f>
        <v>15.337464465537867</v>
      </c>
    </row>
    <row r="867" spans="1:21" x14ac:dyDescent="0.3">
      <c r="A867">
        <v>865</v>
      </c>
      <c r="B867" s="6">
        <v>829.26818018805716</v>
      </c>
      <c r="C867" s="46">
        <v>279.05811129280073</v>
      </c>
      <c r="D867" s="1">
        <v>8</v>
      </c>
      <c r="E867" s="1">
        <v>13</v>
      </c>
      <c r="F867" s="1">
        <v>15</v>
      </c>
      <c r="G867" s="1">
        <v>14</v>
      </c>
      <c r="H867" s="1">
        <v>12</v>
      </c>
      <c r="I867" s="1">
        <v>7</v>
      </c>
      <c r="J867" s="1" t="s">
        <v>50</v>
      </c>
      <c r="K867" s="1" t="s">
        <v>50</v>
      </c>
      <c r="L867">
        <f t="shared" si="90"/>
        <v>310</v>
      </c>
      <c r="M867">
        <f t="shared" si="89"/>
        <v>185.56448544286178</v>
      </c>
      <c r="N867">
        <f t="shared" si="91"/>
        <v>210.14742667389368</v>
      </c>
      <c r="O867">
        <f t="shared" si="92"/>
        <v>96.197414256198073</v>
      </c>
      <c r="P867">
        <f t="shared" si="93"/>
        <v>82.076561445310972</v>
      </c>
      <c r="Q867">
        <f t="shared" si="94"/>
        <v>310</v>
      </c>
      <c r="U867">
        <f>C867/Navio!$J$4</f>
        <v>15.067945592868801</v>
      </c>
    </row>
    <row r="868" spans="1:21" x14ac:dyDescent="0.3">
      <c r="A868">
        <v>866</v>
      </c>
      <c r="B868" s="6">
        <v>676.77674865325514</v>
      </c>
      <c r="C868" s="46">
        <v>288.01174864560812</v>
      </c>
      <c r="D868" s="1">
        <v>8</v>
      </c>
      <c r="E868" s="1">
        <v>13</v>
      </c>
      <c r="F868" s="1">
        <v>16</v>
      </c>
      <c r="G868" s="1">
        <v>14</v>
      </c>
      <c r="H868" s="1">
        <v>12</v>
      </c>
      <c r="I868" s="1">
        <v>7</v>
      </c>
      <c r="J868" s="1" t="s">
        <v>50</v>
      </c>
      <c r="K868" s="1" t="s">
        <v>50</v>
      </c>
      <c r="L868">
        <f t="shared" si="90"/>
        <v>310</v>
      </c>
      <c r="M868">
        <f t="shared" si="89"/>
        <v>185.56448544286178</v>
      </c>
      <c r="N868">
        <f t="shared" si="91"/>
        <v>172.96798541727486</v>
      </c>
      <c r="O868">
        <f t="shared" si="92"/>
        <v>96.197414256198073</v>
      </c>
      <c r="P868">
        <f t="shared" si="93"/>
        <v>82.076561445310972</v>
      </c>
      <c r="Q868">
        <f t="shared" si="94"/>
        <v>310</v>
      </c>
      <c r="U868">
        <f>C868/Navio!$J$4</f>
        <v>15.5514037509756</v>
      </c>
    </row>
    <row r="869" spans="1:21" x14ac:dyDescent="0.3">
      <c r="A869">
        <v>867</v>
      </c>
      <c r="B869" s="6">
        <v>790.72676107095072</v>
      </c>
      <c r="C869" s="46">
        <v>281.4154253345838</v>
      </c>
      <c r="D869" s="1">
        <v>8</v>
      </c>
      <c r="E869" s="1">
        <v>13</v>
      </c>
      <c r="F869" s="1">
        <v>16</v>
      </c>
      <c r="G869" s="1">
        <v>15</v>
      </c>
      <c r="H869" s="1">
        <v>12</v>
      </c>
      <c r="I869" s="1">
        <v>7</v>
      </c>
      <c r="J869" s="1" t="s">
        <v>50</v>
      </c>
      <c r="K869" s="1" t="s">
        <v>50</v>
      </c>
      <c r="L869">
        <f t="shared" si="90"/>
        <v>310</v>
      </c>
      <c r="M869">
        <f t="shared" si="89"/>
        <v>185.56448544286178</v>
      </c>
      <c r="N869">
        <f t="shared" si="91"/>
        <v>172.96798541727486</v>
      </c>
      <c r="O869">
        <f t="shared" si="92"/>
        <v>210.14742667389368</v>
      </c>
      <c r="P869">
        <f t="shared" si="93"/>
        <v>82.076561445310972</v>
      </c>
      <c r="Q869">
        <f t="shared" si="94"/>
        <v>310</v>
      </c>
      <c r="U869">
        <f>C869/Navio!$J$4</f>
        <v>15.195230478308392</v>
      </c>
    </row>
    <row r="870" spans="1:21" x14ac:dyDescent="0.3">
      <c r="A870">
        <v>868</v>
      </c>
      <c r="B870" s="6">
        <v>884.97501217339982</v>
      </c>
      <c r="C870" s="46">
        <v>286.06201282539882</v>
      </c>
      <c r="D870" s="1">
        <v>8</v>
      </c>
      <c r="E870" s="1">
        <v>13</v>
      </c>
      <c r="F870" s="1">
        <v>17</v>
      </c>
      <c r="G870" s="1">
        <v>16</v>
      </c>
      <c r="H870" s="1">
        <v>12</v>
      </c>
      <c r="I870" s="1">
        <v>7</v>
      </c>
      <c r="J870" s="1" t="s">
        <v>50</v>
      </c>
      <c r="K870" s="1" t="s">
        <v>50</v>
      </c>
      <c r="L870">
        <f t="shared" si="90"/>
        <v>310</v>
      </c>
      <c r="M870">
        <f t="shared" si="89"/>
        <v>185.56448544286178</v>
      </c>
      <c r="N870">
        <f t="shared" si="91"/>
        <v>304.39567777634272</v>
      </c>
      <c r="O870">
        <f t="shared" si="92"/>
        <v>172.96798541727486</v>
      </c>
      <c r="P870">
        <f t="shared" si="93"/>
        <v>82.076561445310972</v>
      </c>
      <c r="Q870">
        <f t="shared" si="94"/>
        <v>310</v>
      </c>
      <c r="U870">
        <f>C870/Navio!$J$4</f>
        <v>15.446126347916866</v>
      </c>
    </row>
    <row r="871" spans="1:21" x14ac:dyDescent="0.3">
      <c r="A871">
        <v>869</v>
      </c>
      <c r="B871" s="6">
        <v>701.35968988428704</v>
      </c>
      <c r="C871" s="46">
        <v>281.79894285724583</v>
      </c>
      <c r="D871" s="1">
        <v>8</v>
      </c>
      <c r="E871" s="1">
        <v>12</v>
      </c>
      <c r="F871" s="1">
        <v>15</v>
      </c>
      <c r="G871" s="1">
        <v>16</v>
      </c>
      <c r="H871" s="1">
        <v>14</v>
      </c>
      <c r="I871" s="1">
        <v>7</v>
      </c>
      <c r="J871" s="1" t="s">
        <v>50</v>
      </c>
      <c r="K871" s="1" t="s">
        <v>50</v>
      </c>
      <c r="L871">
        <f t="shared" si="90"/>
        <v>310</v>
      </c>
      <c r="M871">
        <f t="shared" si="89"/>
        <v>82.076561445310972</v>
      </c>
      <c r="N871">
        <f t="shared" si="91"/>
        <v>210.14742667389368</v>
      </c>
      <c r="O871">
        <f t="shared" si="92"/>
        <v>172.96798541727486</v>
      </c>
      <c r="P871">
        <f t="shared" si="93"/>
        <v>96.197414256198073</v>
      </c>
      <c r="Q871">
        <f t="shared" si="94"/>
        <v>310</v>
      </c>
      <c r="U871">
        <f>C871/Navio!$J$4</f>
        <v>15.215938785759525</v>
      </c>
    </row>
    <row r="872" spans="1:21" x14ac:dyDescent="0.3">
      <c r="A872">
        <v>870</v>
      </c>
      <c r="B872" s="6">
        <v>795.60794098673603</v>
      </c>
      <c r="C872" s="46">
        <v>290.54980662288375</v>
      </c>
      <c r="D872" s="1">
        <v>8</v>
      </c>
      <c r="E872" s="1">
        <v>12</v>
      </c>
      <c r="F872" s="1">
        <v>17</v>
      </c>
      <c r="G872" s="1">
        <v>16</v>
      </c>
      <c r="H872" s="1">
        <v>14</v>
      </c>
      <c r="I872" s="1">
        <v>7</v>
      </c>
      <c r="J872" s="1" t="s">
        <v>50</v>
      </c>
      <c r="K872" s="1" t="s">
        <v>50</v>
      </c>
      <c r="L872">
        <f t="shared" si="90"/>
        <v>310</v>
      </c>
      <c r="M872">
        <f t="shared" si="89"/>
        <v>82.076561445310972</v>
      </c>
      <c r="N872">
        <f t="shared" si="91"/>
        <v>304.39567777634272</v>
      </c>
      <c r="O872">
        <f t="shared" si="92"/>
        <v>172.96798541727486</v>
      </c>
      <c r="P872">
        <f t="shared" si="93"/>
        <v>96.197414256198073</v>
      </c>
      <c r="Q872">
        <f t="shared" si="94"/>
        <v>310</v>
      </c>
      <c r="U872">
        <f>C872/Navio!$J$4</f>
        <v>15.688448036611897</v>
      </c>
    </row>
    <row r="873" spans="1:21" x14ac:dyDescent="0.3">
      <c r="A873">
        <v>871</v>
      </c>
      <c r="B873" s="6">
        <v>859.5653215120451</v>
      </c>
      <c r="C873" s="46">
        <v>287.07453540578302</v>
      </c>
      <c r="D873" s="1">
        <v>8</v>
      </c>
      <c r="E873" s="1">
        <v>13</v>
      </c>
      <c r="F873" s="1">
        <v>15</v>
      </c>
      <c r="G873" s="1">
        <v>16</v>
      </c>
      <c r="H873" s="1">
        <v>14</v>
      </c>
      <c r="I873" s="1">
        <v>7</v>
      </c>
      <c r="J873" s="1" t="s">
        <v>50</v>
      </c>
      <c r="K873" s="1" t="s">
        <v>50</v>
      </c>
      <c r="L873">
        <f t="shared" si="90"/>
        <v>310</v>
      </c>
      <c r="M873">
        <f t="shared" si="89"/>
        <v>185.56448544286178</v>
      </c>
      <c r="N873">
        <f t="shared" si="91"/>
        <v>210.14742667389368</v>
      </c>
      <c r="O873">
        <f t="shared" si="92"/>
        <v>172.96798541727486</v>
      </c>
      <c r="P873">
        <f t="shared" si="93"/>
        <v>96.197414256198073</v>
      </c>
      <c r="Q873">
        <f t="shared" si="94"/>
        <v>310</v>
      </c>
      <c r="U873">
        <f>C873/Navio!$J$4</f>
        <v>15.500798240742704</v>
      </c>
    </row>
    <row r="874" spans="1:21" x14ac:dyDescent="0.3">
      <c r="A874">
        <v>872</v>
      </c>
      <c r="B874" s="6">
        <v>870.94672968026327</v>
      </c>
      <c r="C874" s="46">
        <v>284.28934962446874</v>
      </c>
      <c r="D874" s="1">
        <v>9</v>
      </c>
      <c r="E874" s="1">
        <v>10</v>
      </c>
      <c r="F874" s="1">
        <v>13</v>
      </c>
      <c r="G874" s="1">
        <v>16</v>
      </c>
      <c r="H874" s="1">
        <v>12</v>
      </c>
      <c r="I874" s="1">
        <v>7</v>
      </c>
      <c r="J874" s="1" t="s">
        <v>50</v>
      </c>
      <c r="K874" s="1" t="s">
        <v>50</v>
      </c>
      <c r="L874">
        <f t="shared" si="90"/>
        <v>310</v>
      </c>
      <c r="M874">
        <f t="shared" si="89"/>
        <v>290.36739528320618</v>
      </c>
      <c r="N874">
        <f t="shared" si="91"/>
        <v>185.56448544286178</v>
      </c>
      <c r="O874">
        <f t="shared" si="92"/>
        <v>172.96798541727486</v>
      </c>
      <c r="P874">
        <f t="shared" si="93"/>
        <v>82.076561445310972</v>
      </c>
      <c r="Q874">
        <f t="shared" si="94"/>
        <v>310</v>
      </c>
      <c r="U874">
        <f>C874/Navio!$J$4</f>
        <v>15.350410109666873</v>
      </c>
    </row>
    <row r="875" spans="1:21" x14ac:dyDescent="0.3">
      <c r="A875">
        <v>873</v>
      </c>
      <c r="B875" s="6">
        <v>781.57965849359948</v>
      </c>
      <c r="C875" s="46">
        <v>290.83309312382994</v>
      </c>
      <c r="D875" s="1">
        <v>9</v>
      </c>
      <c r="E875" s="1">
        <v>10</v>
      </c>
      <c r="F875" s="1">
        <v>16</v>
      </c>
      <c r="G875" s="1">
        <v>14</v>
      </c>
      <c r="H875" s="1">
        <v>12</v>
      </c>
      <c r="I875" s="1">
        <v>7</v>
      </c>
      <c r="J875" s="1" t="s">
        <v>50</v>
      </c>
      <c r="K875" s="1" t="s">
        <v>50</v>
      </c>
      <c r="L875">
        <f t="shared" si="90"/>
        <v>310</v>
      </c>
      <c r="M875">
        <f t="shared" si="89"/>
        <v>290.36739528320618</v>
      </c>
      <c r="N875">
        <f t="shared" si="91"/>
        <v>172.96798541727486</v>
      </c>
      <c r="O875">
        <f t="shared" si="92"/>
        <v>96.197414256198073</v>
      </c>
      <c r="P875">
        <f t="shared" si="93"/>
        <v>82.076561445310972</v>
      </c>
      <c r="Q875">
        <f t="shared" si="94"/>
        <v>310</v>
      </c>
      <c r="U875">
        <f>C875/Navio!$J$4</f>
        <v>15.703744297178115</v>
      </c>
    </row>
    <row r="876" spans="1:21" x14ac:dyDescent="0.3">
      <c r="A876">
        <v>874</v>
      </c>
      <c r="B876" s="6">
        <v>895.52967091129517</v>
      </c>
      <c r="C876" s="46">
        <v>284.23676981280556</v>
      </c>
      <c r="D876" s="1">
        <v>9</v>
      </c>
      <c r="E876" s="1">
        <v>10</v>
      </c>
      <c r="F876" s="1">
        <v>16</v>
      </c>
      <c r="G876" s="1">
        <v>15</v>
      </c>
      <c r="H876" s="1">
        <v>12</v>
      </c>
      <c r="I876" s="1">
        <v>7</v>
      </c>
      <c r="J876" s="1" t="s">
        <v>50</v>
      </c>
      <c r="K876" s="1" t="s">
        <v>50</v>
      </c>
      <c r="L876">
        <f t="shared" si="90"/>
        <v>310</v>
      </c>
      <c r="M876">
        <f t="shared" si="89"/>
        <v>290.36739528320618</v>
      </c>
      <c r="N876">
        <f t="shared" si="91"/>
        <v>172.96798541727486</v>
      </c>
      <c r="O876">
        <f t="shared" si="92"/>
        <v>210.14742667389368</v>
      </c>
      <c r="P876">
        <f t="shared" si="93"/>
        <v>82.076561445310972</v>
      </c>
      <c r="Q876">
        <f t="shared" si="94"/>
        <v>310</v>
      </c>
      <c r="U876">
        <f>C876/Navio!$J$4</f>
        <v>15.347571024510904</v>
      </c>
    </row>
    <row r="877" spans="1:21" x14ac:dyDescent="0.3">
      <c r="A877">
        <v>875</v>
      </c>
      <c r="B877" s="6">
        <v>898.11333669453722</v>
      </c>
      <c r="C877" s="46">
        <v>275.02354485012614</v>
      </c>
      <c r="D877" s="1">
        <v>9</v>
      </c>
      <c r="E877" s="1">
        <v>11</v>
      </c>
      <c r="F877" s="1">
        <v>13</v>
      </c>
      <c r="G877" s="1">
        <v>14</v>
      </c>
      <c r="H877" s="1">
        <v>12</v>
      </c>
      <c r="I877" s="1">
        <v>7</v>
      </c>
      <c r="J877" s="1" t="s">
        <v>50</v>
      </c>
      <c r="K877" s="1" t="s">
        <v>50</v>
      </c>
      <c r="L877">
        <f t="shared" si="90"/>
        <v>310</v>
      </c>
      <c r="M877">
        <f t="shared" si="89"/>
        <v>278.99258318037374</v>
      </c>
      <c r="N877">
        <f t="shared" si="91"/>
        <v>185.56448544286178</v>
      </c>
      <c r="O877">
        <f t="shared" si="92"/>
        <v>96.197414256198073</v>
      </c>
      <c r="P877">
        <f t="shared" si="93"/>
        <v>82.076561445310972</v>
      </c>
      <c r="Q877">
        <f t="shared" si="94"/>
        <v>310</v>
      </c>
      <c r="U877">
        <f>C877/Navio!$J$4</f>
        <v>14.850096244690391</v>
      </c>
    </row>
    <row r="878" spans="1:21" x14ac:dyDescent="0.3">
      <c r="A878">
        <v>876</v>
      </c>
      <c r="B878" s="6">
        <v>859.57191757743078</v>
      </c>
      <c r="C878" s="46">
        <v>282.08971329967306</v>
      </c>
      <c r="D878" s="1">
        <v>9</v>
      </c>
      <c r="E878" s="1">
        <v>11</v>
      </c>
      <c r="F878" s="1">
        <v>13</v>
      </c>
      <c r="G878" s="1">
        <v>16</v>
      </c>
      <c r="H878" s="1">
        <v>12</v>
      </c>
      <c r="I878" s="1">
        <v>7</v>
      </c>
      <c r="J878" s="1" t="s">
        <v>50</v>
      </c>
      <c r="K878" s="1" t="s">
        <v>50</v>
      </c>
      <c r="L878">
        <f t="shared" si="90"/>
        <v>310</v>
      </c>
      <c r="M878">
        <f t="shared" si="89"/>
        <v>278.99258318037374</v>
      </c>
      <c r="N878">
        <f t="shared" si="91"/>
        <v>185.56448544286178</v>
      </c>
      <c r="O878">
        <f t="shared" si="92"/>
        <v>172.96798541727486</v>
      </c>
      <c r="P878">
        <f t="shared" si="93"/>
        <v>82.076561445310972</v>
      </c>
      <c r="Q878">
        <f t="shared" si="94"/>
        <v>310</v>
      </c>
      <c r="U878">
        <f>C878/Navio!$J$4</f>
        <v>15.231639147186794</v>
      </c>
    </row>
    <row r="879" spans="1:21" x14ac:dyDescent="0.3">
      <c r="A879">
        <v>877</v>
      </c>
      <c r="B879" s="6">
        <v>770.2048463907671</v>
      </c>
      <c r="C879" s="46">
        <v>288.47704330810507</v>
      </c>
      <c r="D879" s="1">
        <v>9</v>
      </c>
      <c r="E879" s="1">
        <v>11</v>
      </c>
      <c r="F879" s="1">
        <v>16</v>
      </c>
      <c r="G879" s="1">
        <v>14</v>
      </c>
      <c r="H879" s="1">
        <v>12</v>
      </c>
      <c r="I879" s="1">
        <v>7</v>
      </c>
      <c r="J879" s="1" t="s">
        <v>50</v>
      </c>
      <c r="K879" s="1" t="s">
        <v>50</v>
      </c>
      <c r="L879">
        <f t="shared" si="90"/>
        <v>310</v>
      </c>
      <c r="M879">
        <f t="shared" si="89"/>
        <v>278.99258318037374</v>
      </c>
      <c r="N879">
        <f t="shared" si="91"/>
        <v>172.96798541727486</v>
      </c>
      <c r="O879">
        <f t="shared" si="92"/>
        <v>96.197414256198073</v>
      </c>
      <c r="P879">
        <f t="shared" si="93"/>
        <v>82.076561445310972</v>
      </c>
      <c r="Q879">
        <f t="shared" si="94"/>
        <v>310</v>
      </c>
      <c r="U879">
        <f>C879/Navio!$J$4</f>
        <v>15.57652767454362</v>
      </c>
    </row>
    <row r="880" spans="1:21" x14ac:dyDescent="0.3">
      <c r="A880">
        <v>878</v>
      </c>
      <c r="B880" s="6">
        <v>884.15485880846268</v>
      </c>
      <c r="C880" s="46">
        <v>281.88071999708069</v>
      </c>
      <c r="D880" s="1">
        <v>9</v>
      </c>
      <c r="E880" s="1">
        <v>11</v>
      </c>
      <c r="F880" s="1">
        <v>16</v>
      </c>
      <c r="G880" s="1">
        <v>15</v>
      </c>
      <c r="H880" s="1">
        <v>12</v>
      </c>
      <c r="I880" s="1">
        <v>7</v>
      </c>
      <c r="J880" s="1" t="s">
        <v>50</v>
      </c>
      <c r="K880" s="1" t="s">
        <v>50</v>
      </c>
      <c r="L880">
        <f t="shared" si="90"/>
        <v>310</v>
      </c>
      <c r="M880">
        <f t="shared" si="89"/>
        <v>278.99258318037374</v>
      </c>
      <c r="N880">
        <f t="shared" si="91"/>
        <v>172.96798541727486</v>
      </c>
      <c r="O880">
        <f t="shared" si="92"/>
        <v>210.14742667389368</v>
      </c>
      <c r="P880">
        <f t="shared" si="93"/>
        <v>82.076561445310972</v>
      </c>
      <c r="Q880">
        <f t="shared" si="94"/>
        <v>310</v>
      </c>
      <c r="U880">
        <f>C880/Navio!$J$4</f>
        <v>15.22035440187641</v>
      </c>
    </row>
    <row r="881" spans="1:21" x14ac:dyDescent="0.3">
      <c r="A881">
        <v>879</v>
      </c>
      <c r="B881" s="6">
        <v>829.26818018805716</v>
      </c>
      <c r="C881" s="46">
        <v>279.60305857594562</v>
      </c>
      <c r="D881" s="1">
        <v>9</v>
      </c>
      <c r="E881" s="1">
        <v>13</v>
      </c>
      <c r="F881" s="1">
        <v>15</v>
      </c>
      <c r="G881" s="1">
        <v>14</v>
      </c>
      <c r="H881" s="1">
        <v>12</v>
      </c>
      <c r="I881" s="1">
        <v>7</v>
      </c>
      <c r="J881" s="1" t="s">
        <v>50</v>
      </c>
      <c r="K881" s="1" t="s">
        <v>50</v>
      </c>
      <c r="L881">
        <f t="shared" si="90"/>
        <v>310</v>
      </c>
      <c r="M881">
        <f t="shared" si="89"/>
        <v>185.56448544286178</v>
      </c>
      <c r="N881">
        <f t="shared" si="91"/>
        <v>210.14742667389368</v>
      </c>
      <c r="O881">
        <f t="shared" si="92"/>
        <v>96.197414256198073</v>
      </c>
      <c r="P881">
        <f t="shared" si="93"/>
        <v>82.076561445310972</v>
      </c>
      <c r="Q881">
        <f t="shared" si="94"/>
        <v>310</v>
      </c>
      <c r="U881">
        <f>C881/Navio!$J$4</f>
        <v>15.097370417595696</v>
      </c>
    </row>
    <row r="882" spans="1:21" x14ac:dyDescent="0.3">
      <c r="A882">
        <v>880</v>
      </c>
      <c r="B882" s="6">
        <v>676.77674865325514</v>
      </c>
      <c r="C882" s="46">
        <v>288.55669592875302</v>
      </c>
      <c r="D882" s="1">
        <v>9</v>
      </c>
      <c r="E882" s="1">
        <v>13</v>
      </c>
      <c r="F882" s="1">
        <v>16</v>
      </c>
      <c r="G882" s="1">
        <v>14</v>
      </c>
      <c r="H882" s="1">
        <v>12</v>
      </c>
      <c r="I882" s="1">
        <v>7</v>
      </c>
      <c r="J882" s="1" t="s">
        <v>50</v>
      </c>
      <c r="K882" s="1" t="s">
        <v>50</v>
      </c>
      <c r="L882">
        <f t="shared" si="90"/>
        <v>310</v>
      </c>
      <c r="M882">
        <f t="shared" si="89"/>
        <v>185.56448544286178</v>
      </c>
      <c r="N882">
        <f t="shared" si="91"/>
        <v>172.96798541727486</v>
      </c>
      <c r="O882">
        <f t="shared" si="92"/>
        <v>96.197414256198073</v>
      </c>
      <c r="P882">
        <f t="shared" si="93"/>
        <v>82.076561445310972</v>
      </c>
      <c r="Q882">
        <f t="shared" si="94"/>
        <v>310</v>
      </c>
      <c r="U882">
        <f>C882/Navio!$J$4</f>
        <v>15.580828575702496</v>
      </c>
    </row>
    <row r="883" spans="1:21" x14ac:dyDescent="0.3">
      <c r="A883">
        <v>881</v>
      </c>
      <c r="B883" s="6">
        <v>790.72676107095072</v>
      </c>
      <c r="C883" s="46">
        <v>281.96037261772869</v>
      </c>
      <c r="D883" s="1">
        <v>9</v>
      </c>
      <c r="E883" s="1">
        <v>13</v>
      </c>
      <c r="F883" s="1">
        <v>16</v>
      </c>
      <c r="G883" s="1">
        <v>15</v>
      </c>
      <c r="H883" s="1">
        <v>12</v>
      </c>
      <c r="I883" s="1">
        <v>7</v>
      </c>
      <c r="J883" s="1" t="s">
        <v>50</v>
      </c>
      <c r="K883" s="1" t="s">
        <v>50</v>
      </c>
      <c r="L883">
        <f t="shared" si="90"/>
        <v>310</v>
      </c>
      <c r="M883">
        <f t="shared" si="89"/>
        <v>185.56448544286178</v>
      </c>
      <c r="N883">
        <f t="shared" si="91"/>
        <v>172.96798541727486</v>
      </c>
      <c r="O883">
        <f t="shared" si="92"/>
        <v>210.14742667389368</v>
      </c>
      <c r="P883">
        <f t="shared" si="93"/>
        <v>82.076561445310972</v>
      </c>
      <c r="Q883">
        <f t="shared" si="94"/>
        <v>310</v>
      </c>
      <c r="U883">
        <f>C883/Navio!$J$4</f>
        <v>15.224655303035288</v>
      </c>
    </row>
    <row r="884" spans="1:21" x14ac:dyDescent="0.3">
      <c r="A884">
        <v>882</v>
      </c>
      <c r="B884" s="6">
        <v>884.97501217339982</v>
      </c>
      <c r="C884" s="46">
        <v>286.60696010854372</v>
      </c>
      <c r="D884" s="1">
        <v>9</v>
      </c>
      <c r="E884" s="1">
        <v>13</v>
      </c>
      <c r="F884" s="1">
        <v>17</v>
      </c>
      <c r="G884" s="1">
        <v>16</v>
      </c>
      <c r="H884" s="1">
        <v>12</v>
      </c>
      <c r="I884" s="1">
        <v>7</v>
      </c>
      <c r="J884" s="1" t="s">
        <v>50</v>
      </c>
      <c r="K884" s="1" t="s">
        <v>50</v>
      </c>
      <c r="L884">
        <f t="shared" si="90"/>
        <v>310</v>
      </c>
      <c r="M884">
        <f t="shared" si="89"/>
        <v>185.56448544286178</v>
      </c>
      <c r="N884">
        <f t="shared" si="91"/>
        <v>304.39567777634272</v>
      </c>
      <c r="O884">
        <f t="shared" si="92"/>
        <v>172.96798541727486</v>
      </c>
      <c r="P884">
        <f t="shared" si="93"/>
        <v>82.076561445310972</v>
      </c>
      <c r="Q884">
        <f t="shared" si="94"/>
        <v>310</v>
      </c>
      <c r="U884">
        <f>C884/Navio!$J$4</f>
        <v>15.475551172643762</v>
      </c>
    </row>
    <row r="885" spans="1:21" x14ac:dyDescent="0.3">
      <c r="A885">
        <v>883</v>
      </c>
      <c r="B885" s="6">
        <v>701.35968988428704</v>
      </c>
      <c r="C885" s="46">
        <v>287.56134830546569</v>
      </c>
      <c r="D885" s="1">
        <v>9</v>
      </c>
      <c r="E885" s="1">
        <v>12</v>
      </c>
      <c r="F885" s="1">
        <v>15</v>
      </c>
      <c r="G885" s="1">
        <v>16</v>
      </c>
      <c r="H885" s="1">
        <v>14</v>
      </c>
      <c r="I885" s="1">
        <v>7</v>
      </c>
      <c r="J885" s="1" t="s">
        <v>50</v>
      </c>
      <c r="K885" s="1" t="s">
        <v>50</v>
      </c>
      <c r="L885">
        <f t="shared" si="90"/>
        <v>310</v>
      </c>
      <c r="M885">
        <f t="shared" si="89"/>
        <v>82.076561445310972</v>
      </c>
      <c r="N885">
        <f t="shared" si="91"/>
        <v>210.14742667389368</v>
      </c>
      <c r="O885">
        <f t="shared" si="92"/>
        <v>172.96798541727486</v>
      </c>
      <c r="P885">
        <f t="shared" si="93"/>
        <v>96.197414256198073</v>
      </c>
      <c r="Q885">
        <f t="shared" si="94"/>
        <v>310</v>
      </c>
      <c r="U885">
        <f>C885/Navio!$J$4</f>
        <v>15.527084057171198</v>
      </c>
    </row>
    <row r="886" spans="1:21" x14ac:dyDescent="0.3">
      <c r="A886">
        <v>884</v>
      </c>
      <c r="B886" s="6">
        <v>795.60794098673603</v>
      </c>
      <c r="C886" s="46">
        <v>293.19598203491751</v>
      </c>
      <c r="D886" s="1">
        <v>9</v>
      </c>
      <c r="E886" s="1">
        <v>17</v>
      </c>
      <c r="F886" s="1">
        <v>16</v>
      </c>
      <c r="G886" s="1">
        <v>14</v>
      </c>
      <c r="H886" s="1">
        <v>12</v>
      </c>
      <c r="I886" s="1">
        <v>7</v>
      </c>
      <c r="J886" s="1" t="s">
        <v>50</v>
      </c>
      <c r="K886" s="1" t="s">
        <v>50</v>
      </c>
      <c r="L886">
        <f t="shared" si="90"/>
        <v>310</v>
      </c>
      <c r="M886">
        <f t="shared" si="89"/>
        <v>304.39567777634272</v>
      </c>
      <c r="N886">
        <f t="shared" si="91"/>
        <v>172.96798541727486</v>
      </c>
      <c r="O886">
        <f t="shared" si="92"/>
        <v>96.197414256198073</v>
      </c>
      <c r="P886">
        <f t="shared" si="93"/>
        <v>82.076561445310972</v>
      </c>
      <c r="Q886">
        <f t="shared" si="94"/>
        <v>310</v>
      </c>
      <c r="U886">
        <f>C886/Navio!$J$4</f>
        <v>15.8313302017387</v>
      </c>
    </row>
    <row r="887" spans="1:21" x14ac:dyDescent="0.3">
      <c r="A887">
        <v>885</v>
      </c>
      <c r="B887" s="6">
        <v>859.5653215120451</v>
      </c>
      <c r="C887" s="46">
        <v>287.61948268892786</v>
      </c>
      <c r="D887" s="1">
        <v>9</v>
      </c>
      <c r="E887" s="1">
        <v>13</v>
      </c>
      <c r="F887" s="1">
        <v>15</v>
      </c>
      <c r="G887" s="1">
        <v>16</v>
      </c>
      <c r="H887" s="1">
        <v>14</v>
      </c>
      <c r="I887" s="1">
        <v>7</v>
      </c>
      <c r="J887" s="1" t="s">
        <v>50</v>
      </c>
      <c r="K887" s="1" t="s">
        <v>50</v>
      </c>
      <c r="L887">
        <f t="shared" si="90"/>
        <v>310</v>
      </c>
      <c r="M887">
        <f t="shared" si="89"/>
        <v>185.56448544286178</v>
      </c>
      <c r="N887">
        <f t="shared" si="91"/>
        <v>210.14742667389368</v>
      </c>
      <c r="O887">
        <f t="shared" si="92"/>
        <v>172.96798541727486</v>
      </c>
      <c r="P887">
        <f t="shared" si="93"/>
        <v>96.197414256198073</v>
      </c>
      <c r="Q887">
        <f t="shared" si="94"/>
        <v>310</v>
      </c>
      <c r="U887">
        <f>C887/Navio!$J$4</f>
        <v>15.530223065469595</v>
      </c>
    </row>
    <row r="888" spans="1:21" x14ac:dyDescent="0.3">
      <c r="A888">
        <v>886</v>
      </c>
      <c r="B888" s="6">
        <v>812.14414393646132</v>
      </c>
      <c r="C888" s="46">
        <v>290.64879336191808</v>
      </c>
      <c r="D888" s="1">
        <v>10</v>
      </c>
      <c r="E888" s="1">
        <v>13</v>
      </c>
      <c r="F888" s="1">
        <v>16</v>
      </c>
      <c r="G888" s="1">
        <v>14</v>
      </c>
      <c r="H888" s="1">
        <v>12</v>
      </c>
      <c r="I888" s="1">
        <v>7</v>
      </c>
      <c r="J888" s="1" t="s">
        <v>50</v>
      </c>
      <c r="K888" s="1" t="s">
        <v>50</v>
      </c>
      <c r="L888">
        <f t="shared" si="90"/>
        <v>290.36739528320618</v>
      </c>
      <c r="M888">
        <f t="shared" si="89"/>
        <v>185.56448544286178</v>
      </c>
      <c r="N888">
        <f t="shared" si="91"/>
        <v>172.96798541727486</v>
      </c>
      <c r="O888">
        <f t="shared" si="92"/>
        <v>96.197414256198073</v>
      </c>
      <c r="P888">
        <f t="shared" si="93"/>
        <v>82.076561445310972</v>
      </c>
      <c r="Q888">
        <f t="shared" si="94"/>
        <v>310</v>
      </c>
      <c r="U888">
        <f>C888/Navio!$J$4</f>
        <v>15.693792897548835</v>
      </c>
    </row>
    <row r="889" spans="1:21" x14ac:dyDescent="0.3">
      <c r="A889">
        <v>887</v>
      </c>
      <c r="B889" s="6">
        <v>836.72708516749321</v>
      </c>
      <c r="C889" s="46">
        <v>291.63507264460327</v>
      </c>
      <c r="D889" s="1">
        <v>10</v>
      </c>
      <c r="E889" s="1">
        <v>15</v>
      </c>
      <c r="F889" s="1">
        <v>16</v>
      </c>
      <c r="G889" s="1">
        <v>14</v>
      </c>
      <c r="H889" s="1">
        <v>12</v>
      </c>
      <c r="I889" s="1">
        <v>7</v>
      </c>
      <c r="J889" s="1" t="s">
        <v>50</v>
      </c>
      <c r="K889" s="1" t="s">
        <v>50</v>
      </c>
      <c r="L889">
        <f t="shared" si="90"/>
        <v>290.36739528320618</v>
      </c>
      <c r="M889">
        <f t="shared" si="89"/>
        <v>210.14742667389368</v>
      </c>
      <c r="N889">
        <f t="shared" si="91"/>
        <v>172.96798541727486</v>
      </c>
      <c r="O889">
        <f t="shared" si="92"/>
        <v>96.197414256198073</v>
      </c>
      <c r="P889">
        <f t="shared" si="93"/>
        <v>82.076561445310972</v>
      </c>
      <c r="Q889">
        <f t="shared" si="94"/>
        <v>310</v>
      </c>
      <c r="U889">
        <f>C889/Navio!$J$4</f>
        <v>15.74704776443669</v>
      </c>
    </row>
    <row r="890" spans="1:21" x14ac:dyDescent="0.3">
      <c r="A890">
        <v>888</v>
      </c>
      <c r="B890" s="6">
        <v>800.76933183362883</v>
      </c>
      <c r="C890" s="46">
        <v>288.15111208743093</v>
      </c>
      <c r="D890" s="1">
        <v>11</v>
      </c>
      <c r="E890" s="1">
        <v>13</v>
      </c>
      <c r="F890" s="1">
        <v>16</v>
      </c>
      <c r="G890" s="1">
        <v>14</v>
      </c>
      <c r="H890" s="1">
        <v>12</v>
      </c>
      <c r="I890" s="1">
        <v>7</v>
      </c>
      <c r="J890" s="1" t="s">
        <v>50</v>
      </c>
      <c r="K890" s="1" t="s">
        <v>50</v>
      </c>
      <c r="L890">
        <f t="shared" si="90"/>
        <v>278.99258318037374</v>
      </c>
      <c r="M890">
        <f t="shared" si="89"/>
        <v>185.56448544286178</v>
      </c>
      <c r="N890">
        <f t="shared" si="91"/>
        <v>172.96798541727486</v>
      </c>
      <c r="O890">
        <f t="shared" si="92"/>
        <v>96.197414256198073</v>
      </c>
      <c r="P890">
        <f t="shared" si="93"/>
        <v>82.076561445310972</v>
      </c>
      <c r="Q890">
        <f t="shared" si="94"/>
        <v>310</v>
      </c>
      <c r="U890">
        <f>C890/Navio!$J$4</f>
        <v>15.558928781333229</v>
      </c>
    </row>
    <row r="891" spans="1:21" x14ac:dyDescent="0.3">
      <c r="A891">
        <v>889</v>
      </c>
      <c r="B891" s="6">
        <v>825.35227306466072</v>
      </c>
      <c r="C891" s="46">
        <v>288.90799374964615</v>
      </c>
      <c r="D891" s="1">
        <v>11</v>
      </c>
      <c r="E891" s="1">
        <v>15</v>
      </c>
      <c r="F891" s="1">
        <v>16</v>
      </c>
      <c r="G891" s="1">
        <v>14</v>
      </c>
      <c r="H891" s="1">
        <v>12</v>
      </c>
      <c r="I891" s="1">
        <v>7</v>
      </c>
      <c r="J891" s="1" t="s">
        <v>50</v>
      </c>
      <c r="K891" s="1" t="s">
        <v>50</v>
      </c>
      <c r="L891">
        <f t="shared" si="90"/>
        <v>278.99258318037374</v>
      </c>
      <c r="M891">
        <f t="shared" si="89"/>
        <v>210.14742667389368</v>
      </c>
      <c r="N891">
        <f t="shared" si="91"/>
        <v>172.96798541727486</v>
      </c>
      <c r="O891">
        <f t="shared" si="92"/>
        <v>96.197414256198073</v>
      </c>
      <c r="P891">
        <f t="shared" si="93"/>
        <v>82.076561445310972</v>
      </c>
      <c r="Q891">
        <f t="shared" si="94"/>
        <v>310</v>
      </c>
      <c r="U891">
        <f>C891/Navio!$J$4</f>
        <v>15.59979715693308</v>
      </c>
    </row>
    <row r="892" spans="1:21" x14ac:dyDescent="0.3">
      <c r="A892">
        <v>890</v>
      </c>
      <c r="B892" s="6">
        <v>731.92417532714876</v>
      </c>
      <c r="C892" s="46">
        <v>288.79321569234605</v>
      </c>
      <c r="D892" s="1">
        <v>13</v>
      </c>
      <c r="E892" s="1">
        <v>15</v>
      </c>
      <c r="F892" s="1">
        <v>16</v>
      </c>
      <c r="G892" s="1">
        <v>14</v>
      </c>
      <c r="H892" s="1">
        <v>12</v>
      </c>
      <c r="I892" s="1">
        <v>7</v>
      </c>
      <c r="J892" s="1" t="s">
        <v>50</v>
      </c>
      <c r="K892" s="1" t="s">
        <v>50</v>
      </c>
      <c r="L892">
        <f t="shared" si="90"/>
        <v>185.56448544286178</v>
      </c>
      <c r="M892">
        <f t="shared" si="89"/>
        <v>210.14742667389368</v>
      </c>
      <c r="N892">
        <f t="shared" si="91"/>
        <v>172.96798541727486</v>
      </c>
      <c r="O892">
        <f t="shared" si="92"/>
        <v>96.197414256198073</v>
      </c>
      <c r="P892">
        <f t="shared" si="93"/>
        <v>82.076561445310972</v>
      </c>
      <c r="Q892">
        <f t="shared" si="94"/>
        <v>310</v>
      </c>
      <c r="U892">
        <f>C892/Navio!$J$4</f>
        <v>15.593599632286185</v>
      </c>
    </row>
    <row r="893" spans="1:21" x14ac:dyDescent="0.3">
      <c r="A893">
        <v>891</v>
      </c>
      <c r="B893" s="6">
        <v>826.17242642959786</v>
      </c>
      <c r="C893" s="46">
        <v>291.9147261086548</v>
      </c>
      <c r="D893" s="1">
        <v>13</v>
      </c>
      <c r="E893" s="1">
        <v>17</v>
      </c>
      <c r="F893" s="1">
        <v>16</v>
      </c>
      <c r="G893" s="1">
        <v>14</v>
      </c>
      <c r="H893" s="1">
        <v>12</v>
      </c>
      <c r="I893" s="1">
        <v>7</v>
      </c>
      <c r="J893" s="1" t="s">
        <v>50</v>
      </c>
      <c r="K893" s="1" t="s">
        <v>50</v>
      </c>
      <c r="L893">
        <f t="shared" si="90"/>
        <v>185.56448544286178</v>
      </c>
      <c r="M893">
        <f t="shared" si="89"/>
        <v>304.39567777634272</v>
      </c>
      <c r="N893">
        <f t="shared" si="91"/>
        <v>172.96798541727486</v>
      </c>
      <c r="O893">
        <f t="shared" si="92"/>
        <v>96.197414256198073</v>
      </c>
      <c r="P893">
        <f t="shared" si="93"/>
        <v>82.076561445310972</v>
      </c>
      <c r="Q893">
        <f t="shared" si="94"/>
        <v>310</v>
      </c>
      <c r="U893">
        <f>C893/Navio!$J$4</f>
        <v>15.762147856534584</v>
      </c>
    </row>
    <row r="894" spans="1:21" x14ac:dyDescent="0.3">
      <c r="A894">
        <v>892</v>
      </c>
      <c r="B894" s="6">
        <v>850.75536766062976</v>
      </c>
      <c r="C894" s="46">
        <v>291.67473879555405</v>
      </c>
      <c r="D894" s="1">
        <v>14</v>
      </c>
      <c r="E894" s="1">
        <v>15</v>
      </c>
      <c r="F894" s="1">
        <v>16</v>
      </c>
      <c r="G894" s="1">
        <v>17</v>
      </c>
      <c r="H894" s="1">
        <v>12</v>
      </c>
      <c r="I894" s="1">
        <v>7</v>
      </c>
      <c r="J894" s="1" t="s">
        <v>50</v>
      </c>
      <c r="K894" s="1" t="s">
        <v>50</v>
      </c>
      <c r="L894">
        <f t="shared" si="90"/>
        <v>96.197414256198073</v>
      </c>
      <c r="M894">
        <f t="shared" si="89"/>
        <v>210.14742667389368</v>
      </c>
      <c r="N894">
        <f t="shared" si="91"/>
        <v>172.96798541727486</v>
      </c>
      <c r="O894">
        <f t="shared" si="92"/>
        <v>304.39567777634272</v>
      </c>
      <c r="P894">
        <f t="shared" si="93"/>
        <v>82.076561445310972</v>
      </c>
      <c r="Q894">
        <f t="shared" si="94"/>
        <v>310</v>
      </c>
      <c r="U894">
        <f>C894/Navio!$J$4</f>
        <v>15.749189567094337</v>
      </c>
    </row>
    <row r="895" spans="1:21" x14ac:dyDescent="0.3">
      <c r="A895">
        <v>893</v>
      </c>
      <c r="B895" s="6">
        <v>870.94672968026327</v>
      </c>
      <c r="C895" s="46">
        <v>284.40729684244002</v>
      </c>
      <c r="D895" s="1">
        <v>9</v>
      </c>
      <c r="E895" s="1">
        <v>10</v>
      </c>
      <c r="F895" s="1">
        <v>13</v>
      </c>
      <c r="G895" s="1">
        <v>16</v>
      </c>
      <c r="H895" s="1">
        <v>12</v>
      </c>
      <c r="I895" s="1">
        <v>8</v>
      </c>
      <c r="J895" s="1" t="s">
        <v>50</v>
      </c>
      <c r="K895" s="1" t="s">
        <v>50</v>
      </c>
      <c r="L895">
        <f t="shared" si="90"/>
        <v>310</v>
      </c>
      <c r="M895">
        <f t="shared" si="89"/>
        <v>290.36739528320618</v>
      </c>
      <c r="N895">
        <f t="shared" si="91"/>
        <v>185.56448544286178</v>
      </c>
      <c r="O895">
        <f t="shared" si="92"/>
        <v>172.96798541727486</v>
      </c>
      <c r="P895">
        <f t="shared" si="93"/>
        <v>82.076561445310972</v>
      </c>
      <c r="Q895">
        <f t="shared" si="94"/>
        <v>310</v>
      </c>
      <c r="U895">
        <f>C895/Navio!$J$4</f>
        <v>15.356778755448168</v>
      </c>
    </row>
    <row r="896" spans="1:21" x14ac:dyDescent="0.3">
      <c r="A896">
        <v>894</v>
      </c>
      <c r="B896" s="6">
        <v>781.57965849359948</v>
      </c>
      <c r="C896" s="46">
        <v>290.95104034180122</v>
      </c>
      <c r="D896" s="1">
        <v>9</v>
      </c>
      <c r="E896" s="1">
        <v>10</v>
      </c>
      <c r="F896" s="1">
        <v>16</v>
      </c>
      <c r="G896" s="1">
        <v>14</v>
      </c>
      <c r="H896" s="1">
        <v>12</v>
      </c>
      <c r="I896" s="1">
        <v>8</v>
      </c>
      <c r="J896" s="1" t="s">
        <v>50</v>
      </c>
      <c r="K896" s="1" t="s">
        <v>50</v>
      </c>
      <c r="L896">
        <f t="shared" si="90"/>
        <v>310</v>
      </c>
      <c r="M896">
        <f t="shared" si="89"/>
        <v>290.36739528320618</v>
      </c>
      <c r="N896">
        <f t="shared" si="91"/>
        <v>172.96798541727486</v>
      </c>
      <c r="O896">
        <f t="shared" si="92"/>
        <v>96.197414256198073</v>
      </c>
      <c r="P896">
        <f t="shared" si="93"/>
        <v>82.076561445310972</v>
      </c>
      <c r="Q896">
        <f t="shared" si="94"/>
        <v>310</v>
      </c>
      <c r="U896">
        <f>C896/Navio!$J$4</f>
        <v>15.710112942959411</v>
      </c>
    </row>
    <row r="897" spans="1:21" x14ac:dyDescent="0.3">
      <c r="A897">
        <v>895</v>
      </c>
      <c r="B897" s="6">
        <v>895.52967091129517</v>
      </c>
      <c r="C897" s="46">
        <v>284.3547170307769</v>
      </c>
      <c r="D897" s="1">
        <v>9</v>
      </c>
      <c r="E897" s="1">
        <v>10</v>
      </c>
      <c r="F897" s="1">
        <v>16</v>
      </c>
      <c r="G897" s="1">
        <v>15</v>
      </c>
      <c r="H897" s="1">
        <v>12</v>
      </c>
      <c r="I897" s="1">
        <v>8</v>
      </c>
      <c r="J897" s="1" t="s">
        <v>50</v>
      </c>
      <c r="K897" s="1" t="s">
        <v>50</v>
      </c>
      <c r="L897">
        <f t="shared" si="90"/>
        <v>310</v>
      </c>
      <c r="M897">
        <f t="shared" si="89"/>
        <v>290.36739528320618</v>
      </c>
      <c r="N897">
        <f t="shared" si="91"/>
        <v>172.96798541727486</v>
      </c>
      <c r="O897">
        <f t="shared" si="92"/>
        <v>210.14742667389368</v>
      </c>
      <c r="P897">
        <f t="shared" si="93"/>
        <v>82.076561445310972</v>
      </c>
      <c r="Q897">
        <f t="shared" si="94"/>
        <v>310</v>
      </c>
      <c r="U897">
        <f>C897/Navio!$J$4</f>
        <v>15.353939670292203</v>
      </c>
    </row>
    <row r="898" spans="1:21" x14ac:dyDescent="0.3">
      <c r="A898">
        <v>896</v>
      </c>
      <c r="B898" s="6">
        <v>898.11333669453722</v>
      </c>
      <c r="C898" s="46">
        <v>275.14149206809748</v>
      </c>
      <c r="D898" s="1">
        <v>9</v>
      </c>
      <c r="E898" s="1">
        <v>11</v>
      </c>
      <c r="F898" s="1">
        <v>13</v>
      </c>
      <c r="G898" s="1">
        <v>14</v>
      </c>
      <c r="H898" s="1">
        <v>12</v>
      </c>
      <c r="I898" s="1">
        <v>8</v>
      </c>
      <c r="J898" s="1" t="s">
        <v>50</v>
      </c>
      <c r="K898" s="1" t="s">
        <v>50</v>
      </c>
      <c r="L898">
        <f t="shared" si="90"/>
        <v>310</v>
      </c>
      <c r="M898">
        <f t="shared" si="89"/>
        <v>278.99258318037374</v>
      </c>
      <c r="N898">
        <f t="shared" si="91"/>
        <v>185.56448544286178</v>
      </c>
      <c r="O898">
        <f t="shared" si="92"/>
        <v>96.197414256198073</v>
      </c>
      <c r="P898">
        <f t="shared" si="93"/>
        <v>82.076561445310972</v>
      </c>
      <c r="Q898">
        <f t="shared" si="94"/>
        <v>310</v>
      </c>
      <c r="U898">
        <f>C898/Navio!$J$4</f>
        <v>14.85646489047169</v>
      </c>
    </row>
    <row r="899" spans="1:21" x14ac:dyDescent="0.3">
      <c r="A899">
        <v>897</v>
      </c>
      <c r="B899" s="6">
        <v>859.57191757743078</v>
      </c>
      <c r="C899" s="46">
        <v>282.2076605176444</v>
      </c>
      <c r="D899" s="1">
        <v>9</v>
      </c>
      <c r="E899" s="1">
        <v>11</v>
      </c>
      <c r="F899" s="1">
        <v>13</v>
      </c>
      <c r="G899" s="1">
        <v>16</v>
      </c>
      <c r="H899" s="1">
        <v>12</v>
      </c>
      <c r="I899" s="1">
        <v>8</v>
      </c>
      <c r="J899" s="1" t="s">
        <v>50</v>
      </c>
      <c r="K899" s="1" t="s">
        <v>50</v>
      </c>
      <c r="L899">
        <f t="shared" si="90"/>
        <v>310</v>
      </c>
      <c r="M899">
        <f t="shared" ref="M899:M962" si="95">VLOOKUP(E899,$Y$2:$Z$80,2)</f>
        <v>278.99258318037374</v>
      </c>
      <c r="N899">
        <f t="shared" si="91"/>
        <v>185.56448544286178</v>
      </c>
      <c r="O899">
        <f t="shared" si="92"/>
        <v>172.96798541727486</v>
      </c>
      <c r="P899">
        <f t="shared" si="93"/>
        <v>82.076561445310972</v>
      </c>
      <c r="Q899">
        <f t="shared" si="94"/>
        <v>310</v>
      </c>
      <c r="U899">
        <f>C899/Navio!$J$4</f>
        <v>15.238007792968093</v>
      </c>
    </row>
    <row r="900" spans="1:21" x14ac:dyDescent="0.3">
      <c r="A900">
        <v>898</v>
      </c>
      <c r="B900" s="6">
        <v>770.2048463907671</v>
      </c>
      <c r="C900" s="46">
        <v>288.59499052607634</v>
      </c>
      <c r="D900" s="1">
        <v>9</v>
      </c>
      <c r="E900" s="1">
        <v>11</v>
      </c>
      <c r="F900" s="1">
        <v>16</v>
      </c>
      <c r="G900" s="1">
        <v>14</v>
      </c>
      <c r="H900" s="1">
        <v>12</v>
      </c>
      <c r="I900" s="1">
        <v>8</v>
      </c>
      <c r="J900" s="1" t="s">
        <v>50</v>
      </c>
      <c r="K900" s="1" t="s">
        <v>50</v>
      </c>
      <c r="L900">
        <f t="shared" si="90"/>
        <v>310</v>
      </c>
      <c r="M900">
        <f t="shared" si="95"/>
        <v>278.99258318037374</v>
      </c>
      <c r="N900">
        <f t="shared" si="91"/>
        <v>172.96798541727486</v>
      </c>
      <c r="O900">
        <f t="shared" si="92"/>
        <v>96.197414256198073</v>
      </c>
      <c r="P900">
        <f t="shared" si="93"/>
        <v>82.076561445310972</v>
      </c>
      <c r="Q900">
        <f t="shared" si="94"/>
        <v>310</v>
      </c>
      <c r="U900">
        <f>C900/Navio!$J$4</f>
        <v>15.582896320324917</v>
      </c>
    </row>
    <row r="901" spans="1:21" x14ac:dyDescent="0.3">
      <c r="A901">
        <v>899</v>
      </c>
      <c r="B901" s="6">
        <v>884.15485880846268</v>
      </c>
      <c r="C901" s="46">
        <v>281.99866721505202</v>
      </c>
      <c r="D901" s="1">
        <v>9</v>
      </c>
      <c r="E901" s="1">
        <v>11</v>
      </c>
      <c r="F901" s="1">
        <v>16</v>
      </c>
      <c r="G901" s="1">
        <v>15</v>
      </c>
      <c r="H901" s="1">
        <v>12</v>
      </c>
      <c r="I901" s="1">
        <v>8</v>
      </c>
      <c r="J901" s="1" t="s">
        <v>50</v>
      </c>
      <c r="K901" s="1" t="s">
        <v>50</v>
      </c>
      <c r="L901">
        <f t="shared" si="90"/>
        <v>310</v>
      </c>
      <c r="M901">
        <f t="shared" si="95"/>
        <v>278.99258318037374</v>
      </c>
      <c r="N901">
        <f t="shared" si="91"/>
        <v>172.96798541727486</v>
      </c>
      <c r="O901">
        <f t="shared" si="92"/>
        <v>210.14742667389368</v>
      </c>
      <c r="P901">
        <f t="shared" si="93"/>
        <v>82.076561445310972</v>
      </c>
      <c r="Q901">
        <f t="shared" si="94"/>
        <v>310</v>
      </c>
      <c r="U901">
        <f>C901/Navio!$J$4</f>
        <v>15.226723047657709</v>
      </c>
    </row>
    <row r="902" spans="1:21" x14ac:dyDescent="0.3">
      <c r="A902">
        <v>900</v>
      </c>
      <c r="B902" s="6">
        <v>829.26818018805716</v>
      </c>
      <c r="C902" s="46">
        <v>279.72100579391696</v>
      </c>
      <c r="D902" s="1">
        <v>9</v>
      </c>
      <c r="E902" s="1">
        <v>13</v>
      </c>
      <c r="F902" s="1">
        <v>15</v>
      </c>
      <c r="G902" s="1">
        <v>14</v>
      </c>
      <c r="H902" s="1">
        <v>12</v>
      </c>
      <c r="I902" s="1">
        <v>8</v>
      </c>
      <c r="J902" s="1" t="s">
        <v>50</v>
      </c>
      <c r="K902" s="1" t="s">
        <v>50</v>
      </c>
      <c r="L902">
        <f t="shared" si="90"/>
        <v>310</v>
      </c>
      <c r="M902">
        <f t="shared" si="95"/>
        <v>185.56448544286178</v>
      </c>
      <c r="N902">
        <f t="shared" si="91"/>
        <v>210.14742667389368</v>
      </c>
      <c r="O902">
        <f t="shared" si="92"/>
        <v>96.197414256198073</v>
      </c>
      <c r="P902">
        <f t="shared" si="93"/>
        <v>82.076561445310972</v>
      </c>
      <c r="Q902">
        <f t="shared" si="94"/>
        <v>310</v>
      </c>
      <c r="U902">
        <f>C902/Navio!$J$4</f>
        <v>15.103739063376995</v>
      </c>
    </row>
    <row r="903" spans="1:21" x14ac:dyDescent="0.3">
      <c r="A903">
        <v>901</v>
      </c>
      <c r="B903" s="6">
        <v>676.77674865325514</v>
      </c>
      <c r="C903" s="46">
        <v>288.67464314672435</v>
      </c>
      <c r="D903" s="1">
        <v>9</v>
      </c>
      <c r="E903" s="1">
        <v>13</v>
      </c>
      <c r="F903" s="1">
        <v>16</v>
      </c>
      <c r="G903" s="1">
        <v>14</v>
      </c>
      <c r="H903" s="1">
        <v>12</v>
      </c>
      <c r="I903" s="1">
        <v>8</v>
      </c>
      <c r="J903" s="1" t="s">
        <v>50</v>
      </c>
      <c r="K903" s="1" t="s">
        <v>50</v>
      </c>
      <c r="L903">
        <f t="shared" si="90"/>
        <v>310</v>
      </c>
      <c r="M903">
        <f t="shared" si="95"/>
        <v>185.56448544286178</v>
      </c>
      <c r="N903">
        <f t="shared" si="91"/>
        <v>172.96798541727486</v>
      </c>
      <c r="O903">
        <f t="shared" si="92"/>
        <v>96.197414256198073</v>
      </c>
      <c r="P903">
        <f t="shared" si="93"/>
        <v>82.076561445310972</v>
      </c>
      <c r="Q903">
        <f t="shared" si="94"/>
        <v>310</v>
      </c>
      <c r="U903">
        <f>C903/Navio!$J$4</f>
        <v>15.587197221483795</v>
      </c>
    </row>
    <row r="904" spans="1:21" x14ac:dyDescent="0.3">
      <c r="A904">
        <v>902</v>
      </c>
      <c r="B904" s="6">
        <v>790.72676107095072</v>
      </c>
      <c r="C904" s="46">
        <v>282.07831983569997</v>
      </c>
      <c r="D904" s="1">
        <v>9</v>
      </c>
      <c r="E904" s="1">
        <v>13</v>
      </c>
      <c r="F904" s="1">
        <v>16</v>
      </c>
      <c r="G904" s="1">
        <v>15</v>
      </c>
      <c r="H904" s="1">
        <v>12</v>
      </c>
      <c r="I904" s="1">
        <v>8</v>
      </c>
      <c r="J904" s="1" t="s">
        <v>50</v>
      </c>
      <c r="K904" s="1" t="s">
        <v>50</v>
      </c>
      <c r="L904">
        <f t="shared" si="90"/>
        <v>310</v>
      </c>
      <c r="M904">
        <f t="shared" si="95"/>
        <v>185.56448544286178</v>
      </c>
      <c r="N904">
        <f t="shared" si="91"/>
        <v>172.96798541727486</v>
      </c>
      <c r="O904">
        <f t="shared" si="92"/>
        <v>210.14742667389368</v>
      </c>
      <c r="P904">
        <f t="shared" si="93"/>
        <v>82.076561445310972</v>
      </c>
      <c r="Q904">
        <f t="shared" si="94"/>
        <v>310</v>
      </c>
      <c r="U904">
        <f>C904/Navio!$J$4</f>
        <v>15.231023948816585</v>
      </c>
    </row>
    <row r="905" spans="1:21" x14ac:dyDescent="0.3">
      <c r="A905">
        <v>903</v>
      </c>
      <c r="B905" s="6">
        <v>884.97501217339982</v>
      </c>
      <c r="C905" s="46">
        <v>286.72490732651505</v>
      </c>
      <c r="D905" s="1">
        <v>9</v>
      </c>
      <c r="E905" s="1">
        <v>13</v>
      </c>
      <c r="F905" s="1">
        <v>17</v>
      </c>
      <c r="G905" s="1">
        <v>16</v>
      </c>
      <c r="H905" s="1">
        <v>12</v>
      </c>
      <c r="I905" s="1">
        <v>8</v>
      </c>
      <c r="J905" s="1" t="s">
        <v>50</v>
      </c>
      <c r="K905" s="1" t="s">
        <v>50</v>
      </c>
      <c r="L905">
        <f t="shared" si="90"/>
        <v>310</v>
      </c>
      <c r="M905">
        <f t="shared" si="95"/>
        <v>185.56448544286178</v>
      </c>
      <c r="N905">
        <f t="shared" si="91"/>
        <v>304.39567777634272</v>
      </c>
      <c r="O905">
        <f t="shared" si="92"/>
        <v>172.96798541727486</v>
      </c>
      <c r="P905">
        <f t="shared" si="93"/>
        <v>82.076561445310972</v>
      </c>
      <c r="Q905">
        <f t="shared" si="94"/>
        <v>310</v>
      </c>
      <c r="U905">
        <f>C905/Navio!$J$4</f>
        <v>15.481919818425061</v>
      </c>
    </row>
    <row r="906" spans="1:21" x14ac:dyDescent="0.3">
      <c r="A906">
        <v>904</v>
      </c>
      <c r="B906" s="6">
        <v>701.35968988428704</v>
      </c>
      <c r="C906" s="46">
        <v>288.39869650626093</v>
      </c>
      <c r="D906" s="1">
        <v>9</v>
      </c>
      <c r="E906" s="1">
        <v>15</v>
      </c>
      <c r="F906" s="1">
        <v>16</v>
      </c>
      <c r="G906" s="1">
        <v>14</v>
      </c>
      <c r="H906" s="1">
        <v>12</v>
      </c>
      <c r="I906" s="1">
        <v>8</v>
      </c>
      <c r="J906" s="1" t="s">
        <v>50</v>
      </c>
      <c r="K906" s="1" t="s">
        <v>50</v>
      </c>
      <c r="L906">
        <f t="shared" si="90"/>
        <v>310</v>
      </c>
      <c r="M906">
        <f t="shared" si="95"/>
        <v>210.14742667389368</v>
      </c>
      <c r="N906">
        <f t="shared" si="91"/>
        <v>172.96798541727486</v>
      </c>
      <c r="O906">
        <f t="shared" si="92"/>
        <v>96.197414256198073</v>
      </c>
      <c r="P906">
        <f t="shared" si="93"/>
        <v>82.076561445310972</v>
      </c>
      <c r="Q906">
        <f t="shared" si="94"/>
        <v>310</v>
      </c>
      <c r="U906">
        <f>C906/Navio!$J$4</f>
        <v>15.572297282020379</v>
      </c>
    </row>
    <row r="907" spans="1:21" x14ac:dyDescent="0.3">
      <c r="A907">
        <v>905</v>
      </c>
      <c r="B907" s="6">
        <v>795.60794098673603</v>
      </c>
      <c r="C907" s="46">
        <v>293.31392925288884</v>
      </c>
      <c r="D907" s="1">
        <v>9</v>
      </c>
      <c r="E907" s="1">
        <v>17</v>
      </c>
      <c r="F907" s="1">
        <v>16</v>
      </c>
      <c r="G907" s="1">
        <v>14</v>
      </c>
      <c r="H907" s="1">
        <v>12</v>
      </c>
      <c r="I907" s="1">
        <v>8</v>
      </c>
      <c r="J907" s="1" t="s">
        <v>50</v>
      </c>
      <c r="K907" s="1" t="s">
        <v>50</v>
      </c>
      <c r="L907">
        <f t="shared" si="90"/>
        <v>310</v>
      </c>
      <c r="M907">
        <f t="shared" si="95"/>
        <v>304.39567777634272</v>
      </c>
      <c r="N907">
        <f t="shared" si="91"/>
        <v>172.96798541727486</v>
      </c>
      <c r="O907">
        <f t="shared" si="92"/>
        <v>96.197414256198073</v>
      </c>
      <c r="P907">
        <f t="shared" si="93"/>
        <v>82.076561445310972</v>
      </c>
      <c r="Q907">
        <f t="shared" si="94"/>
        <v>310</v>
      </c>
      <c r="U907">
        <f>C907/Navio!$J$4</f>
        <v>15.837698847519999</v>
      </c>
    </row>
    <row r="908" spans="1:21" x14ac:dyDescent="0.3">
      <c r="A908">
        <v>906</v>
      </c>
      <c r="B908" s="6">
        <v>859.5653215120451</v>
      </c>
      <c r="C908" s="46">
        <v>288.63061494417155</v>
      </c>
      <c r="D908" s="1">
        <v>9</v>
      </c>
      <c r="E908" s="1">
        <v>13</v>
      </c>
      <c r="F908" s="1">
        <v>15</v>
      </c>
      <c r="G908" s="1">
        <v>16</v>
      </c>
      <c r="H908" s="1">
        <v>14</v>
      </c>
      <c r="I908" s="1">
        <v>8</v>
      </c>
      <c r="J908" s="1" t="s">
        <v>50</v>
      </c>
      <c r="K908" s="1" t="s">
        <v>50</v>
      </c>
      <c r="L908">
        <f t="shared" si="90"/>
        <v>310</v>
      </c>
      <c r="M908">
        <f t="shared" si="95"/>
        <v>185.56448544286178</v>
      </c>
      <c r="N908">
        <f t="shared" si="91"/>
        <v>210.14742667389368</v>
      </c>
      <c r="O908">
        <f t="shared" si="92"/>
        <v>172.96798541727486</v>
      </c>
      <c r="P908">
        <f t="shared" si="93"/>
        <v>96.197414256198073</v>
      </c>
      <c r="Q908">
        <f t="shared" si="94"/>
        <v>310</v>
      </c>
      <c r="U908">
        <f>C908/Navio!$J$4</f>
        <v>15.58481988667871</v>
      </c>
    </row>
    <row r="909" spans="1:21" x14ac:dyDescent="0.3">
      <c r="A909">
        <v>907</v>
      </c>
      <c r="B909" s="6">
        <v>812.14414393646132</v>
      </c>
      <c r="C909" s="46">
        <v>290.76674057988942</v>
      </c>
      <c r="D909" s="1">
        <v>10</v>
      </c>
      <c r="E909" s="1">
        <v>13</v>
      </c>
      <c r="F909" s="1">
        <v>16</v>
      </c>
      <c r="G909" s="1">
        <v>14</v>
      </c>
      <c r="H909" s="1">
        <v>12</v>
      </c>
      <c r="I909" s="1">
        <v>8</v>
      </c>
      <c r="J909" s="1" t="s">
        <v>50</v>
      </c>
      <c r="K909" s="1" t="s">
        <v>50</v>
      </c>
      <c r="L909">
        <f t="shared" ref="L909:L972" si="96">VLOOKUP(D909,$Y$2:$Z$80,2)</f>
        <v>290.36739528320618</v>
      </c>
      <c r="M909">
        <f t="shared" si="95"/>
        <v>185.56448544286178</v>
      </c>
      <c r="N909">
        <f t="shared" ref="N909:N972" si="97">VLOOKUP(F909,$Y$2:$Z$80,2)</f>
        <v>172.96798541727486</v>
      </c>
      <c r="O909">
        <f t="shared" ref="O909:O972" si="98">VLOOKUP(G909,$Y$2:$Z$80,2)</f>
        <v>96.197414256198073</v>
      </c>
      <c r="P909">
        <f t="shared" ref="P909:P972" si="99">VLOOKUP(H909,$Y$2:$Z$80,2)</f>
        <v>82.076561445310972</v>
      </c>
      <c r="Q909">
        <f t="shared" ref="Q909:Q972" si="100">VLOOKUP(I909,$Y$2:$Z$80,2)</f>
        <v>310</v>
      </c>
      <c r="U909">
        <f>C909/Navio!$J$4</f>
        <v>15.700161543330134</v>
      </c>
    </row>
    <row r="910" spans="1:21" x14ac:dyDescent="0.3">
      <c r="A910">
        <v>908</v>
      </c>
      <c r="B910" s="6">
        <v>836.72708516749321</v>
      </c>
      <c r="C910" s="46">
        <v>291.75301986257455</v>
      </c>
      <c r="D910" s="1">
        <v>10</v>
      </c>
      <c r="E910" s="1">
        <v>15</v>
      </c>
      <c r="F910" s="1">
        <v>16</v>
      </c>
      <c r="G910" s="1">
        <v>14</v>
      </c>
      <c r="H910" s="1">
        <v>12</v>
      </c>
      <c r="I910" s="1">
        <v>8</v>
      </c>
      <c r="J910" s="1" t="s">
        <v>50</v>
      </c>
      <c r="K910" s="1" t="s">
        <v>50</v>
      </c>
      <c r="L910">
        <f t="shared" si="96"/>
        <v>290.36739528320618</v>
      </c>
      <c r="M910">
        <f t="shared" si="95"/>
        <v>210.14742667389368</v>
      </c>
      <c r="N910">
        <f t="shared" si="97"/>
        <v>172.96798541727486</v>
      </c>
      <c r="O910">
        <f t="shared" si="98"/>
        <v>96.197414256198073</v>
      </c>
      <c r="P910">
        <f t="shared" si="99"/>
        <v>82.076561445310972</v>
      </c>
      <c r="Q910">
        <f t="shared" si="100"/>
        <v>310</v>
      </c>
      <c r="U910">
        <f>C910/Navio!$J$4</f>
        <v>15.753416410217985</v>
      </c>
    </row>
    <row r="911" spans="1:21" x14ac:dyDescent="0.3">
      <c r="A911">
        <v>909</v>
      </c>
      <c r="B911" s="6">
        <v>800.76933183362883</v>
      </c>
      <c r="C911" s="46">
        <v>288.26905930540227</v>
      </c>
      <c r="D911" s="1">
        <v>11</v>
      </c>
      <c r="E911" s="1">
        <v>13</v>
      </c>
      <c r="F911" s="1">
        <v>16</v>
      </c>
      <c r="G911" s="1">
        <v>14</v>
      </c>
      <c r="H911" s="1">
        <v>12</v>
      </c>
      <c r="I911" s="1">
        <v>8</v>
      </c>
      <c r="J911" s="1" t="s">
        <v>50</v>
      </c>
      <c r="K911" s="1" t="s">
        <v>50</v>
      </c>
      <c r="L911">
        <f t="shared" si="96"/>
        <v>278.99258318037374</v>
      </c>
      <c r="M911">
        <f t="shared" si="95"/>
        <v>185.56448544286178</v>
      </c>
      <c r="N911">
        <f t="shared" si="97"/>
        <v>172.96798541727486</v>
      </c>
      <c r="O911">
        <f t="shared" si="98"/>
        <v>96.197414256198073</v>
      </c>
      <c r="P911">
        <f t="shared" si="99"/>
        <v>82.076561445310972</v>
      </c>
      <c r="Q911">
        <f t="shared" si="100"/>
        <v>310</v>
      </c>
      <c r="U911">
        <f>C911/Navio!$J$4</f>
        <v>15.56529742711453</v>
      </c>
    </row>
    <row r="912" spans="1:21" x14ac:dyDescent="0.3">
      <c r="A912">
        <v>910</v>
      </c>
      <c r="B912" s="6">
        <v>825.35227306466072</v>
      </c>
      <c r="C912" s="46">
        <v>289.02594096761749</v>
      </c>
      <c r="D912" s="1">
        <v>11</v>
      </c>
      <c r="E912" s="1">
        <v>15</v>
      </c>
      <c r="F912" s="1">
        <v>16</v>
      </c>
      <c r="G912" s="1">
        <v>14</v>
      </c>
      <c r="H912" s="1">
        <v>12</v>
      </c>
      <c r="I912" s="1">
        <v>8</v>
      </c>
      <c r="J912" s="1" t="s">
        <v>50</v>
      </c>
      <c r="K912" s="1" t="s">
        <v>50</v>
      </c>
      <c r="L912">
        <f t="shared" si="96"/>
        <v>278.99258318037374</v>
      </c>
      <c r="M912">
        <f t="shared" si="95"/>
        <v>210.14742667389368</v>
      </c>
      <c r="N912">
        <f t="shared" si="97"/>
        <v>172.96798541727486</v>
      </c>
      <c r="O912">
        <f t="shared" si="98"/>
        <v>96.197414256198073</v>
      </c>
      <c r="P912">
        <f t="shared" si="99"/>
        <v>82.076561445310972</v>
      </c>
      <c r="Q912">
        <f t="shared" si="100"/>
        <v>310</v>
      </c>
      <c r="U912">
        <f>C912/Navio!$J$4</f>
        <v>15.606165802714379</v>
      </c>
    </row>
    <row r="913" spans="1:21" x14ac:dyDescent="0.3">
      <c r="A913">
        <v>911</v>
      </c>
      <c r="B913" s="6">
        <v>731.92417532714876</v>
      </c>
      <c r="C913" s="46">
        <v>288.91116291031739</v>
      </c>
      <c r="D913" s="1">
        <v>13</v>
      </c>
      <c r="E913" s="1">
        <v>15</v>
      </c>
      <c r="F913" s="1">
        <v>16</v>
      </c>
      <c r="G913" s="1">
        <v>14</v>
      </c>
      <c r="H913" s="1">
        <v>12</v>
      </c>
      <c r="I913" s="1">
        <v>8</v>
      </c>
      <c r="J913" s="1" t="s">
        <v>50</v>
      </c>
      <c r="K913" s="1" t="s">
        <v>50</v>
      </c>
      <c r="L913">
        <f t="shared" si="96"/>
        <v>185.56448544286178</v>
      </c>
      <c r="M913">
        <f t="shared" si="95"/>
        <v>210.14742667389368</v>
      </c>
      <c r="N913">
        <f t="shared" si="97"/>
        <v>172.96798541727486</v>
      </c>
      <c r="O913">
        <f t="shared" si="98"/>
        <v>96.197414256198073</v>
      </c>
      <c r="P913">
        <f t="shared" si="99"/>
        <v>82.076561445310972</v>
      </c>
      <c r="Q913">
        <f t="shared" si="100"/>
        <v>310</v>
      </c>
      <c r="U913">
        <f>C913/Navio!$J$4</f>
        <v>15.599968278067484</v>
      </c>
    </row>
    <row r="914" spans="1:21" x14ac:dyDescent="0.3">
      <c r="A914">
        <v>912</v>
      </c>
      <c r="B914" s="6">
        <v>826.17242642959786</v>
      </c>
      <c r="C914" s="46">
        <v>292.03267332662608</v>
      </c>
      <c r="D914" s="1">
        <v>13</v>
      </c>
      <c r="E914" s="1">
        <v>17</v>
      </c>
      <c r="F914" s="1">
        <v>16</v>
      </c>
      <c r="G914" s="1">
        <v>14</v>
      </c>
      <c r="H914" s="1">
        <v>12</v>
      </c>
      <c r="I914" s="1">
        <v>8</v>
      </c>
      <c r="J914" s="1" t="s">
        <v>50</v>
      </c>
      <c r="K914" s="1" t="s">
        <v>50</v>
      </c>
      <c r="L914">
        <f t="shared" si="96"/>
        <v>185.56448544286178</v>
      </c>
      <c r="M914">
        <f t="shared" si="95"/>
        <v>304.39567777634272</v>
      </c>
      <c r="N914">
        <f t="shared" si="97"/>
        <v>172.96798541727486</v>
      </c>
      <c r="O914">
        <f t="shared" si="98"/>
        <v>96.197414256198073</v>
      </c>
      <c r="P914">
        <f t="shared" si="99"/>
        <v>82.076561445310972</v>
      </c>
      <c r="Q914">
        <f t="shared" si="100"/>
        <v>310</v>
      </c>
      <c r="U914">
        <f>C914/Navio!$J$4</f>
        <v>15.76851650231588</v>
      </c>
    </row>
    <row r="915" spans="1:21" x14ac:dyDescent="0.3">
      <c r="A915">
        <v>913</v>
      </c>
      <c r="B915" s="6">
        <v>850.75536766062976</v>
      </c>
      <c r="C915" s="46">
        <v>291.79268601352538</v>
      </c>
      <c r="D915" s="1">
        <v>14</v>
      </c>
      <c r="E915" s="1">
        <v>15</v>
      </c>
      <c r="F915" s="1">
        <v>16</v>
      </c>
      <c r="G915" s="1">
        <v>17</v>
      </c>
      <c r="H915" s="1">
        <v>12</v>
      </c>
      <c r="I915" s="1">
        <v>8</v>
      </c>
      <c r="J915" s="1" t="s">
        <v>50</v>
      </c>
      <c r="K915" s="1" t="s">
        <v>50</v>
      </c>
      <c r="L915">
        <f t="shared" si="96"/>
        <v>96.197414256198073</v>
      </c>
      <c r="M915">
        <f t="shared" si="95"/>
        <v>210.14742667389368</v>
      </c>
      <c r="N915">
        <f t="shared" si="97"/>
        <v>172.96798541727486</v>
      </c>
      <c r="O915">
        <f t="shared" si="98"/>
        <v>304.39567777634272</v>
      </c>
      <c r="P915">
        <f t="shared" si="99"/>
        <v>82.076561445310972</v>
      </c>
      <c r="Q915">
        <f t="shared" si="100"/>
        <v>310</v>
      </c>
      <c r="U915">
        <f>C915/Navio!$J$4</f>
        <v>15.755558212875636</v>
      </c>
    </row>
    <row r="916" spans="1:21" x14ac:dyDescent="0.3">
      <c r="A916">
        <v>914</v>
      </c>
      <c r="B916" s="6">
        <v>812.14414393646132</v>
      </c>
      <c r="C916" s="46">
        <v>290.84935625398009</v>
      </c>
      <c r="D916" s="1">
        <v>12</v>
      </c>
      <c r="E916" s="1">
        <v>14</v>
      </c>
      <c r="F916" s="1">
        <v>16</v>
      </c>
      <c r="G916" s="1">
        <v>13</v>
      </c>
      <c r="H916" s="1">
        <v>10</v>
      </c>
      <c r="I916" s="1">
        <v>9</v>
      </c>
      <c r="J916" s="1" t="s">
        <v>50</v>
      </c>
      <c r="K916" s="1" t="s">
        <v>50</v>
      </c>
      <c r="L916">
        <f t="shared" si="96"/>
        <v>82.076561445310972</v>
      </c>
      <c r="M916">
        <f t="shared" si="95"/>
        <v>96.197414256198073</v>
      </c>
      <c r="N916">
        <f t="shared" si="97"/>
        <v>172.96798541727486</v>
      </c>
      <c r="O916">
        <f t="shared" si="98"/>
        <v>185.56448544286178</v>
      </c>
      <c r="P916">
        <f t="shared" si="99"/>
        <v>290.36739528320618</v>
      </c>
      <c r="Q916">
        <f t="shared" si="100"/>
        <v>310</v>
      </c>
      <c r="U916">
        <f>C916/Navio!$J$4</f>
        <v>15.704622436713773</v>
      </c>
    </row>
    <row r="917" spans="1:21" x14ac:dyDescent="0.3">
      <c r="A917">
        <v>915</v>
      </c>
      <c r="B917" s="6">
        <v>836.72708516749321</v>
      </c>
      <c r="C917" s="46">
        <v>291.83563553666522</v>
      </c>
      <c r="D917" s="1">
        <v>12</v>
      </c>
      <c r="E917" s="1">
        <v>14</v>
      </c>
      <c r="F917" s="1">
        <v>16</v>
      </c>
      <c r="G917" s="1">
        <v>15</v>
      </c>
      <c r="H917" s="1">
        <v>10</v>
      </c>
      <c r="I917" s="1">
        <v>9</v>
      </c>
      <c r="J917" s="1" t="s">
        <v>50</v>
      </c>
      <c r="K917" s="1" t="s">
        <v>50</v>
      </c>
      <c r="L917">
        <f t="shared" si="96"/>
        <v>82.076561445310972</v>
      </c>
      <c r="M917">
        <f t="shared" si="95"/>
        <v>96.197414256198073</v>
      </c>
      <c r="N917">
        <f t="shared" si="97"/>
        <v>172.96798541727486</v>
      </c>
      <c r="O917">
        <f t="shared" si="98"/>
        <v>210.14742667389368</v>
      </c>
      <c r="P917">
        <f t="shared" si="99"/>
        <v>290.36739528320618</v>
      </c>
      <c r="Q917">
        <f t="shared" si="100"/>
        <v>310</v>
      </c>
      <c r="U917">
        <f>C917/Navio!$J$4</f>
        <v>15.757877303601623</v>
      </c>
    </row>
    <row r="918" spans="1:21" x14ac:dyDescent="0.3">
      <c r="A918">
        <v>916</v>
      </c>
      <c r="B918" s="6">
        <v>800.76933183362883</v>
      </c>
      <c r="C918" s="46">
        <v>288.64971992918447</v>
      </c>
      <c r="D918" s="1">
        <v>12</v>
      </c>
      <c r="E918" s="1">
        <v>14</v>
      </c>
      <c r="F918" s="1">
        <v>16</v>
      </c>
      <c r="G918" s="1">
        <v>13</v>
      </c>
      <c r="H918" s="1">
        <v>11</v>
      </c>
      <c r="I918" s="1">
        <v>9</v>
      </c>
      <c r="J918" s="1" t="s">
        <v>50</v>
      </c>
      <c r="K918" s="1" t="s">
        <v>50</v>
      </c>
      <c r="L918">
        <f t="shared" si="96"/>
        <v>82.076561445310972</v>
      </c>
      <c r="M918">
        <f t="shared" si="95"/>
        <v>96.197414256198073</v>
      </c>
      <c r="N918">
        <f t="shared" si="97"/>
        <v>172.96798541727486</v>
      </c>
      <c r="O918">
        <f t="shared" si="98"/>
        <v>185.56448544286178</v>
      </c>
      <c r="P918">
        <f t="shared" si="99"/>
        <v>278.99258318037374</v>
      </c>
      <c r="Q918">
        <f t="shared" si="100"/>
        <v>310</v>
      </c>
      <c r="U918">
        <f>C918/Navio!$J$4</f>
        <v>15.585851474233696</v>
      </c>
    </row>
    <row r="919" spans="1:21" x14ac:dyDescent="0.3">
      <c r="A919">
        <v>917</v>
      </c>
      <c r="B919" s="6">
        <v>825.35227306466072</v>
      </c>
      <c r="C919" s="46">
        <v>289.40660159139964</v>
      </c>
      <c r="D919" s="1">
        <v>12</v>
      </c>
      <c r="E919" s="1">
        <v>14</v>
      </c>
      <c r="F919" s="1">
        <v>16</v>
      </c>
      <c r="G919" s="1">
        <v>15</v>
      </c>
      <c r="H919" s="1">
        <v>11</v>
      </c>
      <c r="I919" s="1">
        <v>9</v>
      </c>
      <c r="J919" s="1" t="s">
        <v>50</v>
      </c>
      <c r="K919" s="1" t="s">
        <v>50</v>
      </c>
      <c r="L919">
        <f t="shared" si="96"/>
        <v>82.076561445310972</v>
      </c>
      <c r="M919">
        <f t="shared" si="95"/>
        <v>96.197414256198073</v>
      </c>
      <c r="N919">
        <f t="shared" si="97"/>
        <v>172.96798541727486</v>
      </c>
      <c r="O919">
        <f t="shared" si="98"/>
        <v>210.14742667389368</v>
      </c>
      <c r="P919">
        <f t="shared" si="99"/>
        <v>278.99258318037374</v>
      </c>
      <c r="Q919">
        <f t="shared" si="100"/>
        <v>310</v>
      </c>
      <c r="U919">
        <f>C919/Navio!$J$4</f>
        <v>15.626719849833544</v>
      </c>
    </row>
    <row r="920" spans="1:21" x14ac:dyDescent="0.3">
      <c r="A920">
        <v>918</v>
      </c>
      <c r="B920" s="6">
        <v>731.92417532714876</v>
      </c>
      <c r="C920" s="46">
        <v>290.04545632174643</v>
      </c>
      <c r="D920" s="1">
        <v>12</v>
      </c>
      <c r="E920" s="1">
        <v>14</v>
      </c>
      <c r="F920" s="1">
        <v>16</v>
      </c>
      <c r="G920" s="1">
        <v>15</v>
      </c>
      <c r="H920" s="1">
        <v>13</v>
      </c>
      <c r="I920" s="1">
        <v>9</v>
      </c>
      <c r="J920" s="1" t="s">
        <v>50</v>
      </c>
      <c r="K920" s="1" t="s">
        <v>50</v>
      </c>
      <c r="L920">
        <f t="shared" si="96"/>
        <v>82.076561445310972</v>
      </c>
      <c r="M920">
        <f t="shared" si="95"/>
        <v>96.197414256198073</v>
      </c>
      <c r="N920">
        <f t="shared" si="97"/>
        <v>172.96798541727486</v>
      </c>
      <c r="O920">
        <f t="shared" si="98"/>
        <v>210.14742667389368</v>
      </c>
      <c r="P920">
        <f t="shared" si="99"/>
        <v>185.56448544286178</v>
      </c>
      <c r="Q920">
        <f t="shared" si="100"/>
        <v>310</v>
      </c>
      <c r="U920">
        <f>C920/Navio!$J$4</f>
        <v>15.661215275442268</v>
      </c>
    </row>
    <row r="921" spans="1:21" x14ac:dyDescent="0.3">
      <c r="A921">
        <v>919</v>
      </c>
      <c r="B921" s="6">
        <v>826.17242642959786</v>
      </c>
      <c r="C921" s="46">
        <v>293.16696673805507</v>
      </c>
      <c r="D921" s="1">
        <v>12</v>
      </c>
      <c r="E921" s="1">
        <v>14</v>
      </c>
      <c r="F921" s="1">
        <v>16</v>
      </c>
      <c r="G921" s="1">
        <v>17</v>
      </c>
      <c r="H921" s="1">
        <v>13</v>
      </c>
      <c r="I921" s="1">
        <v>9</v>
      </c>
      <c r="J921" s="1" t="s">
        <v>50</v>
      </c>
      <c r="K921" s="1" t="s">
        <v>50</v>
      </c>
      <c r="L921">
        <f t="shared" si="96"/>
        <v>82.076561445310972</v>
      </c>
      <c r="M921">
        <f t="shared" si="95"/>
        <v>96.197414256198073</v>
      </c>
      <c r="N921">
        <f t="shared" si="97"/>
        <v>172.96798541727486</v>
      </c>
      <c r="O921">
        <f t="shared" si="98"/>
        <v>304.39567777634272</v>
      </c>
      <c r="P921">
        <f t="shared" si="99"/>
        <v>185.56448544286178</v>
      </c>
      <c r="Q921">
        <f t="shared" si="100"/>
        <v>310</v>
      </c>
      <c r="U921">
        <f>C921/Navio!$J$4</f>
        <v>15.829763499690662</v>
      </c>
    </row>
    <row r="922" spans="1:21" x14ac:dyDescent="0.3">
      <c r="A922">
        <v>920</v>
      </c>
      <c r="B922" s="6">
        <v>850.75536766062976</v>
      </c>
      <c r="C922" s="46">
        <v>295.0292000348818</v>
      </c>
      <c r="D922" s="1">
        <v>12</v>
      </c>
      <c r="E922" s="1">
        <v>14</v>
      </c>
      <c r="F922" s="1">
        <v>15</v>
      </c>
      <c r="G922" s="1">
        <v>16</v>
      </c>
      <c r="H922" s="1">
        <v>17</v>
      </c>
      <c r="I922" s="1">
        <v>9</v>
      </c>
      <c r="J922" s="1" t="s">
        <v>50</v>
      </c>
      <c r="K922" s="1" t="s">
        <v>50</v>
      </c>
      <c r="L922">
        <f t="shared" si="96"/>
        <v>82.076561445310972</v>
      </c>
      <c r="M922">
        <f t="shared" si="95"/>
        <v>96.197414256198073</v>
      </c>
      <c r="N922">
        <f t="shared" si="97"/>
        <v>210.14742667389368</v>
      </c>
      <c r="O922">
        <f t="shared" si="98"/>
        <v>172.96798541727486</v>
      </c>
      <c r="P922">
        <f t="shared" si="99"/>
        <v>304.39567777634272</v>
      </c>
      <c r="Q922">
        <f t="shared" si="100"/>
        <v>310</v>
      </c>
      <c r="U922">
        <f>C922/Navio!$J$4</f>
        <v>15.93031614038553</v>
      </c>
    </row>
    <row r="923" spans="1:21" x14ac:dyDescent="0.3">
      <c r="A923">
        <v>921</v>
      </c>
      <c r="B923" s="6">
        <v>867.29157061035494</v>
      </c>
      <c r="C923" s="46">
        <v>292.13755375491144</v>
      </c>
      <c r="D923" s="1">
        <v>12</v>
      </c>
      <c r="E923" s="1">
        <v>14</v>
      </c>
      <c r="F923" s="1">
        <v>16</v>
      </c>
      <c r="G923" s="1">
        <v>15</v>
      </c>
      <c r="H923" s="1">
        <v>13</v>
      </c>
      <c r="I923" s="1">
        <v>10</v>
      </c>
      <c r="J923" s="1" t="s">
        <v>50</v>
      </c>
      <c r="K923" s="1" t="s">
        <v>50</v>
      </c>
      <c r="L923">
        <f t="shared" si="96"/>
        <v>82.076561445310972</v>
      </c>
      <c r="M923">
        <f t="shared" si="95"/>
        <v>96.197414256198073</v>
      </c>
      <c r="N923">
        <f t="shared" si="97"/>
        <v>172.96798541727486</v>
      </c>
      <c r="O923">
        <f t="shared" si="98"/>
        <v>210.14742667389368</v>
      </c>
      <c r="P923">
        <f t="shared" si="99"/>
        <v>185.56448544286178</v>
      </c>
      <c r="Q923">
        <f t="shared" si="100"/>
        <v>290.36739528320618</v>
      </c>
      <c r="U923">
        <f>C923/Navio!$J$4</f>
        <v>15.774179597288606</v>
      </c>
    </row>
    <row r="924" spans="1:21" x14ac:dyDescent="0.3">
      <c r="A924">
        <v>922</v>
      </c>
      <c r="B924" s="6">
        <v>855.91675850752256</v>
      </c>
      <c r="C924" s="46">
        <v>289.63987248042429</v>
      </c>
      <c r="D924" s="1">
        <v>12</v>
      </c>
      <c r="E924" s="1">
        <v>14</v>
      </c>
      <c r="F924" s="1">
        <v>16</v>
      </c>
      <c r="G924" s="1">
        <v>15</v>
      </c>
      <c r="H924" s="1">
        <v>13</v>
      </c>
      <c r="I924" s="1">
        <v>11</v>
      </c>
      <c r="J924" s="1" t="s">
        <v>50</v>
      </c>
      <c r="K924" s="1" t="s">
        <v>50</v>
      </c>
      <c r="L924">
        <f t="shared" si="96"/>
        <v>82.076561445310972</v>
      </c>
      <c r="M924">
        <f t="shared" si="95"/>
        <v>96.197414256198073</v>
      </c>
      <c r="N924">
        <f t="shared" si="97"/>
        <v>172.96798541727486</v>
      </c>
      <c r="O924">
        <f t="shared" si="98"/>
        <v>210.14742667389368</v>
      </c>
      <c r="P924">
        <f t="shared" si="99"/>
        <v>185.56448544286178</v>
      </c>
      <c r="Q924">
        <f t="shared" si="100"/>
        <v>278.99258318037374</v>
      </c>
      <c r="U924">
        <f>C924/Navio!$J$4</f>
        <v>15.639315481073</v>
      </c>
    </row>
    <row r="925" spans="1:21" x14ac:dyDescent="0.3">
      <c r="A925">
        <v>923</v>
      </c>
      <c r="B925" s="6">
        <v>881.31985310349148</v>
      </c>
      <c r="C925" s="46">
        <v>293.74794410861909</v>
      </c>
      <c r="D925" s="1">
        <v>13</v>
      </c>
      <c r="E925" s="1">
        <v>17</v>
      </c>
      <c r="F925" s="1">
        <v>16</v>
      </c>
      <c r="G925" s="1">
        <v>15</v>
      </c>
      <c r="H925" s="1">
        <v>14</v>
      </c>
      <c r="I925" s="1">
        <v>12</v>
      </c>
      <c r="J925" s="1" t="s">
        <v>50</v>
      </c>
      <c r="K925" s="1" t="s">
        <v>50</v>
      </c>
      <c r="L925">
        <f t="shared" si="96"/>
        <v>185.56448544286178</v>
      </c>
      <c r="M925">
        <f t="shared" si="95"/>
        <v>304.39567777634272</v>
      </c>
      <c r="N925">
        <f t="shared" si="97"/>
        <v>172.96798541727486</v>
      </c>
      <c r="O925">
        <f t="shared" si="98"/>
        <v>210.14742667389368</v>
      </c>
      <c r="P925">
        <f t="shared" si="99"/>
        <v>96.197414256198073</v>
      </c>
      <c r="Q925">
        <f t="shared" si="100"/>
        <v>82.076561445310972</v>
      </c>
      <c r="U925">
        <f>C925/Navio!$J$4</f>
        <v>15.861133795181415</v>
      </c>
    </row>
    <row r="926" spans="1:21" x14ac:dyDescent="0.3">
      <c r="A926">
        <v>924</v>
      </c>
      <c r="B926" s="6">
        <v>831.77674865325514</v>
      </c>
      <c r="C926" s="46">
        <v>291.63851871702889</v>
      </c>
      <c r="D926" s="1">
        <v>9</v>
      </c>
      <c r="E926" s="1">
        <v>13</v>
      </c>
      <c r="F926" s="1">
        <v>16</v>
      </c>
      <c r="G926" s="1">
        <v>14</v>
      </c>
      <c r="H926" s="1">
        <v>12</v>
      </c>
      <c r="I926" s="1">
        <v>7</v>
      </c>
      <c r="J926" s="1">
        <v>8</v>
      </c>
      <c r="K926" s="1" t="s">
        <v>50</v>
      </c>
      <c r="L926">
        <f t="shared" si="96"/>
        <v>310</v>
      </c>
      <c r="M926">
        <f t="shared" si="95"/>
        <v>185.56448544286178</v>
      </c>
      <c r="N926">
        <f t="shared" si="97"/>
        <v>172.96798541727486</v>
      </c>
      <c r="O926">
        <f t="shared" si="98"/>
        <v>96.197414256198073</v>
      </c>
      <c r="P926">
        <f t="shared" si="99"/>
        <v>82.076561445310972</v>
      </c>
      <c r="Q926">
        <f t="shared" si="100"/>
        <v>310</v>
      </c>
      <c r="U926">
        <f>C926/Navio!$J$4</f>
        <v>15.747233837622584</v>
      </c>
    </row>
    <row r="927" spans="1:21" x14ac:dyDescent="0.3">
      <c r="A927">
        <v>925</v>
      </c>
      <c r="B927" s="6">
        <v>856.35968988428704</v>
      </c>
      <c r="C927" s="46">
        <v>290.64317109374161</v>
      </c>
      <c r="D927" s="1">
        <v>9</v>
      </c>
      <c r="E927" s="1">
        <v>12</v>
      </c>
      <c r="F927" s="1">
        <v>15</v>
      </c>
      <c r="G927" s="1">
        <v>16</v>
      </c>
      <c r="H927" s="1">
        <v>14</v>
      </c>
      <c r="I927" s="1">
        <v>7</v>
      </c>
      <c r="J927" s="1">
        <v>8</v>
      </c>
      <c r="K927" s="1" t="s">
        <v>50</v>
      </c>
      <c r="L927">
        <f t="shared" si="96"/>
        <v>310</v>
      </c>
      <c r="M927">
        <f t="shared" si="95"/>
        <v>82.076561445310972</v>
      </c>
      <c r="N927">
        <f t="shared" si="97"/>
        <v>210.14742667389368</v>
      </c>
      <c r="O927">
        <f t="shared" si="98"/>
        <v>172.96798541727486</v>
      </c>
      <c r="P927">
        <f t="shared" si="99"/>
        <v>96.197414256198073</v>
      </c>
      <c r="Q927">
        <f t="shared" si="100"/>
        <v>310</v>
      </c>
      <c r="U927">
        <f>C927/Navio!$J$4</f>
        <v>15.693489319091292</v>
      </c>
    </row>
    <row r="928" spans="1:21" x14ac:dyDescent="0.3">
      <c r="A928">
        <v>926</v>
      </c>
      <c r="B928" s="6">
        <v>886.92417532714876</v>
      </c>
      <c r="C928" s="46">
        <v>289.5390863493671</v>
      </c>
      <c r="D928" s="1">
        <v>8</v>
      </c>
      <c r="E928" s="1">
        <v>13</v>
      </c>
      <c r="F928" s="1">
        <v>15</v>
      </c>
      <c r="G928" s="1">
        <v>16</v>
      </c>
      <c r="H928" s="1">
        <v>14</v>
      </c>
      <c r="I928" s="1">
        <v>12</v>
      </c>
      <c r="J928" s="1">
        <v>7</v>
      </c>
      <c r="K928" s="1" t="s">
        <v>50</v>
      </c>
      <c r="L928">
        <f t="shared" si="96"/>
        <v>310</v>
      </c>
      <c r="M928">
        <f t="shared" si="95"/>
        <v>185.56448544286178</v>
      </c>
      <c r="N928">
        <f t="shared" si="97"/>
        <v>210.14742667389368</v>
      </c>
      <c r="O928">
        <f t="shared" si="98"/>
        <v>172.96798541727486</v>
      </c>
      <c r="P928">
        <f t="shared" si="99"/>
        <v>96.197414256198073</v>
      </c>
      <c r="Q928">
        <f t="shared" si="100"/>
        <v>82.076561445310972</v>
      </c>
      <c r="U928">
        <f>C928/Navio!$J$4</f>
        <v>15.633873460655639</v>
      </c>
    </row>
    <row r="929" spans="1:21" x14ac:dyDescent="0.3">
      <c r="A929">
        <v>927</v>
      </c>
      <c r="B929" s="6">
        <v>886.92417532714876</v>
      </c>
      <c r="C929" s="46">
        <v>290.08403363251193</v>
      </c>
      <c r="D929" s="1">
        <v>9</v>
      </c>
      <c r="E929" s="1">
        <v>13</v>
      </c>
      <c r="F929" s="1">
        <v>15</v>
      </c>
      <c r="G929" s="1">
        <v>16</v>
      </c>
      <c r="H929" s="1">
        <v>14</v>
      </c>
      <c r="I929" s="1">
        <v>12</v>
      </c>
      <c r="J929" s="1">
        <v>7</v>
      </c>
      <c r="K929" s="1" t="s">
        <v>50</v>
      </c>
      <c r="L929">
        <f t="shared" si="96"/>
        <v>310</v>
      </c>
      <c r="M929">
        <f t="shared" si="95"/>
        <v>185.56448544286178</v>
      </c>
      <c r="N929">
        <f t="shared" si="97"/>
        <v>210.14742667389368</v>
      </c>
      <c r="O929">
        <f t="shared" si="98"/>
        <v>172.96798541727486</v>
      </c>
      <c r="P929">
        <f t="shared" si="99"/>
        <v>96.197414256198073</v>
      </c>
      <c r="Q929">
        <f t="shared" si="100"/>
        <v>82.076561445310972</v>
      </c>
      <c r="U929">
        <f>C929/Navio!$J$4</f>
        <v>15.663298285382531</v>
      </c>
    </row>
    <row r="930" spans="1:21" x14ac:dyDescent="0.3">
      <c r="A930">
        <v>928</v>
      </c>
      <c r="B930" s="6">
        <v>886.92417532714876</v>
      </c>
      <c r="C930" s="46">
        <v>290.20198085048327</v>
      </c>
      <c r="D930" s="1">
        <v>9</v>
      </c>
      <c r="E930" s="1">
        <v>13</v>
      </c>
      <c r="F930" s="1">
        <v>15</v>
      </c>
      <c r="G930" s="1">
        <v>16</v>
      </c>
      <c r="H930" s="1">
        <v>14</v>
      </c>
      <c r="I930" s="1">
        <v>12</v>
      </c>
      <c r="J930" s="1">
        <v>8</v>
      </c>
      <c r="K930" s="1" t="s">
        <v>50</v>
      </c>
      <c r="L930">
        <f t="shared" si="96"/>
        <v>310</v>
      </c>
      <c r="M930">
        <f t="shared" si="95"/>
        <v>185.56448544286178</v>
      </c>
      <c r="N930">
        <f t="shared" si="97"/>
        <v>210.14742667389368</v>
      </c>
      <c r="O930">
        <f t="shared" si="98"/>
        <v>172.96798541727486</v>
      </c>
      <c r="P930">
        <f t="shared" si="99"/>
        <v>96.197414256198073</v>
      </c>
      <c r="Q930">
        <f t="shared" si="100"/>
        <v>82.076561445310972</v>
      </c>
      <c r="U930">
        <f>C930/Navio!$J$4</f>
        <v>15.669666931163832</v>
      </c>
    </row>
    <row r="931" spans="1:21" x14ac:dyDescent="0.3">
      <c r="A931">
        <v>929</v>
      </c>
      <c r="B931" s="47">
        <v>182.31058600880081</v>
      </c>
      <c r="C931" s="46">
        <v>234.35882165055466</v>
      </c>
      <c r="D931" s="1">
        <v>18</v>
      </c>
      <c r="E931" s="1" t="s">
        <v>50</v>
      </c>
      <c r="F931" s="1" t="s">
        <v>50</v>
      </c>
      <c r="G931" s="1" t="s">
        <v>50</v>
      </c>
      <c r="H931" s="1" t="s">
        <v>50</v>
      </c>
      <c r="I931" s="1" t="s">
        <v>50</v>
      </c>
      <c r="J931" s="1" t="s">
        <v>50</v>
      </c>
      <c r="K931" s="1" t="s">
        <v>50</v>
      </c>
      <c r="L931">
        <f t="shared" si="96"/>
        <v>182.31058600880081</v>
      </c>
      <c r="M931" t="e">
        <f t="shared" si="95"/>
        <v>#N/A</v>
      </c>
      <c r="N931" t="e">
        <f t="shared" si="97"/>
        <v>#N/A</v>
      </c>
      <c r="O931" t="e">
        <f t="shared" si="98"/>
        <v>#N/A</v>
      </c>
      <c r="P931" t="e">
        <f t="shared" si="99"/>
        <v>#N/A</v>
      </c>
      <c r="Q931" t="e">
        <f t="shared" si="100"/>
        <v>#N/A</v>
      </c>
      <c r="S931" s="48">
        <f>B931-L931</f>
        <v>0</v>
      </c>
      <c r="U931">
        <f>C931/Navio!$J$4</f>
        <v>12.654374952513709</v>
      </c>
    </row>
    <row r="932" spans="1:21" x14ac:dyDescent="0.3">
      <c r="A932">
        <v>930</v>
      </c>
      <c r="B932" s="47">
        <v>105.7766123998009</v>
      </c>
      <c r="C932" s="46">
        <v>236.56951607560222</v>
      </c>
      <c r="D932" s="1">
        <v>19</v>
      </c>
      <c r="E932" s="1" t="s">
        <v>50</v>
      </c>
      <c r="F932" s="1" t="s">
        <v>50</v>
      </c>
      <c r="G932" s="1" t="s">
        <v>50</v>
      </c>
      <c r="H932" s="1" t="s">
        <v>50</v>
      </c>
      <c r="I932" s="1" t="s">
        <v>50</v>
      </c>
      <c r="J932" s="1" t="s">
        <v>50</v>
      </c>
      <c r="K932" s="1" t="s">
        <v>50</v>
      </c>
      <c r="L932">
        <f t="shared" si="96"/>
        <v>211.55322479960179</v>
      </c>
      <c r="M932" t="e">
        <f t="shared" si="95"/>
        <v>#N/A</v>
      </c>
      <c r="N932" t="e">
        <f t="shared" si="97"/>
        <v>#N/A</v>
      </c>
      <c r="O932" t="e">
        <f t="shared" si="98"/>
        <v>#N/A</v>
      </c>
      <c r="P932" t="e">
        <f t="shared" si="99"/>
        <v>#N/A</v>
      </c>
      <c r="Q932" t="e">
        <f t="shared" si="100"/>
        <v>#N/A</v>
      </c>
      <c r="S932" s="48">
        <f t="shared" ref="S932:S937" si="101">B932-L932</f>
        <v>-105.7766123998009</v>
      </c>
      <c r="U932">
        <f>C932/Navio!$J$4</f>
        <v>12.773743005156064</v>
      </c>
    </row>
    <row r="933" spans="1:21" x14ac:dyDescent="0.3">
      <c r="A933">
        <v>931</v>
      </c>
      <c r="B933" s="47">
        <v>88.209812985421578</v>
      </c>
      <c r="C933" s="46">
        <v>232.58352842467869</v>
      </c>
      <c r="D933" s="1">
        <v>20</v>
      </c>
      <c r="E933" s="1" t="s">
        <v>50</v>
      </c>
      <c r="F933" s="1" t="s">
        <v>50</v>
      </c>
      <c r="G933" s="1" t="s">
        <v>50</v>
      </c>
      <c r="H933" s="1" t="s">
        <v>50</v>
      </c>
      <c r="I933" s="1" t="s">
        <v>50</v>
      </c>
      <c r="J933" s="1" t="s">
        <v>50</v>
      </c>
      <c r="K933" s="1" t="s">
        <v>50</v>
      </c>
      <c r="L933">
        <f t="shared" si="96"/>
        <v>264.62943895626472</v>
      </c>
      <c r="M933" t="e">
        <f t="shared" si="95"/>
        <v>#N/A</v>
      </c>
      <c r="N933" t="e">
        <f t="shared" si="97"/>
        <v>#N/A</v>
      </c>
      <c r="O933" t="e">
        <f t="shared" si="98"/>
        <v>#N/A</v>
      </c>
      <c r="P933" t="e">
        <f t="shared" si="99"/>
        <v>#N/A</v>
      </c>
      <c r="Q933" t="e">
        <f t="shared" si="100"/>
        <v>#N/A</v>
      </c>
      <c r="S933" s="48">
        <f t="shared" si="101"/>
        <v>-176.41962597084313</v>
      </c>
      <c r="U933">
        <f>C933/Navio!$J$4</f>
        <v>12.558516704154748</v>
      </c>
    </row>
    <row r="934" spans="1:21" x14ac:dyDescent="0.3">
      <c r="A934">
        <v>932</v>
      </c>
      <c r="B934" s="47">
        <v>240.63200106476299</v>
      </c>
      <c r="C934" s="46">
        <v>233.07487619397747</v>
      </c>
      <c r="D934" s="1">
        <v>21</v>
      </c>
      <c r="E934" s="1" t="s">
        <v>50</v>
      </c>
      <c r="F934" s="1" t="s">
        <v>50</v>
      </c>
      <c r="G934" s="1" t="s">
        <v>50</v>
      </c>
      <c r="H934" s="1" t="s">
        <v>50</v>
      </c>
      <c r="I934" s="1" t="s">
        <v>50</v>
      </c>
      <c r="J934" s="1" t="s">
        <v>50</v>
      </c>
      <c r="K934" s="1" t="s">
        <v>50</v>
      </c>
      <c r="L934">
        <f t="shared" si="96"/>
        <v>240.63200106476299</v>
      </c>
      <c r="M934" t="e">
        <f t="shared" si="95"/>
        <v>#N/A</v>
      </c>
      <c r="N934" t="e">
        <f t="shared" si="97"/>
        <v>#N/A</v>
      </c>
      <c r="O934" t="e">
        <f t="shared" si="98"/>
        <v>#N/A</v>
      </c>
      <c r="P934" t="e">
        <f t="shared" si="99"/>
        <v>#N/A</v>
      </c>
      <c r="Q934" t="e">
        <f t="shared" si="100"/>
        <v>#N/A</v>
      </c>
      <c r="S934" s="48">
        <f t="shared" si="101"/>
        <v>0</v>
      </c>
      <c r="U934">
        <f>C934/Navio!$J$4</f>
        <v>12.585047384164989</v>
      </c>
    </row>
    <row r="935" spans="1:21" x14ac:dyDescent="0.3">
      <c r="A935">
        <v>933</v>
      </c>
      <c r="B935" s="47">
        <v>291.04520797699013</v>
      </c>
      <c r="C935" s="46">
        <v>267.4848638995071</v>
      </c>
      <c r="D935" s="1">
        <v>22</v>
      </c>
      <c r="E935" s="1" t="s">
        <v>50</v>
      </c>
      <c r="F935" s="1" t="s">
        <v>50</v>
      </c>
      <c r="G935" s="1" t="s">
        <v>50</v>
      </c>
      <c r="H935" s="1" t="s">
        <v>50</v>
      </c>
      <c r="I935" s="1" t="s">
        <v>50</v>
      </c>
      <c r="J935" s="1" t="s">
        <v>50</v>
      </c>
      <c r="K935" s="1" t="s">
        <v>50</v>
      </c>
      <c r="L935">
        <f t="shared" si="96"/>
        <v>291.04520797699013</v>
      </c>
      <c r="M935" t="e">
        <f t="shared" si="95"/>
        <v>#N/A</v>
      </c>
      <c r="N935" t="e">
        <f t="shared" si="97"/>
        <v>#N/A</v>
      </c>
      <c r="O935" t="e">
        <f t="shared" si="98"/>
        <v>#N/A</v>
      </c>
      <c r="P935" t="e">
        <f t="shared" si="99"/>
        <v>#N/A</v>
      </c>
      <c r="Q935" t="e">
        <f t="shared" si="100"/>
        <v>#N/A</v>
      </c>
      <c r="S935" s="48">
        <f t="shared" si="101"/>
        <v>0</v>
      </c>
      <c r="U935">
        <f>C935/Navio!$J$4</f>
        <v>14.443039686184777</v>
      </c>
    </row>
    <row r="936" spans="1:21" x14ac:dyDescent="0.3">
      <c r="A936">
        <v>934</v>
      </c>
      <c r="B936" s="47">
        <v>269.09058234667941</v>
      </c>
      <c r="C936" s="46">
        <v>275.48234725456194</v>
      </c>
      <c r="D936" s="1">
        <v>23</v>
      </c>
      <c r="E936" s="1" t="s">
        <v>50</v>
      </c>
      <c r="F936" s="1" t="s">
        <v>50</v>
      </c>
      <c r="G936" s="1" t="s">
        <v>50</v>
      </c>
      <c r="H936" s="1" t="s">
        <v>50</v>
      </c>
      <c r="I936" s="1" t="s">
        <v>50</v>
      </c>
      <c r="J936" s="1" t="s">
        <v>50</v>
      </c>
      <c r="K936" s="1" t="s">
        <v>50</v>
      </c>
      <c r="L936">
        <f t="shared" si="96"/>
        <v>269.09058234667941</v>
      </c>
      <c r="M936" t="e">
        <f t="shared" si="95"/>
        <v>#N/A</v>
      </c>
      <c r="N936" t="e">
        <f t="shared" si="97"/>
        <v>#N/A</v>
      </c>
      <c r="O936" t="e">
        <f t="shared" si="98"/>
        <v>#N/A</v>
      </c>
      <c r="P936" t="e">
        <f t="shared" si="99"/>
        <v>#N/A</v>
      </c>
      <c r="Q936" t="e">
        <f t="shared" si="100"/>
        <v>#N/A</v>
      </c>
      <c r="S936" s="48">
        <f t="shared" si="101"/>
        <v>0</v>
      </c>
      <c r="U936">
        <f>C936/Navio!$J$4</f>
        <v>14.874869614064565</v>
      </c>
    </row>
    <row r="937" spans="1:21" x14ac:dyDescent="0.3">
      <c r="A937">
        <v>935</v>
      </c>
      <c r="B937" s="47">
        <v>269.76484064861296</v>
      </c>
      <c r="C937" s="46">
        <v>279.6929696657777</v>
      </c>
      <c r="D937" s="1">
        <v>24</v>
      </c>
      <c r="E937" s="1" t="s">
        <v>50</v>
      </c>
      <c r="F937" s="1" t="s">
        <v>50</v>
      </c>
      <c r="G937" s="1" t="s">
        <v>50</v>
      </c>
      <c r="H937" s="1" t="s">
        <v>50</v>
      </c>
      <c r="I937" s="1" t="s">
        <v>50</v>
      </c>
      <c r="J937" s="1" t="s">
        <v>50</v>
      </c>
      <c r="K937" s="1" t="s">
        <v>50</v>
      </c>
      <c r="L937">
        <f t="shared" si="96"/>
        <v>269.76484064861296</v>
      </c>
      <c r="M937" t="e">
        <f t="shared" si="95"/>
        <v>#N/A</v>
      </c>
      <c r="N937" t="e">
        <f t="shared" si="97"/>
        <v>#N/A</v>
      </c>
      <c r="O937" t="e">
        <f t="shared" si="98"/>
        <v>#N/A</v>
      </c>
      <c r="P937" t="e">
        <f t="shared" si="99"/>
        <v>#N/A</v>
      </c>
      <c r="Q937" t="e">
        <f t="shared" si="100"/>
        <v>#N/A</v>
      </c>
      <c r="S937" s="48">
        <f t="shared" si="101"/>
        <v>0</v>
      </c>
      <c r="U937">
        <f>C937/Navio!$J$4</f>
        <v>15.102225232256014</v>
      </c>
    </row>
    <row r="938" spans="1:21" x14ac:dyDescent="0.3">
      <c r="A938">
        <v>936</v>
      </c>
      <c r="B938" s="47">
        <v>288.08719840860169</v>
      </c>
      <c r="C938" s="46">
        <v>238.33513627984814</v>
      </c>
      <c r="D938" s="1">
        <v>18</v>
      </c>
      <c r="E938" s="1">
        <v>19</v>
      </c>
      <c r="F938" s="1" t="s">
        <v>50</v>
      </c>
      <c r="G938" s="1" t="s">
        <v>50</v>
      </c>
      <c r="H938" s="1" t="s">
        <v>50</v>
      </c>
      <c r="I938" s="1" t="s">
        <v>50</v>
      </c>
      <c r="J938" s="1" t="s">
        <v>50</v>
      </c>
      <c r="K938" s="1" t="s">
        <v>50</v>
      </c>
      <c r="L938">
        <f t="shared" si="96"/>
        <v>182.31058600880081</v>
      </c>
      <c r="M938">
        <f t="shared" si="95"/>
        <v>211.55322479960179</v>
      </c>
      <c r="N938" t="e">
        <f t="shared" si="97"/>
        <v>#N/A</v>
      </c>
      <c r="O938" t="e">
        <f t="shared" si="98"/>
        <v>#N/A</v>
      </c>
      <c r="P938" t="e">
        <f t="shared" si="99"/>
        <v>#N/A</v>
      </c>
      <c r="Q938" t="e">
        <f t="shared" si="100"/>
        <v>#N/A</v>
      </c>
      <c r="U938">
        <f>C938/Navio!$J$4</f>
        <v>12.86907895167988</v>
      </c>
    </row>
    <row r="939" spans="1:21" x14ac:dyDescent="0.3">
      <c r="A939">
        <v>937</v>
      </c>
      <c r="B939" s="47">
        <v>270.52039899422238</v>
      </c>
      <c r="C939" s="46">
        <v>243.58346597869473</v>
      </c>
      <c r="D939" s="1">
        <v>18</v>
      </c>
      <c r="E939" s="1">
        <v>20</v>
      </c>
      <c r="F939" s="1" t="s">
        <v>50</v>
      </c>
      <c r="G939" s="1" t="s">
        <v>50</v>
      </c>
      <c r="H939" s="1" t="s">
        <v>50</v>
      </c>
      <c r="I939" s="1" t="s">
        <v>50</v>
      </c>
      <c r="J939" s="1" t="s">
        <v>50</v>
      </c>
      <c r="K939" s="1" t="s">
        <v>50</v>
      </c>
      <c r="L939">
        <f t="shared" si="96"/>
        <v>182.31058600880081</v>
      </c>
      <c r="M939">
        <f t="shared" si="95"/>
        <v>264.62943895626472</v>
      </c>
      <c r="N939" t="e">
        <f t="shared" si="97"/>
        <v>#N/A</v>
      </c>
      <c r="O939" t="e">
        <f t="shared" si="98"/>
        <v>#N/A</v>
      </c>
      <c r="P939" t="e">
        <f t="shared" si="99"/>
        <v>#N/A</v>
      </c>
      <c r="Q939" t="e">
        <f t="shared" si="100"/>
        <v>#N/A</v>
      </c>
      <c r="U939">
        <f>C939/Navio!$J$4</f>
        <v>13.152466329274082</v>
      </c>
    </row>
    <row r="940" spans="1:21" x14ac:dyDescent="0.3">
      <c r="A940">
        <v>938</v>
      </c>
      <c r="B940" s="47">
        <v>422.9425870735638</v>
      </c>
      <c r="C940" s="46">
        <v>244.23186505286742</v>
      </c>
      <c r="D940" s="1">
        <v>18</v>
      </c>
      <c r="E940" s="1">
        <v>21</v>
      </c>
      <c r="F940" s="1" t="s">
        <v>50</v>
      </c>
      <c r="G940" s="1" t="s">
        <v>50</v>
      </c>
      <c r="H940" s="1" t="s">
        <v>50</v>
      </c>
      <c r="I940" s="1" t="s">
        <v>50</v>
      </c>
      <c r="J940" s="1" t="s">
        <v>50</v>
      </c>
      <c r="K940" s="1" t="s">
        <v>50</v>
      </c>
      <c r="L940">
        <f t="shared" si="96"/>
        <v>182.31058600880081</v>
      </c>
      <c r="M940">
        <f t="shared" si="95"/>
        <v>240.63200106476299</v>
      </c>
      <c r="N940" t="e">
        <f t="shared" si="97"/>
        <v>#N/A</v>
      </c>
      <c r="O940" t="e">
        <f t="shared" si="98"/>
        <v>#N/A</v>
      </c>
      <c r="P940" t="e">
        <f t="shared" si="99"/>
        <v>#N/A</v>
      </c>
      <c r="Q940" t="e">
        <f t="shared" si="100"/>
        <v>#N/A</v>
      </c>
      <c r="U940">
        <f>C940/Navio!$J$4</f>
        <v>13.187477108666368</v>
      </c>
    </row>
    <row r="941" spans="1:21" x14ac:dyDescent="0.3">
      <c r="A941">
        <v>939</v>
      </c>
      <c r="B941" s="47">
        <v>473.35579398579091</v>
      </c>
      <c r="C941" s="46">
        <v>271.55399042859517</v>
      </c>
      <c r="D941" s="1">
        <v>18</v>
      </c>
      <c r="E941" s="1">
        <v>22</v>
      </c>
      <c r="F941" s="1" t="s">
        <v>50</v>
      </c>
      <c r="G941" s="1" t="s">
        <v>50</v>
      </c>
      <c r="H941" s="1" t="s">
        <v>50</v>
      </c>
      <c r="I941" s="1" t="s">
        <v>50</v>
      </c>
      <c r="J941" s="1" t="s">
        <v>50</v>
      </c>
      <c r="K941" s="1" t="s">
        <v>50</v>
      </c>
      <c r="L941">
        <f t="shared" si="96"/>
        <v>182.31058600880081</v>
      </c>
      <c r="M941">
        <f t="shared" si="95"/>
        <v>291.04520797699013</v>
      </c>
      <c r="N941" t="e">
        <f t="shared" si="97"/>
        <v>#N/A</v>
      </c>
      <c r="O941" t="e">
        <f t="shared" si="98"/>
        <v>#N/A</v>
      </c>
      <c r="P941" t="e">
        <f t="shared" si="99"/>
        <v>#N/A</v>
      </c>
      <c r="Q941" t="e">
        <f t="shared" si="100"/>
        <v>#N/A</v>
      </c>
      <c r="U941">
        <f>C941/Navio!$J$4</f>
        <v>14.662755131354064</v>
      </c>
    </row>
    <row r="942" spans="1:21" x14ac:dyDescent="0.3">
      <c r="A942">
        <v>940</v>
      </c>
      <c r="B942" s="47">
        <v>451.40116835548019</v>
      </c>
      <c r="C942" s="46">
        <v>275.89752634826573</v>
      </c>
      <c r="D942" s="1">
        <v>18</v>
      </c>
      <c r="E942" s="1">
        <v>23</v>
      </c>
      <c r="F942" s="1" t="s">
        <v>50</v>
      </c>
      <c r="G942" s="1" t="s">
        <v>50</v>
      </c>
      <c r="H942" s="1" t="s">
        <v>50</v>
      </c>
      <c r="I942" s="1" t="s">
        <v>50</v>
      </c>
      <c r="J942" s="1" t="s">
        <v>50</v>
      </c>
      <c r="K942" s="1" t="s">
        <v>50</v>
      </c>
      <c r="L942">
        <f t="shared" si="96"/>
        <v>182.31058600880081</v>
      </c>
      <c r="M942">
        <f t="shared" si="95"/>
        <v>269.09058234667941</v>
      </c>
      <c r="N942" t="e">
        <f t="shared" si="97"/>
        <v>#N/A</v>
      </c>
      <c r="O942" t="e">
        <f t="shared" si="98"/>
        <v>#N/A</v>
      </c>
      <c r="P942" t="e">
        <f t="shared" si="99"/>
        <v>#N/A</v>
      </c>
      <c r="Q942" t="e">
        <f t="shared" si="100"/>
        <v>#N/A</v>
      </c>
      <c r="U942">
        <f>C942/Navio!$J$4</f>
        <v>14.897287511061874</v>
      </c>
    </row>
    <row r="943" spans="1:21" x14ac:dyDescent="0.3">
      <c r="A943">
        <v>941</v>
      </c>
      <c r="B943" s="47">
        <v>452.0754266574138</v>
      </c>
      <c r="C943" s="46">
        <v>281.87425211771733</v>
      </c>
      <c r="D943" s="1">
        <v>18</v>
      </c>
      <c r="E943" s="1">
        <v>24</v>
      </c>
      <c r="F943" s="1" t="s">
        <v>50</v>
      </c>
      <c r="G943" s="1" t="s">
        <v>50</v>
      </c>
      <c r="H943" s="1" t="s">
        <v>50</v>
      </c>
      <c r="I943" s="1" t="s">
        <v>50</v>
      </c>
      <c r="J943" s="1" t="s">
        <v>50</v>
      </c>
      <c r="K943" s="1" t="s">
        <v>50</v>
      </c>
      <c r="L943">
        <f t="shared" si="96"/>
        <v>182.31058600880081</v>
      </c>
      <c r="M943">
        <f t="shared" si="95"/>
        <v>269.76484064861296</v>
      </c>
      <c r="N943" t="e">
        <f t="shared" si="97"/>
        <v>#N/A</v>
      </c>
      <c r="O943" t="e">
        <f t="shared" si="98"/>
        <v>#N/A</v>
      </c>
      <c r="P943" t="e">
        <f t="shared" si="99"/>
        <v>#N/A</v>
      </c>
      <c r="Q943" t="e">
        <f t="shared" si="100"/>
        <v>#N/A</v>
      </c>
      <c r="U943">
        <f>C943/Navio!$J$4</f>
        <v>15.220005164028075</v>
      </c>
    </row>
    <row r="944" spans="1:21" x14ac:dyDescent="0.3">
      <c r="A944">
        <v>942</v>
      </c>
      <c r="B944" s="47">
        <v>193.98642538522247</v>
      </c>
      <c r="C944" s="46">
        <v>247.48841750289426</v>
      </c>
      <c r="D944" s="1">
        <v>19</v>
      </c>
      <c r="E944" s="1">
        <v>20</v>
      </c>
      <c r="F944" s="1" t="s">
        <v>50</v>
      </c>
      <c r="G944" s="1" t="s">
        <v>50</v>
      </c>
      <c r="H944" s="1" t="s">
        <v>50</v>
      </c>
      <c r="I944" s="1" t="s">
        <v>50</v>
      </c>
      <c r="J944" s="1" t="s">
        <v>50</v>
      </c>
      <c r="K944" s="1" t="s">
        <v>50</v>
      </c>
      <c r="L944">
        <f t="shared" si="96"/>
        <v>211.55322479960179</v>
      </c>
      <c r="M944">
        <f t="shared" si="95"/>
        <v>264.62943895626472</v>
      </c>
      <c r="N944" t="e">
        <f t="shared" si="97"/>
        <v>#N/A</v>
      </c>
      <c r="O944" t="e">
        <f t="shared" si="98"/>
        <v>#N/A</v>
      </c>
      <c r="P944" t="e">
        <f t="shared" si="99"/>
        <v>#N/A</v>
      </c>
      <c r="Q944" t="e">
        <f t="shared" si="100"/>
        <v>#N/A</v>
      </c>
      <c r="U944">
        <f>C944/Navio!$J$4</f>
        <v>13.363317025700145</v>
      </c>
    </row>
    <row r="945" spans="1:21" x14ac:dyDescent="0.3">
      <c r="A945">
        <v>943</v>
      </c>
      <c r="B945" s="47">
        <v>346.40861346456387</v>
      </c>
      <c r="C945" s="46">
        <v>248.12132001567971</v>
      </c>
      <c r="D945" s="1">
        <v>19</v>
      </c>
      <c r="E945" s="1">
        <v>21</v>
      </c>
      <c r="F945" s="1" t="s">
        <v>50</v>
      </c>
      <c r="G945" s="1" t="s">
        <v>50</v>
      </c>
      <c r="H945" s="1" t="s">
        <v>50</v>
      </c>
      <c r="I945" s="1" t="s">
        <v>50</v>
      </c>
      <c r="J945" s="1" t="s">
        <v>50</v>
      </c>
      <c r="K945" s="1" t="s">
        <v>50</v>
      </c>
      <c r="L945">
        <f t="shared" si="96"/>
        <v>211.55322479960179</v>
      </c>
      <c r="M945">
        <f t="shared" si="95"/>
        <v>240.63200106476299</v>
      </c>
      <c r="N945" t="e">
        <f t="shared" si="97"/>
        <v>#N/A</v>
      </c>
      <c r="O945" t="e">
        <f t="shared" si="98"/>
        <v>#N/A</v>
      </c>
      <c r="P945" t="e">
        <f t="shared" si="99"/>
        <v>#N/A</v>
      </c>
      <c r="Q945" t="e">
        <f t="shared" si="100"/>
        <v>#N/A</v>
      </c>
      <c r="U945">
        <f>C945/Navio!$J$4</f>
        <v>13.397491056994417</v>
      </c>
    </row>
    <row r="946" spans="1:21" x14ac:dyDescent="0.3">
      <c r="A946">
        <v>944</v>
      </c>
      <c r="B946" s="47">
        <v>396.82182037679104</v>
      </c>
      <c r="C946" s="46">
        <v>273.6970408951168</v>
      </c>
      <c r="D946" s="1">
        <v>19</v>
      </c>
      <c r="E946" s="1">
        <v>22</v>
      </c>
      <c r="F946" s="1" t="s">
        <v>50</v>
      </c>
      <c r="G946" s="1" t="s">
        <v>50</v>
      </c>
      <c r="H946" s="1" t="s">
        <v>50</v>
      </c>
      <c r="I946" s="1" t="s">
        <v>50</v>
      </c>
      <c r="J946" s="1" t="s">
        <v>50</v>
      </c>
      <c r="K946" s="1" t="s">
        <v>50</v>
      </c>
      <c r="L946">
        <f t="shared" si="96"/>
        <v>211.55322479960179</v>
      </c>
      <c r="M946">
        <f t="shared" si="95"/>
        <v>291.04520797699013</v>
      </c>
      <c r="N946" t="e">
        <f t="shared" si="97"/>
        <v>#N/A</v>
      </c>
      <c r="O946" t="e">
        <f t="shared" si="98"/>
        <v>#N/A</v>
      </c>
      <c r="P946" t="e">
        <f t="shared" si="99"/>
        <v>#N/A</v>
      </c>
      <c r="Q946" t="e">
        <f t="shared" si="100"/>
        <v>#N/A</v>
      </c>
      <c r="U946">
        <f>C946/Navio!$J$4</f>
        <v>14.778470699279048</v>
      </c>
    </row>
    <row r="947" spans="1:21" x14ac:dyDescent="0.3">
      <c r="A947">
        <v>945</v>
      </c>
      <c r="B947" s="47">
        <v>374.86719474648032</v>
      </c>
      <c r="C947" s="46">
        <v>276.71835715329428</v>
      </c>
      <c r="D947" s="1">
        <v>19</v>
      </c>
      <c r="E947" s="1">
        <v>23</v>
      </c>
      <c r="F947" s="1" t="s">
        <v>50</v>
      </c>
      <c r="G947" s="1" t="s">
        <v>50</v>
      </c>
      <c r="H947" s="1" t="s">
        <v>50</v>
      </c>
      <c r="I947" s="1" t="s">
        <v>50</v>
      </c>
      <c r="J947" s="1" t="s">
        <v>50</v>
      </c>
      <c r="K947" s="1" t="s">
        <v>50</v>
      </c>
      <c r="L947">
        <f t="shared" si="96"/>
        <v>211.55322479960179</v>
      </c>
      <c r="M947">
        <f t="shared" si="95"/>
        <v>269.09058234667941</v>
      </c>
      <c r="N947" t="e">
        <f t="shared" si="97"/>
        <v>#N/A</v>
      </c>
      <c r="O947" t="e">
        <f t="shared" si="98"/>
        <v>#N/A</v>
      </c>
      <c r="P947" t="e">
        <f t="shared" si="99"/>
        <v>#N/A</v>
      </c>
      <c r="Q947" t="e">
        <f t="shared" si="100"/>
        <v>#N/A</v>
      </c>
      <c r="U947">
        <f>C947/Navio!$J$4</f>
        <v>14.941608867118582</v>
      </c>
    </row>
    <row r="948" spans="1:21" x14ac:dyDescent="0.3">
      <c r="A948">
        <v>946</v>
      </c>
      <c r="B948" s="47">
        <v>375.54145304841387</v>
      </c>
      <c r="C948" s="46">
        <v>283.37103065419183</v>
      </c>
      <c r="D948" s="1">
        <v>19</v>
      </c>
      <c r="E948" s="1">
        <v>24</v>
      </c>
      <c r="F948" s="1" t="s">
        <v>50</v>
      </c>
      <c r="G948" s="1" t="s">
        <v>50</v>
      </c>
      <c r="H948" s="1" t="s">
        <v>50</v>
      </c>
      <c r="I948" s="1" t="s">
        <v>50</v>
      </c>
      <c r="J948" s="1" t="s">
        <v>50</v>
      </c>
      <c r="K948" s="1" t="s">
        <v>50</v>
      </c>
      <c r="L948">
        <f t="shared" si="96"/>
        <v>211.55322479960179</v>
      </c>
      <c r="M948">
        <f t="shared" si="95"/>
        <v>269.76484064861296</v>
      </c>
      <c r="N948" t="e">
        <f t="shared" si="97"/>
        <v>#N/A</v>
      </c>
      <c r="O948" t="e">
        <f t="shared" si="98"/>
        <v>#N/A</v>
      </c>
      <c r="P948" t="e">
        <f t="shared" si="99"/>
        <v>#N/A</v>
      </c>
      <c r="Q948" t="e">
        <f t="shared" si="100"/>
        <v>#N/A</v>
      </c>
      <c r="U948">
        <f>C948/Navio!$J$4</f>
        <v>15.300824809254253</v>
      </c>
    </row>
    <row r="949" spans="1:21" x14ac:dyDescent="0.3">
      <c r="A949">
        <v>947</v>
      </c>
      <c r="B949" s="47">
        <v>328.84181405018455</v>
      </c>
      <c r="C949" s="46">
        <v>233.30746861713794</v>
      </c>
      <c r="D949" s="1">
        <v>20</v>
      </c>
      <c r="E949" s="1">
        <v>21</v>
      </c>
      <c r="F949" s="1" t="s">
        <v>50</v>
      </c>
      <c r="G949" s="1" t="s">
        <v>50</v>
      </c>
      <c r="H949" s="1" t="s">
        <v>50</v>
      </c>
      <c r="I949" s="1" t="s">
        <v>50</v>
      </c>
      <c r="J949" s="1" t="s">
        <v>50</v>
      </c>
      <c r="K949" s="1" t="s">
        <v>50</v>
      </c>
      <c r="L949">
        <f t="shared" si="96"/>
        <v>264.62943895626472</v>
      </c>
      <c r="M949">
        <f t="shared" si="95"/>
        <v>240.63200106476299</v>
      </c>
      <c r="N949" t="e">
        <f t="shared" si="97"/>
        <v>#N/A</v>
      </c>
      <c r="O949" t="e">
        <f t="shared" si="98"/>
        <v>#N/A</v>
      </c>
      <c r="P949" t="e">
        <f t="shared" si="99"/>
        <v>#N/A</v>
      </c>
      <c r="Q949" t="e">
        <f t="shared" si="100"/>
        <v>#N/A</v>
      </c>
      <c r="U949">
        <f>C949/Navio!$J$4</f>
        <v>12.597606381146869</v>
      </c>
    </row>
    <row r="950" spans="1:21" x14ac:dyDescent="0.3">
      <c r="A950">
        <v>948</v>
      </c>
      <c r="B950" s="47">
        <v>379.25502096241172</v>
      </c>
      <c r="C950" s="46">
        <v>267.54885051663899</v>
      </c>
      <c r="D950" s="1">
        <v>20</v>
      </c>
      <c r="E950" s="1">
        <v>22</v>
      </c>
      <c r="F950" s="1" t="s">
        <v>50</v>
      </c>
      <c r="G950" s="1" t="s">
        <v>50</v>
      </c>
      <c r="H950" s="1" t="s">
        <v>50</v>
      </c>
      <c r="I950" s="1" t="s">
        <v>50</v>
      </c>
      <c r="J950" s="1" t="s">
        <v>50</v>
      </c>
      <c r="K950" s="1" t="s">
        <v>50</v>
      </c>
      <c r="L950">
        <f t="shared" si="96"/>
        <v>264.62943895626472</v>
      </c>
      <c r="M950">
        <f t="shared" si="95"/>
        <v>291.04520797699013</v>
      </c>
      <c r="N950" t="e">
        <f t="shared" si="97"/>
        <v>#N/A</v>
      </c>
      <c r="O950" t="e">
        <f t="shared" si="98"/>
        <v>#N/A</v>
      </c>
      <c r="P950" t="e">
        <f t="shared" si="99"/>
        <v>#N/A</v>
      </c>
      <c r="Q950" t="e">
        <f t="shared" si="100"/>
        <v>#N/A</v>
      </c>
      <c r="U950">
        <f>C950/Navio!$J$4</f>
        <v>14.44649469009471</v>
      </c>
    </row>
    <row r="951" spans="1:21" x14ac:dyDescent="0.3">
      <c r="A951">
        <v>949</v>
      </c>
      <c r="B951" s="47">
        <v>357.300395332101</v>
      </c>
      <c r="C951" s="46">
        <v>276.53040494999249</v>
      </c>
      <c r="D951" s="1">
        <v>20</v>
      </c>
      <c r="E951" s="1">
        <v>23</v>
      </c>
      <c r="F951" s="1" t="s">
        <v>50</v>
      </c>
      <c r="G951" s="1" t="s">
        <v>50</v>
      </c>
      <c r="H951" s="1" t="s">
        <v>50</v>
      </c>
      <c r="I951" s="1" t="s">
        <v>50</v>
      </c>
      <c r="J951" s="1" t="s">
        <v>50</v>
      </c>
      <c r="K951" s="1" t="s">
        <v>50</v>
      </c>
      <c r="L951">
        <f t="shared" si="96"/>
        <v>264.62943895626472</v>
      </c>
      <c r="M951">
        <f t="shared" si="95"/>
        <v>269.09058234667941</v>
      </c>
      <c r="N951" t="e">
        <f t="shared" si="97"/>
        <v>#N/A</v>
      </c>
      <c r="O951" t="e">
        <f t="shared" si="98"/>
        <v>#N/A</v>
      </c>
      <c r="P951" t="e">
        <f t="shared" si="99"/>
        <v>#N/A</v>
      </c>
      <c r="Q951" t="e">
        <f t="shared" si="100"/>
        <v>#N/A</v>
      </c>
      <c r="U951">
        <f>C951/Navio!$J$4</f>
        <v>14.93146025126115</v>
      </c>
    </row>
    <row r="952" spans="1:21" x14ac:dyDescent="0.3">
      <c r="A952">
        <v>950</v>
      </c>
      <c r="B952" s="47">
        <v>357.97465363403455</v>
      </c>
      <c r="C952" s="46">
        <v>279.70878355034597</v>
      </c>
      <c r="D952" s="1">
        <v>20</v>
      </c>
      <c r="E952" s="1">
        <v>24</v>
      </c>
      <c r="F952" s="1" t="s">
        <v>50</v>
      </c>
      <c r="G952" s="1" t="s">
        <v>50</v>
      </c>
      <c r="H952" s="1" t="s">
        <v>50</v>
      </c>
      <c r="I952" s="1" t="s">
        <v>50</v>
      </c>
      <c r="J952" s="1" t="s">
        <v>50</v>
      </c>
      <c r="K952" s="1" t="s">
        <v>50</v>
      </c>
      <c r="L952">
        <f t="shared" si="96"/>
        <v>264.62943895626472</v>
      </c>
      <c r="M952">
        <f t="shared" si="95"/>
        <v>269.76484064861296</v>
      </c>
      <c r="N952" t="e">
        <f t="shared" si="97"/>
        <v>#N/A</v>
      </c>
      <c r="O952" t="e">
        <f t="shared" si="98"/>
        <v>#N/A</v>
      </c>
      <c r="P952" t="e">
        <f t="shared" si="99"/>
        <v>#N/A</v>
      </c>
      <c r="Q952" t="e">
        <f t="shared" si="100"/>
        <v>#N/A</v>
      </c>
      <c r="U952">
        <f>C952/Navio!$J$4</f>
        <v>15.10307911444988</v>
      </c>
    </row>
    <row r="953" spans="1:21" x14ac:dyDescent="0.3">
      <c r="A953">
        <v>951</v>
      </c>
      <c r="B953" s="47">
        <v>531.67720904175314</v>
      </c>
      <c r="C953" s="46">
        <v>267.51731998766564</v>
      </c>
      <c r="D953" s="1">
        <v>21</v>
      </c>
      <c r="E953" s="1">
        <v>22</v>
      </c>
      <c r="F953" s="1" t="s">
        <v>50</v>
      </c>
      <c r="G953" s="1" t="s">
        <v>50</v>
      </c>
      <c r="H953" s="1" t="s">
        <v>50</v>
      </c>
      <c r="I953" s="1" t="s">
        <v>50</v>
      </c>
      <c r="J953" s="1" t="s">
        <v>50</v>
      </c>
      <c r="K953" s="1" t="s">
        <v>50</v>
      </c>
      <c r="L953">
        <f t="shared" si="96"/>
        <v>240.63200106476299</v>
      </c>
      <c r="M953">
        <f t="shared" si="95"/>
        <v>291.04520797699013</v>
      </c>
      <c r="N953" t="e">
        <f t="shared" si="97"/>
        <v>#N/A</v>
      </c>
      <c r="O953" t="e">
        <f t="shared" si="98"/>
        <v>#N/A</v>
      </c>
      <c r="P953" t="e">
        <f t="shared" si="99"/>
        <v>#N/A</v>
      </c>
      <c r="Q953" t="e">
        <f t="shared" si="100"/>
        <v>#N/A</v>
      </c>
      <c r="U953">
        <f>C953/Navio!$J$4</f>
        <v>14.444792176260284</v>
      </c>
    </row>
    <row r="954" spans="1:21" x14ac:dyDescent="0.3">
      <c r="A954">
        <v>952</v>
      </c>
      <c r="B954" s="47">
        <v>509.72258341144243</v>
      </c>
      <c r="C954" s="46">
        <v>276.6844058174986</v>
      </c>
      <c r="D954" s="1">
        <v>21</v>
      </c>
      <c r="E954" s="1">
        <v>23</v>
      </c>
      <c r="F954" s="1" t="s">
        <v>50</v>
      </c>
      <c r="G954" s="1" t="s">
        <v>50</v>
      </c>
      <c r="H954" s="1" t="s">
        <v>50</v>
      </c>
      <c r="I954" s="1" t="s">
        <v>50</v>
      </c>
      <c r="J954" s="1" t="s">
        <v>50</v>
      </c>
      <c r="K954" s="1" t="s">
        <v>50</v>
      </c>
      <c r="L954">
        <f t="shared" si="96"/>
        <v>240.63200106476299</v>
      </c>
      <c r="M954">
        <f t="shared" si="95"/>
        <v>269.09058234667941</v>
      </c>
      <c r="N954" t="e">
        <f t="shared" si="97"/>
        <v>#N/A</v>
      </c>
      <c r="O954" t="e">
        <f t="shared" si="98"/>
        <v>#N/A</v>
      </c>
      <c r="P954" t="e">
        <f t="shared" si="99"/>
        <v>#N/A</v>
      </c>
      <c r="Q954" t="e">
        <f t="shared" si="100"/>
        <v>#N/A</v>
      </c>
      <c r="U954">
        <f>C954/Navio!$J$4</f>
        <v>14.939775640059873</v>
      </c>
    </row>
    <row r="955" spans="1:21" x14ac:dyDescent="0.3">
      <c r="A955">
        <v>953</v>
      </c>
      <c r="B955" s="47">
        <v>510.39684171337592</v>
      </c>
      <c r="C955" s="46">
        <v>279.72998654953898</v>
      </c>
      <c r="D955" s="1">
        <v>21</v>
      </c>
      <c r="E955" s="1">
        <v>24</v>
      </c>
      <c r="F955" s="1" t="s">
        <v>50</v>
      </c>
      <c r="G955" s="1" t="s">
        <v>50</v>
      </c>
      <c r="H955" s="1" t="s">
        <v>50</v>
      </c>
      <c r="I955" s="1" t="s">
        <v>50</v>
      </c>
      <c r="J955" s="1" t="s">
        <v>50</v>
      </c>
      <c r="K955" s="1" t="s">
        <v>50</v>
      </c>
      <c r="L955">
        <f t="shared" si="96"/>
        <v>240.63200106476299</v>
      </c>
      <c r="M955">
        <f t="shared" si="95"/>
        <v>269.76484064861296</v>
      </c>
      <c r="N955" t="e">
        <f t="shared" si="97"/>
        <v>#N/A</v>
      </c>
      <c r="O955" t="e">
        <f t="shared" si="98"/>
        <v>#N/A</v>
      </c>
      <c r="P955" t="e">
        <f t="shared" si="99"/>
        <v>#N/A</v>
      </c>
      <c r="Q955" t="e">
        <f t="shared" si="100"/>
        <v>#N/A</v>
      </c>
      <c r="U955">
        <f>C955/Navio!$J$4</f>
        <v>15.104223985805763</v>
      </c>
    </row>
    <row r="956" spans="1:21" x14ac:dyDescent="0.3">
      <c r="A956">
        <v>954</v>
      </c>
      <c r="B956" s="47">
        <v>560.13579032366954</v>
      </c>
      <c r="C956" s="46">
        <v>281.24542748883368</v>
      </c>
      <c r="D956" s="1">
        <v>22</v>
      </c>
      <c r="E956" s="1">
        <v>23</v>
      </c>
      <c r="F956" s="1" t="s">
        <v>50</v>
      </c>
      <c r="G956" s="1" t="s">
        <v>50</v>
      </c>
      <c r="H956" s="1" t="s">
        <v>50</v>
      </c>
      <c r="I956" s="1" t="s">
        <v>50</v>
      </c>
      <c r="J956" s="1" t="s">
        <v>50</v>
      </c>
      <c r="K956" s="1" t="s">
        <v>50</v>
      </c>
      <c r="L956">
        <f t="shared" si="96"/>
        <v>291.04520797699013</v>
      </c>
      <c r="M956">
        <f t="shared" si="95"/>
        <v>269.09058234667941</v>
      </c>
      <c r="N956" t="e">
        <f t="shared" si="97"/>
        <v>#N/A</v>
      </c>
      <c r="O956" t="e">
        <f t="shared" si="98"/>
        <v>#N/A</v>
      </c>
      <c r="P956" t="e">
        <f t="shared" si="99"/>
        <v>#N/A</v>
      </c>
      <c r="Q956" t="e">
        <f t="shared" si="100"/>
        <v>#N/A</v>
      </c>
      <c r="U956">
        <f>C956/Navio!$J$4</f>
        <v>15.186051321039676</v>
      </c>
    </row>
    <row r="957" spans="1:21" x14ac:dyDescent="0.3">
      <c r="A957">
        <v>955</v>
      </c>
      <c r="B957" s="47">
        <v>560.81004862560303</v>
      </c>
      <c r="C957" s="46">
        <v>280.2103902016778</v>
      </c>
      <c r="D957" s="1">
        <v>22</v>
      </c>
      <c r="E957" s="1">
        <v>24</v>
      </c>
      <c r="F957" s="1" t="s">
        <v>50</v>
      </c>
      <c r="G957" s="1" t="s">
        <v>50</v>
      </c>
      <c r="H957" s="1" t="s">
        <v>50</v>
      </c>
      <c r="I957" s="1" t="s">
        <v>50</v>
      </c>
      <c r="J957" s="1" t="s">
        <v>50</v>
      </c>
      <c r="K957" s="1" t="s">
        <v>50</v>
      </c>
      <c r="L957">
        <f t="shared" si="96"/>
        <v>291.04520797699013</v>
      </c>
      <c r="M957">
        <f t="shared" si="95"/>
        <v>269.76484064861296</v>
      </c>
      <c r="N957" t="e">
        <f t="shared" si="97"/>
        <v>#N/A</v>
      </c>
      <c r="O957" t="e">
        <f t="shared" si="98"/>
        <v>#N/A</v>
      </c>
      <c r="P957" t="e">
        <f t="shared" si="99"/>
        <v>#N/A</v>
      </c>
      <c r="Q957" t="e">
        <f t="shared" si="100"/>
        <v>#N/A</v>
      </c>
      <c r="U957">
        <f>C957/Navio!$J$4</f>
        <v>15.130163730253644</v>
      </c>
    </row>
    <row r="958" spans="1:21" x14ac:dyDescent="0.3">
      <c r="A958">
        <v>956</v>
      </c>
      <c r="B958" s="47">
        <v>538.85542299529243</v>
      </c>
      <c r="C958" s="46">
        <v>284.42304822214652</v>
      </c>
      <c r="D958" s="1">
        <v>23</v>
      </c>
      <c r="E958" s="1">
        <v>24</v>
      </c>
      <c r="F958" s="1" t="s">
        <v>50</v>
      </c>
      <c r="G958" s="1" t="s">
        <v>50</v>
      </c>
      <c r="H958" s="1" t="s">
        <v>50</v>
      </c>
      <c r="I958" s="1" t="s">
        <v>50</v>
      </c>
      <c r="J958" s="1" t="s">
        <v>50</v>
      </c>
      <c r="K958" s="1" t="s">
        <v>50</v>
      </c>
      <c r="L958">
        <f t="shared" si="96"/>
        <v>269.09058234667941</v>
      </c>
      <c r="M958">
        <f t="shared" si="95"/>
        <v>269.76484064861296</v>
      </c>
      <c r="N958" t="e">
        <f t="shared" si="97"/>
        <v>#N/A</v>
      </c>
      <c r="O958" t="e">
        <f t="shared" si="98"/>
        <v>#N/A</v>
      </c>
      <c r="P958" t="e">
        <f t="shared" si="99"/>
        <v>#N/A</v>
      </c>
      <c r="Q958" t="e">
        <f t="shared" si="100"/>
        <v>#N/A</v>
      </c>
      <c r="U958">
        <f>C958/Navio!$J$4</f>
        <v>15.357629262646583</v>
      </c>
    </row>
    <row r="959" spans="1:21" x14ac:dyDescent="0.3">
      <c r="A959">
        <v>957</v>
      </c>
      <c r="B959" s="47">
        <v>376.29701139402329</v>
      </c>
      <c r="C959" s="46">
        <v>247.55978060798824</v>
      </c>
      <c r="D959" s="1">
        <v>20</v>
      </c>
      <c r="E959" s="1">
        <v>18</v>
      </c>
      <c r="F959" s="1">
        <v>19</v>
      </c>
      <c r="G959" s="1" t="s">
        <v>50</v>
      </c>
      <c r="H959" s="1" t="s">
        <v>50</v>
      </c>
      <c r="I959" s="1" t="s">
        <v>50</v>
      </c>
      <c r="J959" s="1" t="s">
        <v>50</v>
      </c>
      <c r="K959" s="1" t="s">
        <v>50</v>
      </c>
      <c r="L959">
        <f t="shared" si="96"/>
        <v>264.62943895626472</v>
      </c>
      <c r="M959">
        <f t="shared" si="95"/>
        <v>182.31058600880081</v>
      </c>
      <c r="N959">
        <f t="shared" si="97"/>
        <v>211.55322479960179</v>
      </c>
      <c r="O959" t="e">
        <f t="shared" si="98"/>
        <v>#N/A</v>
      </c>
      <c r="P959" t="e">
        <f t="shared" si="99"/>
        <v>#N/A</v>
      </c>
      <c r="Q959" t="e">
        <f t="shared" si="100"/>
        <v>#N/A</v>
      </c>
      <c r="U959">
        <f>C959/Navio!$J$4</f>
        <v>13.367170328440253</v>
      </c>
    </row>
    <row r="960" spans="1:21" x14ac:dyDescent="0.3">
      <c r="A960">
        <v>958</v>
      </c>
      <c r="B960" s="47">
        <v>528.71919947336471</v>
      </c>
      <c r="C960" s="46">
        <v>248.20817968216093</v>
      </c>
      <c r="D960" s="1">
        <v>21</v>
      </c>
      <c r="E960" s="1">
        <v>18</v>
      </c>
      <c r="F960" s="1">
        <v>19</v>
      </c>
      <c r="G960" s="1" t="s">
        <v>50</v>
      </c>
      <c r="H960" s="1" t="s">
        <v>50</v>
      </c>
      <c r="I960" s="1" t="s">
        <v>50</v>
      </c>
      <c r="J960" s="1" t="s">
        <v>50</v>
      </c>
      <c r="K960" s="1" t="s">
        <v>50</v>
      </c>
      <c r="L960">
        <f t="shared" si="96"/>
        <v>240.63200106476299</v>
      </c>
      <c r="M960">
        <f t="shared" si="95"/>
        <v>182.31058600880081</v>
      </c>
      <c r="N960">
        <f t="shared" si="97"/>
        <v>211.55322479960179</v>
      </c>
      <c r="O960" t="e">
        <f t="shared" si="98"/>
        <v>#N/A</v>
      </c>
      <c r="P960" t="e">
        <f t="shared" si="99"/>
        <v>#N/A</v>
      </c>
      <c r="Q960" t="e">
        <f t="shared" si="100"/>
        <v>#N/A</v>
      </c>
      <c r="U960">
        <f>C960/Navio!$J$4</f>
        <v>13.40218110783254</v>
      </c>
    </row>
    <row r="961" spans="1:21" x14ac:dyDescent="0.3">
      <c r="A961">
        <v>959</v>
      </c>
      <c r="B961" s="47">
        <v>579.13240638559182</v>
      </c>
      <c r="C961" s="46">
        <v>275.46266109936278</v>
      </c>
      <c r="D961" s="1">
        <v>22</v>
      </c>
      <c r="E961" s="1">
        <v>19</v>
      </c>
      <c r="F961" s="1">
        <v>18</v>
      </c>
      <c r="G961" s="1" t="s">
        <v>50</v>
      </c>
      <c r="H961" s="1" t="s">
        <v>50</v>
      </c>
      <c r="I961" s="1" t="s">
        <v>50</v>
      </c>
      <c r="J961" s="1" t="s">
        <v>50</v>
      </c>
      <c r="K961" s="1" t="s">
        <v>50</v>
      </c>
      <c r="L961">
        <f t="shared" si="96"/>
        <v>291.04520797699013</v>
      </c>
      <c r="M961">
        <f t="shared" si="95"/>
        <v>211.55322479960179</v>
      </c>
      <c r="N961">
        <f t="shared" si="97"/>
        <v>182.31058600880081</v>
      </c>
      <c r="O961" t="e">
        <f t="shared" si="98"/>
        <v>#N/A</v>
      </c>
      <c r="P961" t="e">
        <f t="shared" si="99"/>
        <v>#N/A</v>
      </c>
      <c r="Q961" t="e">
        <f t="shared" si="100"/>
        <v>#N/A</v>
      </c>
      <c r="U961">
        <f>C961/Navio!$J$4</f>
        <v>14.873806645802867</v>
      </c>
    </row>
    <row r="962" spans="1:21" x14ac:dyDescent="0.3">
      <c r="A962">
        <v>960</v>
      </c>
      <c r="B962" s="47">
        <v>557.17778075528111</v>
      </c>
      <c r="C962" s="46">
        <v>277.13353624699806</v>
      </c>
      <c r="D962" s="1">
        <v>19</v>
      </c>
      <c r="E962" s="1">
        <v>23</v>
      </c>
      <c r="F962" s="1">
        <v>18</v>
      </c>
      <c r="G962" s="1" t="s">
        <v>50</v>
      </c>
      <c r="H962" s="1" t="s">
        <v>50</v>
      </c>
      <c r="I962" s="1" t="s">
        <v>50</v>
      </c>
      <c r="J962" s="1" t="s">
        <v>50</v>
      </c>
      <c r="K962" s="1" t="s">
        <v>50</v>
      </c>
      <c r="L962">
        <f t="shared" si="96"/>
        <v>211.55322479960179</v>
      </c>
      <c r="M962">
        <f t="shared" si="95"/>
        <v>269.09058234667941</v>
      </c>
      <c r="N962">
        <f t="shared" si="97"/>
        <v>182.31058600880081</v>
      </c>
      <c r="O962" t="e">
        <f t="shared" si="98"/>
        <v>#N/A</v>
      </c>
      <c r="P962" t="e">
        <f t="shared" si="99"/>
        <v>#N/A</v>
      </c>
      <c r="Q962" t="e">
        <f t="shared" si="100"/>
        <v>#N/A</v>
      </c>
      <c r="U962">
        <f>C962/Navio!$J$4</f>
        <v>14.964026764115889</v>
      </c>
    </row>
    <row r="963" spans="1:21" x14ac:dyDescent="0.3">
      <c r="A963">
        <v>961</v>
      </c>
      <c r="B963" s="47">
        <v>557.85203905721471</v>
      </c>
      <c r="C963" s="46">
        <v>285.1366508584378</v>
      </c>
      <c r="D963" s="1">
        <v>24</v>
      </c>
      <c r="E963" s="1">
        <v>19</v>
      </c>
      <c r="F963" s="1">
        <v>18</v>
      </c>
      <c r="G963" s="1" t="s">
        <v>50</v>
      </c>
      <c r="H963" s="1" t="s">
        <v>50</v>
      </c>
      <c r="I963" s="1" t="s">
        <v>50</v>
      </c>
      <c r="J963" s="1" t="s">
        <v>50</v>
      </c>
      <c r="K963" s="1" t="s">
        <v>50</v>
      </c>
      <c r="L963">
        <f t="shared" si="96"/>
        <v>269.76484064861296</v>
      </c>
      <c r="M963">
        <f t="shared" ref="M963:M1026" si="102">VLOOKUP(E963,$Y$2:$Z$80,2)</f>
        <v>211.55322479960179</v>
      </c>
      <c r="N963">
        <f t="shared" si="97"/>
        <v>182.31058600880081</v>
      </c>
      <c r="O963" t="e">
        <f t="shared" si="98"/>
        <v>#N/A</v>
      </c>
      <c r="P963" t="e">
        <f t="shared" si="99"/>
        <v>#N/A</v>
      </c>
      <c r="Q963" t="e">
        <f t="shared" si="100"/>
        <v>#N/A</v>
      </c>
      <c r="U963">
        <f>C963/Navio!$J$4</f>
        <v>15.396160755778071</v>
      </c>
    </row>
    <row r="964" spans="1:21" x14ac:dyDescent="0.3">
      <c r="A964">
        <v>962</v>
      </c>
      <c r="B964" s="47">
        <v>511.15240005898539</v>
      </c>
      <c r="C964" s="46">
        <v>244.30740617115396</v>
      </c>
      <c r="D964" s="1">
        <v>21</v>
      </c>
      <c r="E964" s="1">
        <v>20</v>
      </c>
      <c r="F964" s="1">
        <v>18</v>
      </c>
      <c r="G964" s="1" t="s">
        <v>50</v>
      </c>
      <c r="H964" s="1" t="s">
        <v>50</v>
      </c>
      <c r="I964" s="1" t="s">
        <v>50</v>
      </c>
      <c r="J964" s="1" t="s">
        <v>50</v>
      </c>
      <c r="K964" s="1" t="s">
        <v>50</v>
      </c>
      <c r="L964">
        <f t="shared" si="96"/>
        <v>240.63200106476299</v>
      </c>
      <c r="M964">
        <f t="shared" si="102"/>
        <v>264.62943895626472</v>
      </c>
      <c r="N964">
        <f t="shared" si="97"/>
        <v>182.31058600880081</v>
      </c>
      <c r="O964" t="e">
        <f t="shared" si="98"/>
        <v>#N/A</v>
      </c>
      <c r="P964" t="e">
        <f t="shared" si="99"/>
        <v>#N/A</v>
      </c>
      <c r="Q964" t="e">
        <f t="shared" si="100"/>
        <v>#N/A</v>
      </c>
      <c r="U964">
        <f>C964/Navio!$J$4</f>
        <v>13.1915560062662</v>
      </c>
    </row>
    <row r="965" spans="1:21" x14ac:dyDescent="0.3">
      <c r="A965">
        <v>963</v>
      </c>
      <c r="B965" s="47">
        <v>561.56560697121256</v>
      </c>
      <c r="C965" s="46">
        <v>271.617977045727</v>
      </c>
      <c r="D965" s="1">
        <v>20</v>
      </c>
      <c r="E965" s="1">
        <v>22</v>
      </c>
      <c r="F965" s="1">
        <v>18</v>
      </c>
      <c r="G965" s="1" t="s">
        <v>50</v>
      </c>
      <c r="H965" s="1" t="s">
        <v>50</v>
      </c>
      <c r="I965" s="1" t="s">
        <v>50</v>
      </c>
      <c r="J965" s="1" t="s">
        <v>50</v>
      </c>
      <c r="K965" s="1" t="s">
        <v>50</v>
      </c>
      <c r="L965">
        <f t="shared" si="96"/>
        <v>264.62943895626472</v>
      </c>
      <c r="M965">
        <f t="shared" si="102"/>
        <v>291.04520797699013</v>
      </c>
      <c r="N965">
        <f t="shared" si="97"/>
        <v>182.31058600880081</v>
      </c>
      <c r="O965" t="e">
        <f t="shared" si="98"/>
        <v>#N/A</v>
      </c>
      <c r="P965" t="e">
        <f t="shared" si="99"/>
        <v>#N/A</v>
      </c>
      <c r="Q965" t="e">
        <f t="shared" si="100"/>
        <v>#N/A</v>
      </c>
      <c r="U965">
        <f>C965/Navio!$J$4</f>
        <v>14.666210135263993</v>
      </c>
    </row>
    <row r="966" spans="1:21" x14ac:dyDescent="0.3">
      <c r="A966">
        <v>964</v>
      </c>
      <c r="B966" s="47">
        <v>539.61098134090184</v>
      </c>
      <c r="C966" s="46">
        <v>276.94558404369627</v>
      </c>
      <c r="D966" s="1">
        <v>20</v>
      </c>
      <c r="E966" s="1">
        <v>23</v>
      </c>
      <c r="F966" s="1">
        <v>18</v>
      </c>
      <c r="G966" s="1" t="s">
        <v>50</v>
      </c>
      <c r="H966" s="1" t="s">
        <v>50</v>
      </c>
      <c r="I966" s="1" t="s">
        <v>50</v>
      </c>
      <c r="J966" s="1" t="s">
        <v>50</v>
      </c>
      <c r="K966" s="1" t="s">
        <v>50</v>
      </c>
      <c r="L966">
        <f t="shared" si="96"/>
        <v>264.62943895626472</v>
      </c>
      <c r="M966">
        <f t="shared" si="102"/>
        <v>269.09058234667941</v>
      </c>
      <c r="N966">
        <f t="shared" si="97"/>
        <v>182.31058600880081</v>
      </c>
      <c r="O966" t="e">
        <f t="shared" si="98"/>
        <v>#N/A</v>
      </c>
      <c r="P966" t="e">
        <f t="shared" si="99"/>
        <v>#N/A</v>
      </c>
      <c r="Q966" t="e">
        <f t="shared" si="100"/>
        <v>#N/A</v>
      </c>
      <c r="U966">
        <f>C966/Navio!$J$4</f>
        <v>14.953878148258458</v>
      </c>
    </row>
    <row r="967" spans="1:21" x14ac:dyDescent="0.3">
      <c r="A967">
        <v>965</v>
      </c>
      <c r="B967" s="47">
        <v>540.28523964283534</v>
      </c>
      <c r="C967" s="46">
        <v>281.89006600228561</v>
      </c>
      <c r="D967" s="1">
        <v>20</v>
      </c>
      <c r="E967" s="1">
        <v>24</v>
      </c>
      <c r="F967" s="1">
        <v>18</v>
      </c>
      <c r="G967" s="1" t="s">
        <v>50</v>
      </c>
      <c r="H967" s="1" t="s">
        <v>50</v>
      </c>
      <c r="I967" s="1" t="s">
        <v>50</v>
      </c>
      <c r="J967" s="1" t="s">
        <v>50</v>
      </c>
      <c r="K967" s="1" t="s">
        <v>50</v>
      </c>
      <c r="L967">
        <f t="shared" si="96"/>
        <v>264.62943895626472</v>
      </c>
      <c r="M967">
        <f t="shared" si="102"/>
        <v>269.76484064861296</v>
      </c>
      <c r="N967">
        <f t="shared" si="97"/>
        <v>182.31058600880081</v>
      </c>
      <c r="O967" t="e">
        <f t="shared" si="98"/>
        <v>#N/A</v>
      </c>
      <c r="P967" t="e">
        <f t="shared" si="99"/>
        <v>#N/A</v>
      </c>
      <c r="Q967" t="e">
        <f t="shared" si="100"/>
        <v>#N/A</v>
      </c>
      <c r="U967">
        <f>C967/Navio!$J$4</f>
        <v>15.220859046221941</v>
      </c>
    </row>
    <row r="968" spans="1:21" x14ac:dyDescent="0.3">
      <c r="A968">
        <v>966</v>
      </c>
      <c r="B968" s="47">
        <v>713.98779505055393</v>
      </c>
      <c r="C968" s="46">
        <v>271.58644651675365</v>
      </c>
      <c r="D968" s="1">
        <v>21</v>
      </c>
      <c r="E968" s="1">
        <v>22</v>
      </c>
      <c r="F968" s="1">
        <v>18</v>
      </c>
      <c r="G968" s="1" t="s">
        <v>50</v>
      </c>
      <c r="H968" s="1" t="s">
        <v>50</v>
      </c>
      <c r="I968" s="1" t="s">
        <v>50</v>
      </c>
      <c r="J968" s="1" t="s">
        <v>50</v>
      </c>
      <c r="K968" s="1" t="s">
        <v>50</v>
      </c>
      <c r="L968">
        <f t="shared" si="96"/>
        <v>240.63200106476299</v>
      </c>
      <c r="M968">
        <f t="shared" si="102"/>
        <v>291.04520797699013</v>
      </c>
      <c r="N968">
        <f t="shared" si="97"/>
        <v>182.31058600880081</v>
      </c>
      <c r="O968" t="e">
        <f t="shared" si="98"/>
        <v>#N/A</v>
      </c>
      <c r="P968" t="e">
        <f t="shared" si="99"/>
        <v>#N/A</v>
      </c>
      <c r="Q968" t="e">
        <f t="shared" si="100"/>
        <v>#N/A</v>
      </c>
      <c r="U968">
        <f>C968/Navio!$J$4</f>
        <v>14.664507621429568</v>
      </c>
    </row>
    <row r="969" spans="1:21" x14ac:dyDescent="0.3">
      <c r="A969">
        <v>967</v>
      </c>
      <c r="B969" s="47">
        <v>692.03316942024321</v>
      </c>
      <c r="C969" s="46">
        <v>277.09958491120233</v>
      </c>
      <c r="D969" s="1">
        <v>21</v>
      </c>
      <c r="E969" s="1">
        <v>23</v>
      </c>
      <c r="F969" s="1">
        <v>18</v>
      </c>
      <c r="G969" s="1" t="s">
        <v>50</v>
      </c>
      <c r="H969" s="1" t="s">
        <v>50</v>
      </c>
      <c r="I969" s="1" t="s">
        <v>50</v>
      </c>
      <c r="J969" s="1" t="s">
        <v>50</v>
      </c>
      <c r="K969" s="1" t="s">
        <v>50</v>
      </c>
      <c r="L969">
        <f t="shared" si="96"/>
        <v>240.63200106476299</v>
      </c>
      <c r="M969">
        <f t="shared" si="102"/>
        <v>269.09058234667941</v>
      </c>
      <c r="N969">
        <f t="shared" si="97"/>
        <v>182.31058600880081</v>
      </c>
      <c r="O969" t="e">
        <f t="shared" si="98"/>
        <v>#N/A</v>
      </c>
      <c r="P969" t="e">
        <f t="shared" si="99"/>
        <v>#N/A</v>
      </c>
      <c r="Q969" t="e">
        <f t="shared" si="100"/>
        <v>#N/A</v>
      </c>
      <c r="U969">
        <f>C969/Navio!$J$4</f>
        <v>14.962193537057177</v>
      </c>
    </row>
    <row r="970" spans="1:21" x14ac:dyDescent="0.3">
      <c r="A970">
        <v>968</v>
      </c>
      <c r="B970" s="47">
        <v>692.70742772217682</v>
      </c>
      <c r="C970" s="46">
        <v>281.91126900147856</v>
      </c>
      <c r="D970" s="1">
        <v>21</v>
      </c>
      <c r="E970" s="1">
        <v>24</v>
      </c>
      <c r="F970" s="1">
        <v>18</v>
      </c>
      <c r="G970" s="1" t="s">
        <v>50</v>
      </c>
      <c r="H970" s="1" t="s">
        <v>50</v>
      </c>
      <c r="I970" s="1" t="s">
        <v>50</v>
      </c>
      <c r="J970" s="1" t="s">
        <v>50</v>
      </c>
      <c r="K970" s="1" t="s">
        <v>50</v>
      </c>
      <c r="L970">
        <f t="shared" si="96"/>
        <v>240.63200106476299</v>
      </c>
      <c r="M970">
        <f t="shared" si="102"/>
        <v>269.76484064861296</v>
      </c>
      <c r="N970">
        <f t="shared" si="97"/>
        <v>182.31058600880081</v>
      </c>
      <c r="O970" t="e">
        <f t="shared" si="98"/>
        <v>#N/A</v>
      </c>
      <c r="P970" t="e">
        <f t="shared" si="99"/>
        <v>#N/A</v>
      </c>
      <c r="Q970" t="e">
        <f t="shared" si="100"/>
        <v>#N/A</v>
      </c>
      <c r="U970">
        <f>C970/Navio!$J$4</f>
        <v>15.222003917577821</v>
      </c>
    </row>
    <row r="971" spans="1:21" x14ac:dyDescent="0.3">
      <c r="A971">
        <v>969</v>
      </c>
      <c r="B971" s="47">
        <v>742.44637633247032</v>
      </c>
      <c r="C971" s="46">
        <v>281.66060658253747</v>
      </c>
      <c r="D971" s="1">
        <v>22</v>
      </c>
      <c r="E971" s="1">
        <v>23</v>
      </c>
      <c r="F971" s="1">
        <v>18</v>
      </c>
      <c r="G971" s="1" t="s">
        <v>50</v>
      </c>
      <c r="H971" s="1" t="s">
        <v>50</v>
      </c>
      <c r="I971" s="1" t="s">
        <v>50</v>
      </c>
      <c r="J971" s="1" t="s">
        <v>50</v>
      </c>
      <c r="K971" s="1" t="s">
        <v>50</v>
      </c>
      <c r="L971">
        <f t="shared" si="96"/>
        <v>291.04520797699013</v>
      </c>
      <c r="M971">
        <f t="shared" si="102"/>
        <v>269.09058234667941</v>
      </c>
      <c r="N971">
        <f t="shared" si="97"/>
        <v>182.31058600880081</v>
      </c>
      <c r="O971" t="e">
        <f t="shared" si="98"/>
        <v>#N/A</v>
      </c>
      <c r="P971" t="e">
        <f t="shared" si="99"/>
        <v>#N/A</v>
      </c>
      <c r="Q971" t="e">
        <f t="shared" si="100"/>
        <v>#N/A</v>
      </c>
      <c r="U971">
        <f>C971/Navio!$J$4</f>
        <v>15.208469218036983</v>
      </c>
    </row>
    <row r="972" spans="1:21" x14ac:dyDescent="0.3">
      <c r="A972">
        <v>970</v>
      </c>
      <c r="B972" s="47">
        <v>743.12063463440393</v>
      </c>
      <c r="C972" s="46">
        <v>282.39167265361738</v>
      </c>
      <c r="D972" s="1">
        <v>22</v>
      </c>
      <c r="E972" s="1">
        <v>24</v>
      </c>
      <c r="F972" s="1">
        <v>18</v>
      </c>
      <c r="G972" s="1" t="s">
        <v>50</v>
      </c>
      <c r="H972" s="1" t="s">
        <v>50</v>
      </c>
      <c r="I972" s="1" t="s">
        <v>50</v>
      </c>
      <c r="J972" s="1" t="s">
        <v>50</v>
      </c>
      <c r="K972" s="1" t="s">
        <v>50</v>
      </c>
      <c r="L972">
        <f t="shared" si="96"/>
        <v>291.04520797699013</v>
      </c>
      <c r="M972">
        <f t="shared" si="102"/>
        <v>269.76484064861296</v>
      </c>
      <c r="N972">
        <f t="shared" si="97"/>
        <v>182.31058600880081</v>
      </c>
      <c r="O972" t="e">
        <f t="shared" si="98"/>
        <v>#N/A</v>
      </c>
      <c r="P972" t="e">
        <f t="shared" si="99"/>
        <v>#N/A</v>
      </c>
      <c r="Q972" t="e">
        <f t="shared" si="100"/>
        <v>#N/A</v>
      </c>
      <c r="U972">
        <f>C972/Navio!$J$4</f>
        <v>15.247943662025699</v>
      </c>
    </row>
    <row r="973" spans="1:21" x14ac:dyDescent="0.3">
      <c r="A973">
        <v>971</v>
      </c>
      <c r="B973" s="47">
        <v>721.16600900409321</v>
      </c>
      <c r="C973" s="46">
        <v>284.8382273158503</v>
      </c>
      <c r="D973" s="1">
        <v>24</v>
      </c>
      <c r="E973" s="1">
        <v>23</v>
      </c>
      <c r="F973" s="1">
        <v>18</v>
      </c>
      <c r="G973" s="1" t="s">
        <v>50</v>
      </c>
      <c r="H973" s="1" t="s">
        <v>50</v>
      </c>
      <c r="I973" s="1" t="s">
        <v>50</v>
      </c>
      <c r="J973" s="1" t="s">
        <v>50</v>
      </c>
      <c r="K973" s="1" t="s">
        <v>50</v>
      </c>
      <c r="L973">
        <f t="shared" ref="L973:L1036" si="103">VLOOKUP(D973,$Y$2:$Z$80,2)</f>
        <v>269.76484064861296</v>
      </c>
      <c r="M973">
        <f t="shared" si="102"/>
        <v>269.09058234667941</v>
      </c>
      <c r="N973">
        <f t="shared" ref="N973:N1036" si="104">VLOOKUP(F973,$Y$2:$Z$80,2)</f>
        <v>182.31058600880081</v>
      </c>
      <c r="O973" t="e">
        <f t="shared" ref="O973:O1036" si="105">VLOOKUP(G973,$Y$2:$Z$80,2)</f>
        <v>#N/A</v>
      </c>
      <c r="P973" t="e">
        <f t="shared" ref="P973:P1036" si="106">VLOOKUP(H973,$Y$2:$Z$80,2)</f>
        <v>#N/A</v>
      </c>
      <c r="Q973" t="e">
        <f t="shared" ref="Q973:Q1036" si="107">VLOOKUP(I973,$Y$2:$Z$80,2)</f>
        <v>#N/A</v>
      </c>
      <c r="U973">
        <f>C973/Navio!$J$4</f>
        <v>15.38004715964389</v>
      </c>
    </row>
    <row r="974" spans="1:21" x14ac:dyDescent="0.3">
      <c r="A974">
        <v>972</v>
      </c>
      <c r="B974" s="47">
        <v>434.61842644998546</v>
      </c>
      <c r="C974" s="46">
        <v>248.21235769535349</v>
      </c>
      <c r="D974" s="1">
        <v>21</v>
      </c>
      <c r="E974" s="1">
        <v>20</v>
      </c>
      <c r="F974" s="1">
        <v>19</v>
      </c>
      <c r="G974" s="1" t="s">
        <v>50</v>
      </c>
      <c r="H974" s="1" t="s">
        <v>50</v>
      </c>
      <c r="I974" s="1" t="s">
        <v>50</v>
      </c>
      <c r="J974" s="1" t="s">
        <v>50</v>
      </c>
      <c r="K974" s="1" t="s">
        <v>50</v>
      </c>
      <c r="L974">
        <f t="shared" si="103"/>
        <v>240.63200106476299</v>
      </c>
      <c r="M974">
        <f t="shared" si="102"/>
        <v>264.62943895626472</v>
      </c>
      <c r="N974">
        <f t="shared" si="104"/>
        <v>211.55322479960179</v>
      </c>
      <c r="O974" t="e">
        <f t="shared" si="105"/>
        <v>#N/A</v>
      </c>
      <c r="P974" t="e">
        <f t="shared" si="106"/>
        <v>#N/A</v>
      </c>
      <c r="Q974" t="e">
        <f t="shared" si="107"/>
        <v>#N/A</v>
      </c>
      <c r="U974">
        <f>C974/Navio!$J$4</f>
        <v>13.402406702692263</v>
      </c>
    </row>
    <row r="975" spans="1:21" x14ac:dyDescent="0.3">
      <c r="A975">
        <v>973</v>
      </c>
      <c r="B975" s="47">
        <v>485.03163336221257</v>
      </c>
      <c r="C975" s="46">
        <v>273.76102751224869</v>
      </c>
      <c r="D975" s="1">
        <v>20</v>
      </c>
      <c r="E975" s="1">
        <v>22</v>
      </c>
      <c r="F975" s="1">
        <v>19</v>
      </c>
      <c r="G975" s="1" t="s">
        <v>50</v>
      </c>
      <c r="H975" s="1" t="s">
        <v>50</v>
      </c>
      <c r="I975" s="1" t="s">
        <v>50</v>
      </c>
      <c r="J975" s="1" t="s">
        <v>50</v>
      </c>
      <c r="K975" s="1" t="s">
        <v>50</v>
      </c>
      <c r="L975">
        <f t="shared" si="103"/>
        <v>264.62943895626472</v>
      </c>
      <c r="M975">
        <f t="shared" si="102"/>
        <v>291.04520797699013</v>
      </c>
      <c r="N975">
        <f t="shared" si="104"/>
        <v>211.55322479960179</v>
      </c>
      <c r="O975" t="e">
        <f t="shared" si="105"/>
        <v>#N/A</v>
      </c>
      <c r="P975" t="e">
        <f t="shared" si="106"/>
        <v>#N/A</v>
      </c>
      <c r="Q975" t="e">
        <f t="shared" si="107"/>
        <v>#N/A</v>
      </c>
      <c r="U975">
        <f>C975/Navio!$J$4</f>
        <v>14.78192570318898</v>
      </c>
    </row>
    <row r="976" spans="1:21" x14ac:dyDescent="0.3">
      <c r="A976">
        <v>974</v>
      </c>
      <c r="B976" s="47">
        <v>463.07700773190186</v>
      </c>
      <c r="C976" s="46">
        <v>277.76641484872482</v>
      </c>
      <c r="D976" s="1">
        <v>20</v>
      </c>
      <c r="E976" s="1">
        <v>23</v>
      </c>
      <c r="F976" s="1">
        <v>19</v>
      </c>
      <c r="G976" s="1" t="s">
        <v>50</v>
      </c>
      <c r="H976" s="1" t="s">
        <v>50</v>
      </c>
      <c r="I976" s="1" t="s">
        <v>50</v>
      </c>
      <c r="J976" s="1" t="s">
        <v>50</v>
      </c>
      <c r="K976" s="1" t="s">
        <v>50</v>
      </c>
      <c r="L976">
        <f t="shared" si="103"/>
        <v>264.62943895626472</v>
      </c>
      <c r="M976">
        <f t="shared" si="102"/>
        <v>269.09058234667941</v>
      </c>
      <c r="N976">
        <f t="shared" si="104"/>
        <v>211.55322479960179</v>
      </c>
      <c r="O976" t="e">
        <f t="shared" si="105"/>
        <v>#N/A</v>
      </c>
      <c r="P976" t="e">
        <f t="shared" si="106"/>
        <v>#N/A</v>
      </c>
      <c r="Q976" t="e">
        <f t="shared" si="107"/>
        <v>#N/A</v>
      </c>
      <c r="U976">
        <f>C976/Navio!$J$4</f>
        <v>14.998199504315167</v>
      </c>
    </row>
    <row r="977" spans="1:21" x14ac:dyDescent="0.3">
      <c r="A977">
        <v>975</v>
      </c>
      <c r="B977" s="47">
        <v>463.75126603383541</v>
      </c>
      <c r="C977" s="46">
        <v>283.3868445387601</v>
      </c>
      <c r="D977" s="1">
        <v>20</v>
      </c>
      <c r="E977" s="1">
        <v>24</v>
      </c>
      <c r="F977" s="1">
        <v>19</v>
      </c>
      <c r="G977" s="1" t="s">
        <v>50</v>
      </c>
      <c r="H977" s="1" t="s">
        <v>50</v>
      </c>
      <c r="I977" s="1" t="s">
        <v>50</v>
      </c>
      <c r="J977" s="1" t="s">
        <v>50</v>
      </c>
      <c r="K977" s="1" t="s">
        <v>50</v>
      </c>
      <c r="L977">
        <f t="shared" si="103"/>
        <v>264.62943895626472</v>
      </c>
      <c r="M977">
        <f t="shared" si="102"/>
        <v>269.76484064861296</v>
      </c>
      <c r="N977">
        <f t="shared" si="104"/>
        <v>211.55322479960179</v>
      </c>
      <c r="O977" t="e">
        <f t="shared" si="105"/>
        <v>#N/A</v>
      </c>
      <c r="P977" t="e">
        <f t="shared" si="106"/>
        <v>#N/A</v>
      </c>
      <c r="Q977" t="e">
        <f t="shared" si="107"/>
        <v>#N/A</v>
      </c>
      <c r="U977">
        <f>C977/Navio!$J$4</f>
        <v>15.301678691448119</v>
      </c>
    </row>
    <row r="978" spans="1:21" x14ac:dyDescent="0.3">
      <c r="A978">
        <v>976</v>
      </c>
      <c r="B978" s="47">
        <v>637.45382144155406</v>
      </c>
      <c r="C978" s="46">
        <v>273.72949698327534</v>
      </c>
      <c r="D978" s="1">
        <v>21</v>
      </c>
      <c r="E978" s="1">
        <v>22</v>
      </c>
      <c r="F978" s="1">
        <v>19</v>
      </c>
      <c r="G978" s="1" t="s">
        <v>50</v>
      </c>
      <c r="H978" s="1" t="s">
        <v>50</v>
      </c>
      <c r="I978" s="1" t="s">
        <v>50</v>
      </c>
      <c r="J978" s="1" t="s">
        <v>50</v>
      </c>
      <c r="K978" s="1" t="s">
        <v>50</v>
      </c>
      <c r="L978">
        <f t="shared" si="103"/>
        <v>240.63200106476299</v>
      </c>
      <c r="M978">
        <f t="shared" si="102"/>
        <v>291.04520797699013</v>
      </c>
      <c r="N978">
        <f t="shared" si="104"/>
        <v>211.55322479960179</v>
      </c>
      <c r="O978" t="e">
        <f t="shared" si="105"/>
        <v>#N/A</v>
      </c>
      <c r="P978" t="e">
        <f t="shared" si="106"/>
        <v>#N/A</v>
      </c>
      <c r="Q978" t="e">
        <f t="shared" si="107"/>
        <v>#N/A</v>
      </c>
      <c r="U978">
        <f>C978/Navio!$J$4</f>
        <v>14.780223189354555</v>
      </c>
    </row>
    <row r="979" spans="1:21" x14ac:dyDescent="0.3">
      <c r="A979">
        <v>977</v>
      </c>
      <c r="B979" s="47">
        <v>615.49919581124334</v>
      </c>
      <c r="C979" s="46">
        <v>277.92041571623093</v>
      </c>
      <c r="D979" s="1">
        <v>21</v>
      </c>
      <c r="E979" s="1">
        <v>23</v>
      </c>
      <c r="F979" s="1">
        <v>19</v>
      </c>
      <c r="G979" s="1" t="s">
        <v>50</v>
      </c>
      <c r="H979" s="1" t="s">
        <v>50</v>
      </c>
      <c r="I979" s="1" t="s">
        <v>50</v>
      </c>
      <c r="J979" s="1" t="s">
        <v>50</v>
      </c>
      <c r="K979" s="1" t="s">
        <v>50</v>
      </c>
      <c r="L979">
        <f t="shared" si="103"/>
        <v>240.63200106476299</v>
      </c>
      <c r="M979">
        <f t="shared" si="102"/>
        <v>269.09058234667941</v>
      </c>
      <c r="N979">
        <f t="shared" si="104"/>
        <v>211.55322479960179</v>
      </c>
      <c r="O979" t="e">
        <f t="shared" si="105"/>
        <v>#N/A</v>
      </c>
      <c r="P979" t="e">
        <f t="shared" si="106"/>
        <v>#N/A</v>
      </c>
      <c r="Q979" t="e">
        <f t="shared" si="107"/>
        <v>#N/A</v>
      </c>
      <c r="U979">
        <f>C979/Navio!$J$4</f>
        <v>15.006514893113888</v>
      </c>
    </row>
    <row r="980" spans="1:21" x14ac:dyDescent="0.3">
      <c r="A980">
        <v>978</v>
      </c>
      <c r="B980" s="47">
        <v>616.17345411317683</v>
      </c>
      <c r="C980" s="46">
        <v>283.40804753795317</v>
      </c>
      <c r="D980" s="1">
        <v>21</v>
      </c>
      <c r="E980" s="1">
        <v>24</v>
      </c>
      <c r="F980" s="1">
        <v>19</v>
      </c>
      <c r="G980" s="1" t="s">
        <v>50</v>
      </c>
      <c r="H980" s="1" t="s">
        <v>50</v>
      </c>
      <c r="I980" s="1" t="s">
        <v>50</v>
      </c>
      <c r="J980" s="1" t="s">
        <v>50</v>
      </c>
      <c r="K980" s="1" t="s">
        <v>50</v>
      </c>
      <c r="L980">
        <f t="shared" si="103"/>
        <v>240.63200106476299</v>
      </c>
      <c r="M980">
        <f t="shared" si="102"/>
        <v>269.76484064861296</v>
      </c>
      <c r="N980">
        <f t="shared" si="104"/>
        <v>211.55322479960179</v>
      </c>
      <c r="O980" t="e">
        <f t="shared" si="105"/>
        <v>#N/A</v>
      </c>
      <c r="P980" t="e">
        <f t="shared" si="106"/>
        <v>#N/A</v>
      </c>
      <c r="Q980" t="e">
        <f t="shared" si="107"/>
        <v>#N/A</v>
      </c>
      <c r="U980">
        <f>C980/Navio!$J$4</f>
        <v>15.302823562804004</v>
      </c>
    </row>
    <row r="981" spans="1:21" x14ac:dyDescent="0.3">
      <c r="A981">
        <v>979</v>
      </c>
      <c r="B981" s="47">
        <v>665.91240272347045</v>
      </c>
      <c r="C981" s="46">
        <v>282.48143738756607</v>
      </c>
      <c r="D981" s="1">
        <v>22</v>
      </c>
      <c r="E981" s="1">
        <v>23</v>
      </c>
      <c r="F981" s="1">
        <v>19</v>
      </c>
      <c r="G981" s="1" t="s">
        <v>50</v>
      </c>
      <c r="H981" s="1" t="s">
        <v>50</v>
      </c>
      <c r="I981" s="1" t="s">
        <v>50</v>
      </c>
      <c r="J981" s="1" t="s">
        <v>50</v>
      </c>
      <c r="K981" s="1" t="s">
        <v>50</v>
      </c>
      <c r="L981">
        <f t="shared" si="103"/>
        <v>291.04520797699013</v>
      </c>
      <c r="M981">
        <f t="shared" si="102"/>
        <v>269.09058234667941</v>
      </c>
      <c r="N981">
        <f t="shared" si="104"/>
        <v>211.55322479960179</v>
      </c>
      <c r="O981" t="e">
        <f t="shared" si="105"/>
        <v>#N/A</v>
      </c>
      <c r="P981" t="e">
        <f t="shared" si="106"/>
        <v>#N/A</v>
      </c>
      <c r="Q981" t="e">
        <f t="shared" si="107"/>
        <v>#N/A</v>
      </c>
      <c r="U981">
        <f>C981/Navio!$J$4</f>
        <v>15.252790574093696</v>
      </c>
    </row>
    <row r="982" spans="1:21" x14ac:dyDescent="0.3">
      <c r="A982">
        <v>980</v>
      </c>
      <c r="B982" s="47">
        <v>666.58666102540394</v>
      </c>
      <c r="C982" s="46">
        <v>283.88845119009193</v>
      </c>
      <c r="D982" s="1">
        <v>22</v>
      </c>
      <c r="E982" s="1">
        <v>24</v>
      </c>
      <c r="F982" s="1">
        <v>19</v>
      </c>
      <c r="G982" s="1" t="s">
        <v>50</v>
      </c>
      <c r="H982" s="1" t="s">
        <v>50</v>
      </c>
      <c r="I982" s="1" t="s">
        <v>50</v>
      </c>
      <c r="J982" s="1" t="s">
        <v>50</v>
      </c>
      <c r="K982" s="1" t="s">
        <v>50</v>
      </c>
      <c r="L982">
        <f t="shared" si="103"/>
        <v>291.04520797699013</v>
      </c>
      <c r="M982">
        <f t="shared" si="102"/>
        <v>269.76484064861296</v>
      </c>
      <c r="N982">
        <f t="shared" si="104"/>
        <v>211.55322479960179</v>
      </c>
      <c r="O982" t="e">
        <f t="shared" si="105"/>
        <v>#N/A</v>
      </c>
      <c r="P982" t="e">
        <f t="shared" si="106"/>
        <v>#N/A</v>
      </c>
      <c r="Q982" t="e">
        <f t="shared" si="107"/>
        <v>#N/A</v>
      </c>
      <c r="U982">
        <f>C982/Navio!$J$4</f>
        <v>15.328763307251881</v>
      </c>
    </row>
    <row r="983" spans="1:21" x14ac:dyDescent="0.3">
      <c r="A983">
        <v>981</v>
      </c>
      <c r="B983" s="47">
        <v>644.63203539509323</v>
      </c>
      <c r="C983" s="46">
        <v>285.65905812087885</v>
      </c>
      <c r="D983" s="1">
        <v>24</v>
      </c>
      <c r="E983" s="1">
        <v>23</v>
      </c>
      <c r="F983" s="1">
        <v>19</v>
      </c>
      <c r="G983" s="1" t="s">
        <v>50</v>
      </c>
      <c r="H983" s="1" t="s">
        <v>50</v>
      </c>
      <c r="I983" s="1" t="s">
        <v>50</v>
      </c>
      <c r="J983" s="1" t="s">
        <v>50</v>
      </c>
      <c r="K983" s="1" t="s">
        <v>50</v>
      </c>
      <c r="L983">
        <f t="shared" si="103"/>
        <v>269.76484064861296</v>
      </c>
      <c r="M983">
        <f t="shared" si="102"/>
        <v>269.09058234667941</v>
      </c>
      <c r="N983">
        <f t="shared" si="104"/>
        <v>211.55322479960179</v>
      </c>
      <c r="O983" t="e">
        <f t="shared" si="105"/>
        <v>#N/A</v>
      </c>
      <c r="P983" t="e">
        <f t="shared" si="106"/>
        <v>#N/A</v>
      </c>
      <c r="Q983" t="e">
        <f t="shared" si="107"/>
        <v>#N/A</v>
      </c>
      <c r="U983">
        <f>C983/Navio!$J$4</f>
        <v>15.424368515700598</v>
      </c>
    </row>
    <row r="984" spans="1:21" x14ac:dyDescent="0.3">
      <c r="A984">
        <v>982</v>
      </c>
      <c r="B984" s="47">
        <v>619.88702202717468</v>
      </c>
      <c r="C984" s="46">
        <v>267.58130660479753</v>
      </c>
      <c r="D984" s="1">
        <v>21</v>
      </c>
      <c r="E984" s="1">
        <v>22</v>
      </c>
      <c r="F984" s="1">
        <v>20</v>
      </c>
      <c r="G984" s="1" t="s">
        <v>50</v>
      </c>
      <c r="H984" s="1" t="s">
        <v>50</v>
      </c>
      <c r="I984" s="1" t="s">
        <v>50</v>
      </c>
      <c r="J984" s="1" t="s">
        <v>50</v>
      </c>
      <c r="K984" s="1" t="s">
        <v>50</v>
      </c>
      <c r="L984">
        <f t="shared" si="103"/>
        <v>240.63200106476299</v>
      </c>
      <c r="M984">
        <f t="shared" si="102"/>
        <v>291.04520797699013</v>
      </c>
      <c r="N984">
        <f t="shared" si="104"/>
        <v>264.62943895626472</v>
      </c>
      <c r="O984" t="e">
        <f t="shared" si="105"/>
        <v>#N/A</v>
      </c>
      <c r="P984" t="e">
        <f t="shared" si="106"/>
        <v>#N/A</v>
      </c>
      <c r="Q984" t="e">
        <f t="shared" si="107"/>
        <v>#N/A</v>
      </c>
      <c r="U984">
        <f>C984/Navio!$J$4</f>
        <v>14.448247180170217</v>
      </c>
    </row>
    <row r="985" spans="1:21" x14ac:dyDescent="0.3">
      <c r="A985">
        <v>983</v>
      </c>
      <c r="B985" s="47">
        <v>597.93239639686396</v>
      </c>
      <c r="C985" s="46">
        <v>276.91699824065904</v>
      </c>
      <c r="D985" s="1">
        <v>23</v>
      </c>
      <c r="E985" s="1">
        <v>21</v>
      </c>
      <c r="F985" s="1">
        <v>20</v>
      </c>
      <c r="G985" s="1" t="s">
        <v>50</v>
      </c>
      <c r="H985" s="1" t="s">
        <v>50</v>
      </c>
      <c r="I985" s="1" t="s">
        <v>50</v>
      </c>
      <c r="J985" s="1" t="s">
        <v>50</v>
      </c>
      <c r="K985" s="1" t="s">
        <v>50</v>
      </c>
      <c r="L985">
        <f t="shared" si="103"/>
        <v>269.09058234667941</v>
      </c>
      <c r="M985">
        <f t="shared" si="102"/>
        <v>240.63200106476299</v>
      </c>
      <c r="N985">
        <f t="shared" si="104"/>
        <v>264.62943895626472</v>
      </c>
      <c r="O985" t="e">
        <f t="shared" si="105"/>
        <v>#N/A</v>
      </c>
      <c r="P985" t="e">
        <f t="shared" si="106"/>
        <v>#N/A</v>
      </c>
      <c r="Q985" t="e">
        <f t="shared" si="107"/>
        <v>#N/A</v>
      </c>
      <c r="U985">
        <f>C985/Navio!$J$4</f>
        <v>14.952334637041751</v>
      </c>
    </row>
    <row r="986" spans="1:21" x14ac:dyDescent="0.3">
      <c r="A986">
        <v>984</v>
      </c>
      <c r="B986" s="47">
        <v>598.60665469879757</v>
      </c>
      <c r="C986" s="46">
        <v>279.74580043410725</v>
      </c>
      <c r="D986" s="1">
        <v>21</v>
      </c>
      <c r="E986" s="1">
        <v>24</v>
      </c>
      <c r="F986" s="1">
        <v>20</v>
      </c>
      <c r="G986" s="1" t="s">
        <v>50</v>
      </c>
      <c r="H986" s="1" t="s">
        <v>50</v>
      </c>
      <c r="I986" s="1" t="s">
        <v>50</v>
      </c>
      <c r="J986" s="1" t="s">
        <v>50</v>
      </c>
      <c r="K986" s="1" t="s">
        <v>50</v>
      </c>
      <c r="L986">
        <f t="shared" si="103"/>
        <v>240.63200106476299</v>
      </c>
      <c r="M986">
        <f t="shared" si="102"/>
        <v>269.76484064861296</v>
      </c>
      <c r="N986">
        <f t="shared" si="104"/>
        <v>264.62943895626472</v>
      </c>
      <c r="O986" t="e">
        <f t="shared" si="105"/>
        <v>#N/A</v>
      </c>
      <c r="P986" t="e">
        <f t="shared" si="106"/>
        <v>#N/A</v>
      </c>
      <c r="Q986" t="e">
        <f t="shared" si="107"/>
        <v>#N/A</v>
      </c>
      <c r="U986">
        <f>C986/Navio!$J$4</f>
        <v>15.105077867999629</v>
      </c>
    </row>
    <row r="987" spans="1:21" x14ac:dyDescent="0.3">
      <c r="A987">
        <v>985</v>
      </c>
      <c r="B987" s="47">
        <v>648.34560330909108</v>
      </c>
      <c r="C987" s="46">
        <v>281.30941410596557</v>
      </c>
      <c r="D987" s="1">
        <v>23</v>
      </c>
      <c r="E987" s="1">
        <v>22</v>
      </c>
      <c r="F987" s="1">
        <v>20</v>
      </c>
      <c r="G987" s="1" t="s">
        <v>50</v>
      </c>
      <c r="H987" s="1" t="s">
        <v>50</v>
      </c>
      <c r="I987" s="1" t="s">
        <v>50</v>
      </c>
      <c r="J987" s="1" t="s">
        <v>50</v>
      </c>
      <c r="K987" s="1" t="s">
        <v>50</v>
      </c>
      <c r="L987">
        <f t="shared" si="103"/>
        <v>269.09058234667941</v>
      </c>
      <c r="M987">
        <f t="shared" si="102"/>
        <v>291.04520797699013</v>
      </c>
      <c r="N987">
        <f t="shared" si="104"/>
        <v>264.62943895626472</v>
      </c>
      <c r="O987" t="e">
        <f t="shared" si="105"/>
        <v>#N/A</v>
      </c>
      <c r="P987" t="e">
        <f t="shared" si="106"/>
        <v>#N/A</v>
      </c>
      <c r="Q987" t="e">
        <f t="shared" si="107"/>
        <v>#N/A</v>
      </c>
      <c r="U987">
        <f>C987/Navio!$J$4</f>
        <v>15.189506324949608</v>
      </c>
    </row>
    <row r="988" spans="1:21" x14ac:dyDescent="0.3">
      <c r="A988">
        <v>986</v>
      </c>
      <c r="B988" s="47">
        <v>649.01986161102468</v>
      </c>
      <c r="C988" s="46">
        <v>280.22620408624601</v>
      </c>
      <c r="D988" s="1">
        <v>22</v>
      </c>
      <c r="E988" s="1">
        <v>24</v>
      </c>
      <c r="F988" s="1">
        <v>20</v>
      </c>
      <c r="G988" s="1" t="s">
        <v>50</v>
      </c>
      <c r="H988" s="1" t="s">
        <v>50</v>
      </c>
      <c r="I988" s="1" t="s">
        <v>50</v>
      </c>
      <c r="J988" s="1" t="s">
        <v>50</v>
      </c>
      <c r="K988" s="1" t="s">
        <v>50</v>
      </c>
      <c r="L988">
        <f t="shared" si="103"/>
        <v>291.04520797699013</v>
      </c>
      <c r="M988">
        <f t="shared" si="102"/>
        <v>269.76484064861296</v>
      </c>
      <c r="N988">
        <f t="shared" si="104"/>
        <v>264.62943895626472</v>
      </c>
      <c r="O988" t="e">
        <f t="shared" si="105"/>
        <v>#N/A</v>
      </c>
      <c r="P988" t="e">
        <f t="shared" si="106"/>
        <v>#N/A</v>
      </c>
      <c r="Q988" t="e">
        <f t="shared" si="107"/>
        <v>#N/A</v>
      </c>
      <c r="U988">
        <f>C988/Navio!$J$4</f>
        <v>15.131017612447506</v>
      </c>
    </row>
    <row r="989" spans="1:21" x14ac:dyDescent="0.3">
      <c r="A989">
        <v>987</v>
      </c>
      <c r="B989" s="47">
        <v>627.06523598071396</v>
      </c>
      <c r="C989" s="46">
        <v>284.43886210671479</v>
      </c>
      <c r="D989" s="1">
        <v>23</v>
      </c>
      <c r="E989" s="1">
        <v>24</v>
      </c>
      <c r="F989" s="1">
        <v>20</v>
      </c>
      <c r="G989" s="1" t="s">
        <v>50</v>
      </c>
      <c r="H989" s="1" t="s">
        <v>50</v>
      </c>
      <c r="I989" s="1" t="s">
        <v>50</v>
      </c>
      <c r="J989" s="1" t="s">
        <v>50</v>
      </c>
      <c r="K989" s="1" t="s">
        <v>50</v>
      </c>
      <c r="L989">
        <f t="shared" si="103"/>
        <v>269.09058234667941</v>
      </c>
      <c r="M989">
        <f t="shared" si="102"/>
        <v>269.76484064861296</v>
      </c>
      <c r="N989">
        <f t="shared" si="104"/>
        <v>264.62943895626472</v>
      </c>
      <c r="O989" t="e">
        <f t="shared" si="105"/>
        <v>#N/A</v>
      </c>
      <c r="P989" t="e">
        <f t="shared" si="106"/>
        <v>#N/A</v>
      </c>
      <c r="Q989" t="e">
        <f t="shared" si="107"/>
        <v>#N/A</v>
      </c>
      <c r="U989">
        <f>C989/Navio!$J$4</f>
        <v>15.358483144840449</v>
      </c>
    </row>
    <row r="990" spans="1:21" x14ac:dyDescent="0.3">
      <c r="A990">
        <v>988</v>
      </c>
      <c r="B990" s="47">
        <v>800.76779138843256</v>
      </c>
      <c r="C990" s="46">
        <v>281.27788357699228</v>
      </c>
      <c r="D990" s="1">
        <v>23</v>
      </c>
      <c r="E990" s="1">
        <v>22</v>
      </c>
      <c r="F990" s="1">
        <v>21</v>
      </c>
      <c r="G990" s="1" t="s">
        <v>50</v>
      </c>
      <c r="H990" s="1" t="s">
        <v>50</v>
      </c>
      <c r="I990" s="1" t="s">
        <v>50</v>
      </c>
      <c r="J990" s="1" t="s">
        <v>50</v>
      </c>
      <c r="K990" s="1" t="s">
        <v>50</v>
      </c>
      <c r="L990">
        <f t="shared" si="103"/>
        <v>269.09058234667941</v>
      </c>
      <c r="M990">
        <f t="shared" si="102"/>
        <v>291.04520797699013</v>
      </c>
      <c r="N990">
        <f t="shared" si="104"/>
        <v>240.63200106476299</v>
      </c>
      <c r="O990" t="e">
        <f t="shared" si="105"/>
        <v>#N/A</v>
      </c>
      <c r="P990" t="e">
        <f t="shared" si="106"/>
        <v>#N/A</v>
      </c>
      <c r="Q990" t="e">
        <f t="shared" si="107"/>
        <v>#N/A</v>
      </c>
      <c r="U990">
        <f>C990/Navio!$J$4</f>
        <v>15.187803811115186</v>
      </c>
    </row>
    <row r="991" spans="1:21" x14ac:dyDescent="0.3">
      <c r="A991">
        <v>989</v>
      </c>
      <c r="B991" s="47">
        <v>801.44204969036605</v>
      </c>
      <c r="C991" s="46">
        <v>280.24284628983634</v>
      </c>
      <c r="D991" s="1">
        <v>24</v>
      </c>
      <c r="E991" s="1">
        <v>22</v>
      </c>
      <c r="F991" s="1">
        <v>21</v>
      </c>
      <c r="G991" s="1" t="s">
        <v>50</v>
      </c>
      <c r="H991" s="1" t="s">
        <v>50</v>
      </c>
      <c r="I991" s="1" t="s">
        <v>50</v>
      </c>
      <c r="J991" s="1" t="s">
        <v>50</v>
      </c>
      <c r="K991" s="1" t="s">
        <v>50</v>
      </c>
      <c r="L991">
        <f t="shared" si="103"/>
        <v>269.76484064861296</v>
      </c>
      <c r="M991">
        <f t="shared" si="102"/>
        <v>291.04520797699013</v>
      </c>
      <c r="N991">
        <f t="shared" si="104"/>
        <v>240.63200106476299</v>
      </c>
      <c r="O991" t="e">
        <f t="shared" si="105"/>
        <v>#N/A</v>
      </c>
      <c r="P991" t="e">
        <f t="shared" si="106"/>
        <v>#N/A</v>
      </c>
      <c r="Q991" t="e">
        <f t="shared" si="107"/>
        <v>#N/A</v>
      </c>
      <c r="U991">
        <f>C991/Navio!$J$4</f>
        <v>15.131916220329149</v>
      </c>
    </row>
    <row r="992" spans="1:21" x14ac:dyDescent="0.3">
      <c r="A992">
        <v>990</v>
      </c>
      <c r="B992" s="47">
        <v>779.48742406005533</v>
      </c>
      <c r="C992" s="46">
        <v>284.4600651059078</v>
      </c>
      <c r="D992" s="1">
        <v>23</v>
      </c>
      <c r="E992" s="1">
        <v>24</v>
      </c>
      <c r="F992" s="1">
        <v>21</v>
      </c>
      <c r="G992" s="1" t="s">
        <v>50</v>
      </c>
      <c r="H992" s="1" t="s">
        <v>50</v>
      </c>
      <c r="I992" s="1" t="s">
        <v>50</v>
      </c>
      <c r="J992" s="1" t="s">
        <v>50</v>
      </c>
      <c r="K992" s="1" t="s">
        <v>50</v>
      </c>
      <c r="L992">
        <f t="shared" si="103"/>
        <v>269.09058234667941</v>
      </c>
      <c r="M992">
        <f t="shared" si="102"/>
        <v>269.76484064861296</v>
      </c>
      <c r="N992">
        <f t="shared" si="104"/>
        <v>240.63200106476299</v>
      </c>
      <c r="O992" t="e">
        <f t="shared" si="105"/>
        <v>#N/A</v>
      </c>
      <c r="P992" t="e">
        <f t="shared" si="106"/>
        <v>#N/A</v>
      </c>
      <c r="Q992" t="e">
        <f t="shared" si="107"/>
        <v>#N/A</v>
      </c>
      <c r="U992">
        <f>C992/Navio!$J$4</f>
        <v>15.35962801619633</v>
      </c>
    </row>
    <row r="993" spans="1:21" x14ac:dyDescent="0.3">
      <c r="A993">
        <v>991</v>
      </c>
      <c r="B993" s="47">
        <v>829.90063097228244</v>
      </c>
      <c r="C993" s="46">
        <v>284.94046875804656</v>
      </c>
      <c r="D993" s="1">
        <v>23</v>
      </c>
      <c r="E993" s="1">
        <v>24</v>
      </c>
      <c r="F993" s="1">
        <v>22</v>
      </c>
      <c r="G993" s="1" t="s">
        <v>50</v>
      </c>
      <c r="H993" s="1" t="s">
        <v>50</v>
      </c>
      <c r="I993" s="1" t="s">
        <v>50</v>
      </c>
      <c r="J993" s="1" t="s">
        <v>50</v>
      </c>
      <c r="K993" s="1" t="s">
        <v>50</v>
      </c>
      <c r="L993">
        <f t="shared" si="103"/>
        <v>269.09058234667941</v>
      </c>
      <c r="M993">
        <f t="shared" si="102"/>
        <v>269.76484064861296</v>
      </c>
      <c r="N993">
        <f t="shared" si="104"/>
        <v>291.04520797699013</v>
      </c>
      <c r="O993" t="e">
        <f t="shared" si="105"/>
        <v>#N/A</v>
      </c>
      <c r="P993" t="e">
        <f t="shared" si="106"/>
        <v>#N/A</v>
      </c>
      <c r="Q993" t="e">
        <f t="shared" si="107"/>
        <v>#N/A</v>
      </c>
      <c r="U993">
        <f>C993/Navio!$J$4</f>
        <v>15.385567760644207</v>
      </c>
    </row>
    <row r="994" spans="1:21" x14ac:dyDescent="0.3">
      <c r="A994">
        <v>992</v>
      </c>
      <c r="B994" s="47">
        <v>616.92901245878625</v>
      </c>
      <c r="C994" s="46">
        <v>248.28372080044747</v>
      </c>
      <c r="D994" s="1">
        <v>21</v>
      </c>
      <c r="E994" s="1">
        <v>20</v>
      </c>
      <c r="F994" s="1">
        <v>18</v>
      </c>
      <c r="G994" s="1">
        <v>19</v>
      </c>
      <c r="H994" s="1" t="s">
        <v>50</v>
      </c>
      <c r="I994" s="1" t="s">
        <v>50</v>
      </c>
      <c r="J994" s="1" t="s">
        <v>50</v>
      </c>
      <c r="K994" s="1" t="s">
        <v>50</v>
      </c>
      <c r="L994">
        <f t="shared" si="103"/>
        <v>240.63200106476299</v>
      </c>
      <c r="M994">
        <f t="shared" si="102"/>
        <v>264.62943895626472</v>
      </c>
      <c r="N994">
        <f t="shared" si="104"/>
        <v>182.31058600880081</v>
      </c>
      <c r="O994">
        <f t="shared" si="105"/>
        <v>211.55322479960179</v>
      </c>
      <c r="P994" t="e">
        <f t="shared" si="106"/>
        <v>#N/A</v>
      </c>
      <c r="Q994" t="e">
        <f t="shared" si="107"/>
        <v>#N/A</v>
      </c>
      <c r="U994">
        <f>C994/Navio!$J$4</f>
        <v>13.406260005432372</v>
      </c>
    </row>
    <row r="995" spans="1:21" x14ac:dyDescent="0.3">
      <c r="A995">
        <v>993</v>
      </c>
      <c r="B995" s="47">
        <v>667.34221937101336</v>
      </c>
      <c r="C995" s="46">
        <v>275.52664771649461</v>
      </c>
      <c r="D995" s="1">
        <v>20</v>
      </c>
      <c r="E995" s="1">
        <v>22</v>
      </c>
      <c r="F995" s="1">
        <v>19</v>
      </c>
      <c r="G995" s="1">
        <v>18</v>
      </c>
      <c r="H995" s="1" t="s">
        <v>50</v>
      </c>
      <c r="I995" s="1" t="s">
        <v>50</v>
      </c>
      <c r="J995" s="1" t="s">
        <v>50</v>
      </c>
      <c r="K995" s="1" t="s">
        <v>50</v>
      </c>
      <c r="L995">
        <f t="shared" si="103"/>
        <v>264.62943895626472</v>
      </c>
      <c r="M995">
        <f t="shared" si="102"/>
        <v>291.04520797699013</v>
      </c>
      <c r="N995">
        <f t="shared" si="104"/>
        <v>211.55322479960179</v>
      </c>
      <c r="O995">
        <f t="shared" si="105"/>
        <v>182.31058600880081</v>
      </c>
      <c r="P995" t="e">
        <f t="shared" si="106"/>
        <v>#N/A</v>
      </c>
      <c r="Q995" t="e">
        <f t="shared" si="107"/>
        <v>#N/A</v>
      </c>
      <c r="U995">
        <f>C995/Navio!$J$4</f>
        <v>14.877261649712796</v>
      </c>
    </row>
    <row r="996" spans="1:21" x14ac:dyDescent="0.3">
      <c r="A996">
        <v>994</v>
      </c>
      <c r="B996" s="47">
        <v>645.38759374070264</v>
      </c>
      <c r="C996" s="46">
        <v>279.5320350529708</v>
      </c>
      <c r="D996" s="1">
        <v>20</v>
      </c>
      <c r="E996" s="1">
        <v>23</v>
      </c>
      <c r="F996" s="1">
        <v>19</v>
      </c>
      <c r="G996" s="1">
        <v>18</v>
      </c>
      <c r="H996" s="1" t="s">
        <v>50</v>
      </c>
      <c r="I996" s="1" t="s">
        <v>50</v>
      </c>
      <c r="J996" s="1" t="s">
        <v>50</v>
      </c>
      <c r="K996" s="1" t="s">
        <v>50</v>
      </c>
      <c r="L996">
        <f t="shared" si="103"/>
        <v>264.62943895626472</v>
      </c>
      <c r="M996">
        <f t="shared" si="102"/>
        <v>269.09058234667941</v>
      </c>
      <c r="N996">
        <f t="shared" si="104"/>
        <v>211.55322479960179</v>
      </c>
      <c r="O996">
        <f t="shared" si="105"/>
        <v>182.31058600880081</v>
      </c>
      <c r="P996" t="e">
        <f t="shared" si="106"/>
        <v>#N/A</v>
      </c>
      <c r="Q996" t="e">
        <f t="shared" si="107"/>
        <v>#N/A</v>
      </c>
      <c r="U996">
        <f>C996/Navio!$J$4</f>
        <v>15.093535450838985</v>
      </c>
    </row>
    <row r="997" spans="1:21" x14ac:dyDescent="0.3">
      <c r="A997">
        <v>995</v>
      </c>
      <c r="B997" s="47">
        <v>646.06185204263625</v>
      </c>
      <c r="C997" s="46">
        <v>285.15246474300608</v>
      </c>
      <c r="D997" s="1">
        <v>20</v>
      </c>
      <c r="E997" s="1">
        <v>24</v>
      </c>
      <c r="F997" s="1">
        <v>19</v>
      </c>
      <c r="G997" s="1">
        <v>18</v>
      </c>
      <c r="H997" s="1" t="s">
        <v>50</v>
      </c>
      <c r="I997" s="1" t="s">
        <v>50</v>
      </c>
      <c r="J997" s="1" t="s">
        <v>50</v>
      </c>
      <c r="K997" s="1" t="s">
        <v>50</v>
      </c>
      <c r="L997">
        <f t="shared" si="103"/>
        <v>264.62943895626472</v>
      </c>
      <c r="M997">
        <f t="shared" si="102"/>
        <v>269.76484064861296</v>
      </c>
      <c r="N997">
        <f t="shared" si="104"/>
        <v>211.55322479960179</v>
      </c>
      <c r="O997">
        <f t="shared" si="105"/>
        <v>182.31058600880081</v>
      </c>
      <c r="P997" t="e">
        <f t="shared" si="106"/>
        <v>#N/A</v>
      </c>
      <c r="Q997" t="e">
        <f t="shared" si="107"/>
        <v>#N/A</v>
      </c>
      <c r="U997">
        <f>C997/Navio!$J$4</f>
        <v>15.397014637971937</v>
      </c>
    </row>
    <row r="998" spans="1:21" x14ac:dyDescent="0.3">
      <c r="A998">
        <v>996</v>
      </c>
      <c r="B998" s="47">
        <v>819.76440745035484</v>
      </c>
      <c r="C998" s="46">
        <v>275.49511718752126</v>
      </c>
      <c r="D998" s="1">
        <v>21</v>
      </c>
      <c r="E998" s="1">
        <v>22</v>
      </c>
      <c r="F998" s="1">
        <v>19</v>
      </c>
      <c r="G998" s="1">
        <v>18</v>
      </c>
      <c r="H998" s="1" t="s">
        <v>50</v>
      </c>
      <c r="I998" s="1" t="s">
        <v>50</v>
      </c>
      <c r="J998" s="1" t="s">
        <v>50</v>
      </c>
      <c r="K998" s="1" t="s">
        <v>50</v>
      </c>
      <c r="L998">
        <f t="shared" si="103"/>
        <v>240.63200106476299</v>
      </c>
      <c r="M998">
        <f t="shared" si="102"/>
        <v>291.04520797699013</v>
      </c>
      <c r="N998">
        <f t="shared" si="104"/>
        <v>211.55322479960179</v>
      </c>
      <c r="O998">
        <f t="shared" si="105"/>
        <v>182.31058600880081</v>
      </c>
      <c r="P998" t="e">
        <f t="shared" si="106"/>
        <v>#N/A</v>
      </c>
      <c r="Q998" t="e">
        <f t="shared" si="107"/>
        <v>#N/A</v>
      </c>
      <c r="U998">
        <f>C998/Navio!$J$4</f>
        <v>14.875559135878371</v>
      </c>
    </row>
    <row r="999" spans="1:21" x14ac:dyDescent="0.3">
      <c r="A999">
        <v>997</v>
      </c>
      <c r="B999" s="47">
        <v>797.80978182004412</v>
      </c>
      <c r="C999" s="46">
        <v>279.68603592047691</v>
      </c>
      <c r="D999" s="1">
        <v>21</v>
      </c>
      <c r="E999" s="1">
        <v>23</v>
      </c>
      <c r="F999" s="1">
        <v>19</v>
      </c>
      <c r="G999" s="1">
        <v>18</v>
      </c>
      <c r="H999" s="1" t="s">
        <v>50</v>
      </c>
      <c r="I999" s="1" t="s">
        <v>50</v>
      </c>
      <c r="J999" s="1" t="s">
        <v>50</v>
      </c>
      <c r="K999" s="1" t="s">
        <v>50</v>
      </c>
      <c r="L999">
        <f t="shared" si="103"/>
        <v>240.63200106476299</v>
      </c>
      <c r="M999">
        <f t="shared" si="102"/>
        <v>269.09058234667941</v>
      </c>
      <c r="N999">
        <f t="shared" si="104"/>
        <v>211.55322479960179</v>
      </c>
      <c r="O999">
        <f t="shared" si="105"/>
        <v>182.31058600880081</v>
      </c>
      <c r="P999" t="e">
        <f t="shared" si="106"/>
        <v>#N/A</v>
      </c>
      <c r="Q999" t="e">
        <f t="shared" si="107"/>
        <v>#N/A</v>
      </c>
      <c r="U999">
        <f>C999/Navio!$J$4</f>
        <v>15.101850839637708</v>
      </c>
    </row>
    <row r="1000" spans="1:21" x14ac:dyDescent="0.3">
      <c r="A1000">
        <v>998</v>
      </c>
      <c r="B1000" s="47">
        <v>798.48404012197761</v>
      </c>
      <c r="C1000" s="46">
        <v>285.17366774219909</v>
      </c>
      <c r="D1000" s="1">
        <v>21</v>
      </c>
      <c r="E1000" s="1">
        <v>24</v>
      </c>
      <c r="F1000" s="1">
        <v>19</v>
      </c>
      <c r="G1000" s="1">
        <v>18</v>
      </c>
      <c r="H1000" s="1" t="s">
        <v>50</v>
      </c>
      <c r="I1000" s="1" t="s">
        <v>50</v>
      </c>
      <c r="J1000" s="1" t="s">
        <v>50</v>
      </c>
      <c r="K1000" s="1" t="s">
        <v>50</v>
      </c>
      <c r="L1000">
        <f t="shared" si="103"/>
        <v>240.63200106476299</v>
      </c>
      <c r="M1000">
        <f t="shared" si="102"/>
        <v>269.76484064861296</v>
      </c>
      <c r="N1000">
        <f t="shared" si="104"/>
        <v>211.55322479960179</v>
      </c>
      <c r="O1000">
        <f t="shared" si="105"/>
        <v>182.31058600880081</v>
      </c>
      <c r="P1000" t="e">
        <f t="shared" si="106"/>
        <v>#N/A</v>
      </c>
      <c r="Q1000" t="e">
        <f t="shared" si="107"/>
        <v>#N/A</v>
      </c>
      <c r="U1000">
        <f>C1000/Navio!$J$4</f>
        <v>15.398159509327821</v>
      </c>
    </row>
    <row r="1001" spans="1:21" x14ac:dyDescent="0.3">
      <c r="A1001">
        <v>999</v>
      </c>
      <c r="B1001" s="47">
        <v>848.22298873227123</v>
      </c>
      <c r="C1001" s="46">
        <v>284.24705759181199</v>
      </c>
      <c r="D1001" s="1">
        <v>22</v>
      </c>
      <c r="E1001" s="1">
        <v>23</v>
      </c>
      <c r="F1001" s="1">
        <v>19</v>
      </c>
      <c r="G1001" s="1">
        <v>18</v>
      </c>
      <c r="H1001" s="1" t="s">
        <v>50</v>
      </c>
      <c r="I1001" s="1" t="s">
        <v>50</v>
      </c>
      <c r="J1001" s="1" t="s">
        <v>50</v>
      </c>
      <c r="K1001" s="1" t="s">
        <v>50</v>
      </c>
      <c r="L1001">
        <f t="shared" si="103"/>
        <v>291.04520797699013</v>
      </c>
      <c r="M1001">
        <f t="shared" si="102"/>
        <v>269.09058234667941</v>
      </c>
      <c r="N1001">
        <f t="shared" si="104"/>
        <v>211.55322479960179</v>
      </c>
      <c r="O1001">
        <f t="shared" si="105"/>
        <v>182.31058600880081</v>
      </c>
      <c r="P1001" t="e">
        <f t="shared" si="106"/>
        <v>#N/A</v>
      </c>
      <c r="Q1001" t="e">
        <f t="shared" si="107"/>
        <v>#N/A</v>
      </c>
      <c r="U1001">
        <f>C1001/Navio!$J$4</f>
        <v>15.348126520617511</v>
      </c>
    </row>
    <row r="1002" spans="1:21" x14ac:dyDescent="0.3">
      <c r="A1002">
        <v>1000</v>
      </c>
      <c r="B1002" s="47">
        <v>848.89724703420484</v>
      </c>
      <c r="C1002" s="46">
        <v>285.65407139433785</v>
      </c>
      <c r="D1002" s="1">
        <v>22</v>
      </c>
      <c r="E1002" s="1">
        <v>24</v>
      </c>
      <c r="F1002" s="1">
        <v>19</v>
      </c>
      <c r="G1002" s="1">
        <v>18</v>
      </c>
      <c r="H1002" s="1" t="s">
        <v>50</v>
      </c>
      <c r="I1002" s="1" t="s">
        <v>50</v>
      </c>
      <c r="J1002" s="1" t="s">
        <v>50</v>
      </c>
      <c r="K1002" s="1" t="s">
        <v>50</v>
      </c>
      <c r="L1002">
        <f t="shared" si="103"/>
        <v>291.04520797699013</v>
      </c>
      <c r="M1002">
        <f t="shared" si="102"/>
        <v>269.76484064861296</v>
      </c>
      <c r="N1002">
        <f t="shared" si="104"/>
        <v>211.55322479960179</v>
      </c>
      <c r="O1002">
        <f t="shared" si="105"/>
        <v>182.31058600880081</v>
      </c>
      <c r="P1002" t="e">
        <f t="shared" si="106"/>
        <v>#N/A</v>
      </c>
      <c r="Q1002" t="e">
        <f t="shared" si="107"/>
        <v>#N/A</v>
      </c>
      <c r="U1002">
        <f>C1002/Navio!$J$4</f>
        <v>15.424099253775696</v>
      </c>
    </row>
    <row r="1003" spans="1:21" x14ac:dyDescent="0.3">
      <c r="A1003">
        <v>1001</v>
      </c>
      <c r="B1003" s="47">
        <v>826.94262140389412</v>
      </c>
      <c r="C1003" s="46">
        <v>287.42467832512483</v>
      </c>
      <c r="D1003" s="1">
        <v>24</v>
      </c>
      <c r="E1003" s="1">
        <v>23</v>
      </c>
      <c r="F1003" s="1">
        <v>19</v>
      </c>
      <c r="G1003" s="1">
        <v>18</v>
      </c>
      <c r="H1003" s="1" t="s">
        <v>50</v>
      </c>
      <c r="I1003" s="1" t="s">
        <v>50</v>
      </c>
      <c r="J1003" s="1" t="s">
        <v>50</v>
      </c>
      <c r="K1003" s="1" t="s">
        <v>50</v>
      </c>
      <c r="L1003">
        <f t="shared" si="103"/>
        <v>269.76484064861296</v>
      </c>
      <c r="M1003">
        <f t="shared" si="102"/>
        <v>269.09058234667941</v>
      </c>
      <c r="N1003">
        <f t="shared" si="104"/>
        <v>211.55322479960179</v>
      </c>
      <c r="O1003">
        <f t="shared" si="105"/>
        <v>182.31058600880081</v>
      </c>
      <c r="P1003" t="e">
        <f t="shared" si="106"/>
        <v>#N/A</v>
      </c>
      <c r="Q1003" t="e">
        <f t="shared" si="107"/>
        <v>#N/A</v>
      </c>
      <c r="U1003">
        <f>C1003/Navio!$J$4</f>
        <v>15.519704462224418</v>
      </c>
    </row>
    <row r="1004" spans="1:21" x14ac:dyDescent="0.3">
      <c r="A1004">
        <v>1002</v>
      </c>
      <c r="B1004" s="47">
        <v>802.19760803597546</v>
      </c>
      <c r="C1004" s="46">
        <v>271.81903893991415</v>
      </c>
      <c r="D1004" s="1">
        <v>20</v>
      </c>
      <c r="E1004" s="1">
        <v>21</v>
      </c>
      <c r="F1004" s="1">
        <v>22</v>
      </c>
      <c r="G1004" s="1">
        <v>18</v>
      </c>
      <c r="H1004" s="1" t="s">
        <v>50</v>
      </c>
      <c r="I1004" s="1" t="s">
        <v>50</v>
      </c>
      <c r="J1004" s="1" t="s">
        <v>50</v>
      </c>
      <c r="K1004" s="1" t="s">
        <v>50</v>
      </c>
      <c r="L1004">
        <f t="shared" si="103"/>
        <v>264.62943895626472</v>
      </c>
      <c r="M1004">
        <f t="shared" si="102"/>
        <v>240.63200106476299</v>
      </c>
      <c r="N1004">
        <f t="shared" si="104"/>
        <v>291.04520797699013</v>
      </c>
      <c r="O1004">
        <f t="shared" si="105"/>
        <v>182.31058600880081</v>
      </c>
      <c r="P1004" t="e">
        <f t="shared" si="106"/>
        <v>#N/A</v>
      </c>
      <c r="Q1004" t="e">
        <f t="shared" si="107"/>
        <v>#N/A</v>
      </c>
      <c r="U1004">
        <f>C1004/Navio!$J$4</f>
        <v>14.677066618411448</v>
      </c>
    </row>
    <row r="1005" spans="1:21" x14ac:dyDescent="0.3">
      <c r="A1005">
        <v>1003</v>
      </c>
      <c r="B1005" s="47">
        <v>780.24298240566475</v>
      </c>
      <c r="C1005" s="46">
        <v>277.33217733436277</v>
      </c>
      <c r="D1005" s="1">
        <v>20</v>
      </c>
      <c r="E1005" s="1">
        <v>21</v>
      </c>
      <c r="F1005" s="1">
        <v>23</v>
      </c>
      <c r="G1005" s="1">
        <v>18</v>
      </c>
      <c r="H1005" s="1" t="s">
        <v>50</v>
      </c>
      <c r="I1005" s="1" t="s">
        <v>50</v>
      </c>
      <c r="J1005" s="1" t="s">
        <v>50</v>
      </c>
      <c r="K1005" s="1" t="s">
        <v>50</v>
      </c>
      <c r="L1005">
        <f t="shared" si="103"/>
        <v>264.62943895626472</v>
      </c>
      <c r="M1005">
        <f t="shared" si="102"/>
        <v>240.63200106476299</v>
      </c>
      <c r="N1005">
        <f t="shared" si="104"/>
        <v>269.09058234667941</v>
      </c>
      <c r="O1005">
        <f t="shared" si="105"/>
        <v>182.31058600880081</v>
      </c>
      <c r="P1005" t="e">
        <f t="shared" si="106"/>
        <v>#N/A</v>
      </c>
      <c r="Q1005" t="e">
        <f t="shared" si="107"/>
        <v>#N/A</v>
      </c>
      <c r="U1005">
        <f>C1005/Navio!$J$4</f>
        <v>14.974752534039055</v>
      </c>
    </row>
    <row r="1006" spans="1:21" x14ac:dyDescent="0.3">
      <c r="A1006">
        <v>1004</v>
      </c>
      <c r="B1006" s="47">
        <v>780.91724070759835</v>
      </c>
      <c r="C1006" s="46">
        <v>282.143861424639</v>
      </c>
      <c r="D1006" s="1">
        <v>20</v>
      </c>
      <c r="E1006" s="1">
        <v>21</v>
      </c>
      <c r="F1006" s="1">
        <v>24</v>
      </c>
      <c r="G1006" s="1">
        <v>18</v>
      </c>
      <c r="H1006" s="1" t="s">
        <v>50</v>
      </c>
      <c r="I1006" s="1" t="s">
        <v>50</v>
      </c>
      <c r="J1006" s="1" t="s">
        <v>50</v>
      </c>
      <c r="K1006" s="1" t="s">
        <v>50</v>
      </c>
      <c r="L1006">
        <f t="shared" si="103"/>
        <v>264.62943895626472</v>
      </c>
      <c r="M1006">
        <f t="shared" si="102"/>
        <v>240.63200106476299</v>
      </c>
      <c r="N1006">
        <f t="shared" si="104"/>
        <v>269.76484064861296</v>
      </c>
      <c r="O1006">
        <f t="shared" si="105"/>
        <v>182.31058600880081</v>
      </c>
      <c r="P1006" t="e">
        <f t="shared" si="106"/>
        <v>#N/A</v>
      </c>
      <c r="Q1006" t="e">
        <f t="shared" si="107"/>
        <v>#N/A</v>
      </c>
      <c r="U1006">
        <f>C1006/Navio!$J$4</f>
        <v>15.234562914559699</v>
      </c>
    </row>
    <row r="1007" spans="1:21" x14ac:dyDescent="0.3">
      <c r="A1007">
        <v>1005</v>
      </c>
      <c r="B1007" s="47">
        <v>830.65618931789197</v>
      </c>
      <c r="C1007" s="46">
        <v>281.72459319966936</v>
      </c>
      <c r="D1007" s="1">
        <v>20</v>
      </c>
      <c r="E1007" s="1">
        <v>22</v>
      </c>
      <c r="F1007" s="1">
        <v>23</v>
      </c>
      <c r="G1007" s="1">
        <v>18</v>
      </c>
      <c r="H1007" s="1" t="s">
        <v>50</v>
      </c>
      <c r="I1007" s="1" t="s">
        <v>50</v>
      </c>
      <c r="J1007" s="1" t="s">
        <v>50</v>
      </c>
      <c r="K1007" s="1" t="s">
        <v>50</v>
      </c>
      <c r="L1007">
        <f t="shared" si="103"/>
        <v>264.62943895626472</v>
      </c>
      <c r="M1007">
        <f t="shared" si="102"/>
        <v>291.04520797699013</v>
      </c>
      <c r="N1007">
        <f t="shared" si="104"/>
        <v>269.09058234667941</v>
      </c>
      <c r="O1007">
        <f t="shared" si="105"/>
        <v>182.31058600880081</v>
      </c>
      <c r="P1007" t="e">
        <f t="shared" si="106"/>
        <v>#N/A</v>
      </c>
      <c r="Q1007" t="e">
        <f t="shared" si="107"/>
        <v>#N/A</v>
      </c>
      <c r="U1007">
        <f>C1007/Navio!$J$4</f>
        <v>15.211924221946916</v>
      </c>
    </row>
    <row r="1008" spans="1:21" x14ac:dyDescent="0.3">
      <c r="A1008">
        <v>1006</v>
      </c>
      <c r="B1008" s="47">
        <v>831.33044761982546</v>
      </c>
      <c r="C1008" s="46">
        <v>282.45565927074927</v>
      </c>
      <c r="D1008" s="1">
        <v>20</v>
      </c>
      <c r="E1008" s="1">
        <v>22</v>
      </c>
      <c r="F1008" s="1">
        <v>24</v>
      </c>
      <c r="G1008" s="1">
        <v>18</v>
      </c>
      <c r="H1008" s="1" t="s">
        <v>50</v>
      </c>
      <c r="I1008" s="1" t="s">
        <v>50</v>
      </c>
      <c r="J1008" s="1" t="s">
        <v>50</v>
      </c>
      <c r="K1008" s="1" t="s">
        <v>50</v>
      </c>
      <c r="L1008">
        <f t="shared" si="103"/>
        <v>264.62943895626472</v>
      </c>
      <c r="M1008">
        <f t="shared" si="102"/>
        <v>291.04520797699013</v>
      </c>
      <c r="N1008">
        <f t="shared" si="104"/>
        <v>269.76484064861296</v>
      </c>
      <c r="O1008">
        <f t="shared" si="105"/>
        <v>182.31058600880081</v>
      </c>
      <c r="P1008" t="e">
        <f t="shared" si="106"/>
        <v>#N/A</v>
      </c>
      <c r="Q1008" t="e">
        <f t="shared" si="107"/>
        <v>#N/A</v>
      </c>
      <c r="U1008">
        <f>C1008/Navio!$J$4</f>
        <v>15.251398665935632</v>
      </c>
    </row>
    <row r="1009" spans="1:21" x14ac:dyDescent="0.3">
      <c r="A1009">
        <v>1007</v>
      </c>
      <c r="B1009" s="47">
        <v>809.37582198951475</v>
      </c>
      <c r="C1009" s="46">
        <v>284.85404120041858</v>
      </c>
      <c r="D1009" s="1">
        <v>20</v>
      </c>
      <c r="E1009" s="1">
        <v>24</v>
      </c>
      <c r="F1009" s="1">
        <v>23</v>
      </c>
      <c r="G1009" s="1">
        <v>18</v>
      </c>
      <c r="H1009" s="1" t="s">
        <v>50</v>
      </c>
      <c r="I1009" s="1" t="s">
        <v>50</v>
      </c>
      <c r="J1009" s="1" t="s">
        <v>50</v>
      </c>
      <c r="K1009" s="1" t="s">
        <v>50</v>
      </c>
      <c r="L1009">
        <f t="shared" si="103"/>
        <v>264.62943895626472</v>
      </c>
      <c r="M1009">
        <f t="shared" si="102"/>
        <v>269.76484064861296</v>
      </c>
      <c r="N1009">
        <f t="shared" si="104"/>
        <v>269.09058234667941</v>
      </c>
      <c r="O1009">
        <f t="shared" si="105"/>
        <v>182.31058600880081</v>
      </c>
      <c r="P1009" t="e">
        <f t="shared" si="106"/>
        <v>#N/A</v>
      </c>
      <c r="Q1009" t="e">
        <f t="shared" si="107"/>
        <v>#N/A</v>
      </c>
      <c r="U1009">
        <f>C1009/Navio!$J$4</f>
        <v>15.380901041837756</v>
      </c>
    </row>
    <row r="1010" spans="1:21" x14ac:dyDescent="0.3">
      <c r="A1010">
        <v>1008</v>
      </c>
      <c r="B1010" s="47">
        <v>725.66363442697559</v>
      </c>
      <c r="C1010" s="46">
        <v>273.96208940643578</v>
      </c>
      <c r="D1010" s="1">
        <v>20</v>
      </c>
      <c r="E1010" s="1">
        <v>21</v>
      </c>
      <c r="F1010" s="1">
        <v>22</v>
      </c>
      <c r="G1010" s="1">
        <v>19</v>
      </c>
      <c r="H1010" s="1" t="s">
        <v>50</v>
      </c>
      <c r="I1010" s="1" t="s">
        <v>50</v>
      </c>
      <c r="J1010" s="1" t="s">
        <v>50</v>
      </c>
      <c r="K1010" s="1" t="s">
        <v>50</v>
      </c>
      <c r="L1010">
        <f t="shared" si="103"/>
        <v>264.62943895626472</v>
      </c>
      <c r="M1010">
        <f t="shared" si="102"/>
        <v>240.63200106476299</v>
      </c>
      <c r="N1010">
        <f t="shared" si="104"/>
        <v>291.04520797699013</v>
      </c>
      <c r="O1010">
        <f t="shared" si="105"/>
        <v>211.55322479960179</v>
      </c>
      <c r="P1010" t="e">
        <f t="shared" si="106"/>
        <v>#N/A</v>
      </c>
      <c r="Q1010" t="e">
        <f t="shared" si="107"/>
        <v>#N/A</v>
      </c>
      <c r="U1010">
        <f>C1010/Navio!$J$4</f>
        <v>14.792782186336433</v>
      </c>
    </row>
    <row r="1011" spans="1:21" x14ac:dyDescent="0.3">
      <c r="A1011">
        <v>1009</v>
      </c>
      <c r="B1011" s="47">
        <v>703.70900879666488</v>
      </c>
      <c r="C1011" s="46">
        <v>278.15300813939137</v>
      </c>
      <c r="D1011" s="1">
        <v>20</v>
      </c>
      <c r="E1011" s="1">
        <v>21</v>
      </c>
      <c r="F1011" s="1">
        <v>23</v>
      </c>
      <c r="G1011" s="1">
        <v>19</v>
      </c>
      <c r="H1011" s="1" t="s">
        <v>50</v>
      </c>
      <c r="I1011" s="1" t="s">
        <v>50</v>
      </c>
      <c r="J1011" s="1" t="s">
        <v>50</v>
      </c>
      <c r="K1011" s="1" t="s">
        <v>50</v>
      </c>
      <c r="L1011">
        <f t="shared" si="103"/>
        <v>264.62943895626472</v>
      </c>
      <c r="M1011">
        <f t="shared" si="102"/>
        <v>240.63200106476299</v>
      </c>
      <c r="N1011">
        <f t="shared" si="104"/>
        <v>269.09058234667941</v>
      </c>
      <c r="O1011">
        <f t="shared" si="105"/>
        <v>211.55322479960179</v>
      </c>
      <c r="P1011" t="e">
        <f t="shared" si="106"/>
        <v>#N/A</v>
      </c>
      <c r="Q1011" t="e">
        <f t="shared" si="107"/>
        <v>#N/A</v>
      </c>
      <c r="U1011">
        <f>C1011/Navio!$J$4</f>
        <v>15.019073890095767</v>
      </c>
    </row>
    <row r="1012" spans="1:21" x14ac:dyDescent="0.3">
      <c r="A1012">
        <v>1010</v>
      </c>
      <c r="B1012" s="47">
        <v>704.38326709859837</v>
      </c>
      <c r="C1012" s="46">
        <v>283.64063996111361</v>
      </c>
      <c r="D1012" s="1">
        <v>20</v>
      </c>
      <c r="E1012" s="1">
        <v>21</v>
      </c>
      <c r="F1012" s="1">
        <v>24</v>
      </c>
      <c r="G1012" s="1">
        <v>19</v>
      </c>
      <c r="H1012" s="1" t="s">
        <v>50</v>
      </c>
      <c r="I1012" s="1" t="s">
        <v>50</v>
      </c>
      <c r="J1012" s="1" t="s">
        <v>50</v>
      </c>
      <c r="K1012" s="1" t="s">
        <v>50</v>
      </c>
      <c r="L1012">
        <f t="shared" si="103"/>
        <v>264.62943895626472</v>
      </c>
      <c r="M1012">
        <f t="shared" si="102"/>
        <v>240.63200106476299</v>
      </c>
      <c r="N1012">
        <f t="shared" si="104"/>
        <v>269.76484064861296</v>
      </c>
      <c r="O1012">
        <f t="shared" si="105"/>
        <v>211.55322479960179</v>
      </c>
      <c r="P1012" t="e">
        <f t="shared" si="106"/>
        <v>#N/A</v>
      </c>
      <c r="Q1012" t="e">
        <f t="shared" si="107"/>
        <v>#N/A</v>
      </c>
      <c r="U1012">
        <f>C1012/Navio!$J$4</f>
        <v>15.315382559785883</v>
      </c>
    </row>
    <row r="1013" spans="1:21" x14ac:dyDescent="0.3">
      <c r="A1013">
        <v>1011</v>
      </c>
      <c r="B1013" s="47">
        <v>754.12221570889199</v>
      </c>
      <c r="C1013" s="46">
        <v>282.54542400469796</v>
      </c>
      <c r="D1013" s="1">
        <v>20</v>
      </c>
      <c r="E1013" s="1">
        <v>22</v>
      </c>
      <c r="F1013" s="1">
        <v>23</v>
      </c>
      <c r="G1013" s="1">
        <v>19</v>
      </c>
      <c r="H1013" s="1" t="s">
        <v>50</v>
      </c>
      <c r="I1013" s="1" t="s">
        <v>50</v>
      </c>
      <c r="J1013" s="1" t="s">
        <v>50</v>
      </c>
      <c r="K1013" s="1" t="s">
        <v>50</v>
      </c>
      <c r="L1013">
        <f t="shared" si="103"/>
        <v>264.62943895626472</v>
      </c>
      <c r="M1013">
        <f t="shared" si="102"/>
        <v>291.04520797699013</v>
      </c>
      <c r="N1013">
        <f t="shared" si="104"/>
        <v>269.09058234667941</v>
      </c>
      <c r="O1013">
        <f t="shared" si="105"/>
        <v>211.55322479960179</v>
      </c>
      <c r="P1013" t="e">
        <f t="shared" si="106"/>
        <v>#N/A</v>
      </c>
      <c r="Q1013" t="e">
        <f t="shared" si="107"/>
        <v>#N/A</v>
      </c>
      <c r="U1013">
        <f>C1013/Navio!$J$4</f>
        <v>15.256245578003629</v>
      </c>
    </row>
    <row r="1014" spans="1:21" x14ac:dyDescent="0.3">
      <c r="A1014">
        <v>1012</v>
      </c>
      <c r="B1014" s="47">
        <v>754.79647401082559</v>
      </c>
      <c r="C1014" s="46">
        <v>283.95243780722382</v>
      </c>
      <c r="D1014" s="1">
        <v>20</v>
      </c>
      <c r="E1014" s="1">
        <v>22</v>
      </c>
      <c r="F1014" s="1">
        <v>24</v>
      </c>
      <c r="G1014" s="1">
        <v>19</v>
      </c>
      <c r="H1014" s="1" t="s">
        <v>50</v>
      </c>
      <c r="I1014" s="1" t="s">
        <v>50</v>
      </c>
      <c r="J1014" s="1" t="s">
        <v>50</v>
      </c>
      <c r="K1014" s="1" t="s">
        <v>50</v>
      </c>
      <c r="L1014">
        <f t="shared" si="103"/>
        <v>264.62943895626472</v>
      </c>
      <c r="M1014">
        <f t="shared" si="102"/>
        <v>291.04520797699013</v>
      </c>
      <c r="N1014">
        <f t="shared" si="104"/>
        <v>269.76484064861296</v>
      </c>
      <c r="O1014">
        <f t="shared" si="105"/>
        <v>211.55322479960179</v>
      </c>
      <c r="P1014" t="e">
        <f t="shared" si="106"/>
        <v>#N/A</v>
      </c>
      <c r="Q1014" t="e">
        <f t="shared" si="107"/>
        <v>#N/A</v>
      </c>
      <c r="U1014">
        <f>C1014/Navio!$J$4</f>
        <v>15.332218311161814</v>
      </c>
    </row>
    <row r="1015" spans="1:21" x14ac:dyDescent="0.3">
      <c r="A1015">
        <v>1013</v>
      </c>
      <c r="B1015" s="47">
        <v>732.84184838051488</v>
      </c>
      <c r="C1015" s="46">
        <v>285.67487200544713</v>
      </c>
      <c r="D1015" s="1">
        <v>20</v>
      </c>
      <c r="E1015" s="1">
        <v>24</v>
      </c>
      <c r="F1015" s="1">
        <v>23</v>
      </c>
      <c r="G1015" s="1">
        <v>19</v>
      </c>
      <c r="H1015" s="1" t="s">
        <v>50</v>
      </c>
      <c r="I1015" s="1" t="s">
        <v>50</v>
      </c>
      <c r="J1015" s="1" t="s">
        <v>50</v>
      </c>
      <c r="K1015" s="1" t="s">
        <v>50</v>
      </c>
      <c r="L1015">
        <f t="shared" si="103"/>
        <v>264.62943895626472</v>
      </c>
      <c r="M1015">
        <f t="shared" si="102"/>
        <v>269.76484064861296</v>
      </c>
      <c r="N1015">
        <f t="shared" si="104"/>
        <v>269.09058234667941</v>
      </c>
      <c r="O1015">
        <f t="shared" si="105"/>
        <v>211.55322479960179</v>
      </c>
      <c r="P1015" t="e">
        <f t="shared" si="106"/>
        <v>#N/A</v>
      </c>
      <c r="Q1015" t="e">
        <f t="shared" si="107"/>
        <v>#N/A</v>
      </c>
      <c r="U1015">
        <f>C1015/Navio!$J$4</f>
        <v>15.425222397894464</v>
      </c>
    </row>
    <row r="1016" spans="1:21" x14ac:dyDescent="0.3">
      <c r="A1016">
        <v>1014</v>
      </c>
      <c r="B1016" s="47">
        <v>885.26403645985624</v>
      </c>
      <c r="C1016" s="46">
        <v>285.69607500464019</v>
      </c>
      <c r="D1016" s="1">
        <v>21</v>
      </c>
      <c r="E1016" s="1">
        <v>24</v>
      </c>
      <c r="F1016" s="1">
        <v>23</v>
      </c>
      <c r="G1016" s="1">
        <v>19</v>
      </c>
      <c r="H1016" s="1" t="s">
        <v>50</v>
      </c>
      <c r="I1016" s="1" t="s">
        <v>50</v>
      </c>
      <c r="J1016" s="1" t="s">
        <v>50</v>
      </c>
      <c r="K1016" s="1" t="s">
        <v>50</v>
      </c>
      <c r="L1016">
        <f t="shared" si="103"/>
        <v>240.63200106476299</v>
      </c>
      <c r="M1016">
        <f t="shared" si="102"/>
        <v>269.76484064861296</v>
      </c>
      <c r="N1016">
        <f t="shared" si="104"/>
        <v>269.09058234667941</v>
      </c>
      <c r="O1016">
        <f t="shared" si="105"/>
        <v>211.55322479960179</v>
      </c>
      <c r="P1016" t="e">
        <f t="shared" si="106"/>
        <v>#N/A</v>
      </c>
      <c r="Q1016" t="e">
        <f t="shared" si="107"/>
        <v>#N/A</v>
      </c>
      <c r="U1016">
        <f>C1016/Navio!$J$4</f>
        <v>15.426367269250351</v>
      </c>
    </row>
    <row r="1017" spans="1:21" x14ac:dyDescent="0.3">
      <c r="A1017">
        <v>1015</v>
      </c>
      <c r="B1017" s="47">
        <v>888.97760437385409</v>
      </c>
      <c r="C1017" s="46">
        <v>281.51047600015272</v>
      </c>
      <c r="D1017" s="1">
        <v>23</v>
      </c>
      <c r="E1017" s="1">
        <v>22</v>
      </c>
      <c r="F1017" s="1">
        <v>21</v>
      </c>
      <c r="G1017" s="1">
        <v>20</v>
      </c>
      <c r="H1017" s="1" t="s">
        <v>50</v>
      </c>
      <c r="I1017" s="1" t="s">
        <v>50</v>
      </c>
      <c r="J1017" s="1" t="s">
        <v>50</v>
      </c>
      <c r="K1017" s="1" t="s">
        <v>50</v>
      </c>
      <c r="L1017">
        <f t="shared" si="103"/>
        <v>269.09058234667941</v>
      </c>
      <c r="M1017">
        <f t="shared" si="102"/>
        <v>291.04520797699013</v>
      </c>
      <c r="N1017">
        <f t="shared" si="104"/>
        <v>240.63200106476299</v>
      </c>
      <c r="O1017">
        <f t="shared" si="105"/>
        <v>264.62943895626472</v>
      </c>
      <c r="P1017" t="e">
        <f t="shared" si="106"/>
        <v>#N/A</v>
      </c>
      <c r="Q1017" t="e">
        <f t="shared" si="107"/>
        <v>#N/A</v>
      </c>
      <c r="U1017">
        <f>C1017/Navio!$J$4</f>
        <v>15.200362808097065</v>
      </c>
    </row>
    <row r="1018" spans="1:21" x14ac:dyDescent="0.3">
      <c r="A1018">
        <v>1016</v>
      </c>
      <c r="B1018" s="47">
        <v>889.6518626757877</v>
      </c>
      <c r="C1018" s="46">
        <v>280.25866017440455</v>
      </c>
      <c r="D1018" s="1">
        <v>21</v>
      </c>
      <c r="E1018" s="1">
        <v>22</v>
      </c>
      <c r="F1018" s="1">
        <v>24</v>
      </c>
      <c r="G1018" s="1">
        <v>20</v>
      </c>
      <c r="H1018" s="1" t="s">
        <v>50</v>
      </c>
      <c r="I1018" s="1" t="s">
        <v>50</v>
      </c>
      <c r="J1018" s="1" t="s">
        <v>50</v>
      </c>
      <c r="K1018" s="1" t="s">
        <v>50</v>
      </c>
      <c r="L1018">
        <f t="shared" si="103"/>
        <v>240.63200106476299</v>
      </c>
      <c r="M1018">
        <f t="shared" si="102"/>
        <v>291.04520797699013</v>
      </c>
      <c r="N1018">
        <f t="shared" si="104"/>
        <v>269.76484064861296</v>
      </c>
      <c r="O1018">
        <f t="shared" si="105"/>
        <v>264.62943895626472</v>
      </c>
      <c r="P1018" t="e">
        <f t="shared" si="106"/>
        <v>#N/A</v>
      </c>
      <c r="Q1018" t="e">
        <f t="shared" si="107"/>
        <v>#N/A</v>
      </c>
      <c r="U1018">
        <f>C1018/Navio!$J$4</f>
        <v>15.132770102523011</v>
      </c>
    </row>
    <row r="1019" spans="1:21" x14ac:dyDescent="0.3">
      <c r="A1019">
        <v>1017</v>
      </c>
      <c r="B1019" s="47">
        <v>867.69723704547698</v>
      </c>
      <c r="C1019" s="46">
        <v>284.69265752906824</v>
      </c>
      <c r="D1019" s="1">
        <v>23</v>
      </c>
      <c r="E1019" s="1">
        <v>24</v>
      </c>
      <c r="F1019" s="1">
        <v>21</v>
      </c>
      <c r="G1019" s="1">
        <v>20</v>
      </c>
      <c r="H1019" s="1" t="s">
        <v>50</v>
      </c>
      <c r="I1019" s="1" t="s">
        <v>50</v>
      </c>
      <c r="J1019" s="1" t="s">
        <v>50</v>
      </c>
      <c r="K1019" s="1" t="s">
        <v>50</v>
      </c>
      <c r="L1019">
        <f t="shared" si="103"/>
        <v>269.09058234667941</v>
      </c>
      <c r="M1019">
        <f t="shared" si="102"/>
        <v>269.76484064861296</v>
      </c>
      <c r="N1019">
        <f t="shared" si="104"/>
        <v>240.63200106476299</v>
      </c>
      <c r="O1019">
        <f t="shared" si="105"/>
        <v>264.62943895626472</v>
      </c>
      <c r="P1019" t="e">
        <f t="shared" si="106"/>
        <v>#N/A</v>
      </c>
      <c r="Q1019" t="e">
        <f t="shared" si="107"/>
        <v>#N/A</v>
      </c>
      <c r="U1019">
        <f>C1019/Navio!$J$4</f>
        <v>15.372187013178209</v>
      </c>
    </row>
    <row r="1020" spans="1:21" x14ac:dyDescent="0.3">
      <c r="A1020">
        <v>1018</v>
      </c>
      <c r="B1020" s="47">
        <v>886.01959480546566</v>
      </c>
      <c r="C1020" s="46">
        <v>279.91862834363735</v>
      </c>
      <c r="D1020" s="1">
        <v>20</v>
      </c>
      <c r="E1020" s="1">
        <v>21</v>
      </c>
      <c r="F1020" s="1">
        <v>23</v>
      </c>
      <c r="G1020" s="1">
        <v>19</v>
      </c>
      <c r="H1020" s="1">
        <v>18</v>
      </c>
      <c r="I1020" s="1" t="s">
        <v>50</v>
      </c>
      <c r="J1020" s="1" t="s">
        <v>50</v>
      </c>
      <c r="K1020" s="1" t="s">
        <v>50</v>
      </c>
      <c r="L1020">
        <f t="shared" si="103"/>
        <v>264.62943895626472</v>
      </c>
      <c r="M1020">
        <f t="shared" si="102"/>
        <v>240.63200106476299</v>
      </c>
      <c r="N1020">
        <f t="shared" si="104"/>
        <v>269.09058234667941</v>
      </c>
      <c r="O1020">
        <f t="shared" si="105"/>
        <v>211.55322479960179</v>
      </c>
      <c r="P1020">
        <f t="shared" si="106"/>
        <v>182.31058600880081</v>
      </c>
      <c r="Q1020" t="e">
        <f t="shared" si="107"/>
        <v>#N/A</v>
      </c>
      <c r="U1020">
        <f>C1020/Navio!$J$4</f>
        <v>15.114409836619586</v>
      </c>
    </row>
    <row r="1021" spans="1:21" x14ac:dyDescent="0.3">
      <c r="A1021">
        <v>1019</v>
      </c>
      <c r="B1021" s="47">
        <v>886.69385310739926</v>
      </c>
      <c r="C1021" s="46">
        <v>285.40626016535953</v>
      </c>
      <c r="D1021" s="1">
        <v>20</v>
      </c>
      <c r="E1021" s="1">
        <v>21</v>
      </c>
      <c r="F1021" s="1">
        <v>24</v>
      </c>
      <c r="G1021" s="1">
        <v>19</v>
      </c>
      <c r="H1021" s="1">
        <v>18</v>
      </c>
      <c r="I1021" s="1" t="s">
        <v>50</v>
      </c>
      <c r="J1021" s="1" t="s">
        <v>50</v>
      </c>
      <c r="K1021" s="1" t="s">
        <v>50</v>
      </c>
      <c r="L1021">
        <f t="shared" si="103"/>
        <v>264.62943895626472</v>
      </c>
      <c r="M1021">
        <f t="shared" si="102"/>
        <v>240.63200106476299</v>
      </c>
      <c r="N1021">
        <f t="shared" si="104"/>
        <v>269.76484064861296</v>
      </c>
      <c r="O1021">
        <f t="shared" si="105"/>
        <v>211.55322479960179</v>
      </c>
      <c r="P1021">
        <f t="shared" si="106"/>
        <v>182.31058600880081</v>
      </c>
      <c r="Q1021" t="e">
        <f t="shared" si="107"/>
        <v>#N/A</v>
      </c>
      <c r="U1021">
        <f>C1021/Navio!$J$4</f>
        <v>15.410718506309699</v>
      </c>
    </row>
    <row r="1022" spans="1:21" x14ac:dyDescent="0.3">
      <c r="A1022">
        <v>1020</v>
      </c>
      <c r="B1022" s="47">
        <v>157.92278957999292</v>
      </c>
      <c r="C1022" s="46">
        <v>236.7424832423595</v>
      </c>
      <c r="D1022" s="1">
        <v>25</v>
      </c>
      <c r="E1022" s="1" t="s">
        <v>50</v>
      </c>
      <c r="F1022" s="1" t="s">
        <v>50</v>
      </c>
      <c r="G1022" s="1" t="s">
        <v>50</v>
      </c>
      <c r="H1022" s="1" t="s">
        <v>50</v>
      </c>
      <c r="I1022" s="1" t="s">
        <v>50</v>
      </c>
      <c r="J1022" s="1" t="s">
        <v>50</v>
      </c>
      <c r="K1022" s="1" t="s">
        <v>50</v>
      </c>
      <c r="L1022">
        <f t="shared" si="103"/>
        <v>157.92278957999292</v>
      </c>
      <c r="M1022" t="e">
        <f t="shared" si="102"/>
        <v>#N/A</v>
      </c>
      <c r="N1022" t="e">
        <f t="shared" si="104"/>
        <v>#N/A</v>
      </c>
      <c r="O1022" t="e">
        <f t="shared" si="105"/>
        <v>#N/A</v>
      </c>
      <c r="P1022" t="e">
        <f t="shared" si="106"/>
        <v>#N/A</v>
      </c>
      <c r="Q1022" t="e">
        <f t="shared" si="107"/>
        <v>#N/A</v>
      </c>
      <c r="U1022">
        <f>C1022/Navio!$J$4</f>
        <v>12.783082493071241</v>
      </c>
    </row>
    <row r="1023" spans="1:21" x14ac:dyDescent="0.3">
      <c r="A1023">
        <v>1021</v>
      </c>
      <c r="B1023" s="47">
        <v>220.78480595896349</v>
      </c>
      <c r="C1023" s="46">
        <v>257.8521263552654</v>
      </c>
      <c r="D1023" s="1">
        <v>26</v>
      </c>
      <c r="E1023" s="1" t="s">
        <v>50</v>
      </c>
      <c r="F1023" s="1" t="s">
        <v>50</v>
      </c>
      <c r="G1023" s="1" t="s">
        <v>50</v>
      </c>
      <c r="H1023" s="1" t="s">
        <v>50</v>
      </c>
      <c r="I1023" s="1" t="s">
        <v>50</v>
      </c>
      <c r="J1023" s="1" t="s">
        <v>50</v>
      </c>
      <c r="K1023" s="1" t="s">
        <v>50</v>
      </c>
      <c r="L1023">
        <f t="shared" si="103"/>
        <v>220.78480595896349</v>
      </c>
      <c r="M1023" t="e">
        <f t="shared" si="102"/>
        <v>#N/A</v>
      </c>
      <c r="N1023" t="e">
        <f t="shared" si="104"/>
        <v>#N/A</v>
      </c>
      <c r="O1023" t="e">
        <f t="shared" si="105"/>
        <v>#N/A</v>
      </c>
      <c r="P1023" t="e">
        <f t="shared" si="106"/>
        <v>#N/A</v>
      </c>
      <c r="Q1023" t="e">
        <f t="shared" si="107"/>
        <v>#N/A</v>
      </c>
      <c r="U1023">
        <f>C1023/Navio!$J$4</f>
        <v>13.922913019539617</v>
      </c>
    </row>
    <row r="1024" spans="1:21" x14ac:dyDescent="0.3">
      <c r="A1024">
        <v>1022</v>
      </c>
      <c r="B1024" s="47">
        <v>259.31323779276431</v>
      </c>
      <c r="C1024" s="46">
        <v>258.27680380095501</v>
      </c>
      <c r="D1024" s="1">
        <v>27</v>
      </c>
      <c r="E1024" s="1" t="s">
        <v>50</v>
      </c>
      <c r="F1024" s="1" t="s">
        <v>50</v>
      </c>
      <c r="G1024" s="1" t="s">
        <v>50</v>
      </c>
      <c r="H1024" s="1" t="s">
        <v>50</v>
      </c>
      <c r="I1024" s="1" t="s">
        <v>50</v>
      </c>
      <c r="J1024" s="1" t="s">
        <v>50</v>
      </c>
      <c r="K1024" s="1" t="s">
        <v>50</v>
      </c>
      <c r="L1024">
        <f t="shared" si="103"/>
        <v>259.31323779276431</v>
      </c>
      <c r="M1024" t="e">
        <f t="shared" si="102"/>
        <v>#N/A</v>
      </c>
      <c r="N1024" t="e">
        <f t="shared" si="104"/>
        <v>#N/A</v>
      </c>
      <c r="O1024" t="e">
        <f t="shared" si="105"/>
        <v>#N/A</v>
      </c>
      <c r="P1024" t="e">
        <f t="shared" si="106"/>
        <v>#N/A</v>
      </c>
      <c r="Q1024" t="e">
        <f t="shared" si="107"/>
        <v>#N/A</v>
      </c>
      <c r="U1024">
        <f>C1024/Navio!$J$4</f>
        <v>13.945843786957646</v>
      </c>
    </row>
    <row r="1025" spans="1:21" x14ac:dyDescent="0.3">
      <c r="A1025">
        <v>1023</v>
      </c>
      <c r="B1025" s="47">
        <v>155</v>
      </c>
      <c r="C1025" s="46">
        <v>262.66207541244108</v>
      </c>
      <c r="D1025" s="1">
        <v>28</v>
      </c>
      <c r="E1025" s="1" t="s">
        <v>50</v>
      </c>
      <c r="F1025" s="1" t="s">
        <v>50</v>
      </c>
      <c r="G1025" s="1" t="s">
        <v>50</v>
      </c>
      <c r="H1025" s="1" t="s">
        <v>50</v>
      </c>
      <c r="I1025" s="1" t="s">
        <v>50</v>
      </c>
      <c r="J1025" s="1" t="s">
        <v>50</v>
      </c>
      <c r="K1025" s="1" t="s">
        <v>50</v>
      </c>
      <c r="L1025">
        <f t="shared" si="103"/>
        <v>310</v>
      </c>
      <c r="M1025" t="e">
        <f t="shared" si="102"/>
        <v>#N/A</v>
      </c>
      <c r="N1025" t="e">
        <f t="shared" si="104"/>
        <v>#N/A</v>
      </c>
      <c r="O1025" t="e">
        <f t="shared" si="105"/>
        <v>#N/A</v>
      </c>
      <c r="P1025" t="e">
        <f t="shared" si="106"/>
        <v>#N/A</v>
      </c>
      <c r="Q1025" t="e">
        <f t="shared" si="107"/>
        <v>#N/A</v>
      </c>
      <c r="U1025">
        <f>C1025/Navio!$J$4</f>
        <v>14.182629715686637</v>
      </c>
    </row>
    <row r="1026" spans="1:21" x14ac:dyDescent="0.3">
      <c r="A1026">
        <v>1024</v>
      </c>
      <c r="B1026" s="47">
        <v>236.50311828350391</v>
      </c>
      <c r="C1026" s="46">
        <v>269.3277299122887</v>
      </c>
      <c r="D1026" s="1">
        <v>29</v>
      </c>
      <c r="E1026" s="1" t="s">
        <v>50</v>
      </c>
      <c r="F1026" s="1" t="s">
        <v>50</v>
      </c>
      <c r="G1026" s="1" t="s">
        <v>50</v>
      </c>
      <c r="H1026" s="1" t="s">
        <v>50</v>
      </c>
      <c r="I1026" s="1" t="s">
        <v>50</v>
      </c>
      <c r="J1026" s="1" t="s">
        <v>50</v>
      </c>
      <c r="K1026" s="1" t="s">
        <v>50</v>
      </c>
      <c r="L1026">
        <f t="shared" si="103"/>
        <v>473.00623656700782</v>
      </c>
      <c r="M1026" t="e">
        <f t="shared" si="102"/>
        <v>#N/A</v>
      </c>
      <c r="N1026" t="e">
        <f t="shared" si="104"/>
        <v>#N/A</v>
      </c>
      <c r="O1026" t="e">
        <f t="shared" si="105"/>
        <v>#N/A</v>
      </c>
      <c r="P1026" t="e">
        <f t="shared" si="106"/>
        <v>#N/A</v>
      </c>
      <c r="Q1026" t="e">
        <f t="shared" si="107"/>
        <v>#N/A</v>
      </c>
      <c r="U1026">
        <f>C1026/Navio!$J$4</f>
        <v>14.542546576297728</v>
      </c>
    </row>
    <row r="1027" spans="1:21" x14ac:dyDescent="0.3">
      <c r="A1027">
        <v>1025</v>
      </c>
      <c r="B1027" s="47">
        <v>165.08096849368502</v>
      </c>
      <c r="C1027" s="46">
        <v>274.21244887601097</v>
      </c>
      <c r="D1027" s="1">
        <v>30</v>
      </c>
      <c r="E1027" s="1" t="s">
        <v>50</v>
      </c>
      <c r="F1027" s="1" t="s">
        <v>50</v>
      </c>
      <c r="G1027" s="1" t="s">
        <v>50</v>
      </c>
      <c r="H1027" s="1" t="s">
        <v>50</v>
      </c>
      <c r="I1027" s="1" t="s">
        <v>50</v>
      </c>
      <c r="J1027" s="1" t="s">
        <v>50</v>
      </c>
      <c r="K1027" s="1" t="s">
        <v>50</v>
      </c>
      <c r="L1027">
        <f t="shared" si="103"/>
        <v>165.08096849368502</v>
      </c>
      <c r="M1027" t="e">
        <f t="shared" ref="M1027:M1090" si="108">VLOOKUP(E1027,$Y$2:$Z$80,2)</f>
        <v>#N/A</v>
      </c>
      <c r="N1027" t="e">
        <f t="shared" si="104"/>
        <v>#N/A</v>
      </c>
      <c r="O1027" t="e">
        <f t="shared" si="105"/>
        <v>#N/A</v>
      </c>
      <c r="P1027" t="e">
        <f t="shared" si="106"/>
        <v>#N/A</v>
      </c>
      <c r="Q1027" t="e">
        <f t="shared" si="107"/>
        <v>#N/A</v>
      </c>
      <c r="U1027">
        <f>C1027/Navio!$J$4</f>
        <v>14.806300527906014</v>
      </c>
    </row>
    <row r="1028" spans="1:21" x14ac:dyDescent="0.3">
      <c r="A1028">
        <v>1026</v>
      </c>
      <c r="B1028" s="47">
        <v>100.24730815672166</v>
      </c>
      <c r="C1028" s="46">
        <v>274.36095186736924</v>
      </c>
      <c r="D1028" s="1">
        <v>31</v>
      </c>
      <c r="E1028" s="1" t="s">
        <v>50</v>
      </c>
      <c r="F1028" s="1" t="s">
        <v>50</v>
      </c>
      <c r="G1028" s="1" t="s">
        <v>50</v>
      </c>
      <c r="H1028" s="1" t="s">
        <v>50</v>
      </c>
      <c r="I1028" s="1" t="s">
        <v>50</v>
      </c>
      <c r="J1028" s="1" t="s">
        <v>50</v>
      </c>
      <c r="K1028" s="1" t="s">
        <v>50</v>
      </c>
      <c r="L1028">
        <f t="shared" si="103"/>
        <v>100.24730815672166</v>
      </c>
      <c r="M1028" t="e">
        <f t="shared" si="108"/>
        <v>#N/A</v>
      </c>
      <c r="N1028" t="e">
        <f t="shared" si="104"/>
        <v>#N/A</v>
      </c>
      <c r="O1028" t="e">
        <f t="shared" si="105"/>
        <v>#N/A</v>
      </c>
      <c r="P1028" t="e">
        <f t="shared" si="106"/>
        <v>#N/A</v>
      </c>
      <c r="Q1028" t="e">
        <f t="shared" si="107"/>
        <v>#N/A</v>
      </c>
      <c r="U1028">
        <f>C1028/Navio!$J$4</f>
        <v>14.81431905488521</v>
      </c>
    </row>
    <row r="1029" spans="1:21" x14ac:dyDescent="0.3">
      <c r="A1029">
        <v>1027</v>
      </c>
      <c r="B1029" s="47">
        <v>473.00623656700782</v>
      </c>
      <c r="C1029" s="46">
        <v>274.59200304101341</v>
      </c>
      <c r="D1029" s="1">
        <v>32</v>
      </c>
      <c r="E1029" s="1" t="s">
        <v>50</v>
      </c>
      <c r="F1029" s="1" t="s">
        <v>50</v>
      </c>
      <c r="G1029" s="1" t="s">
        <v>50</v>
      </c>
      <c r="H1029" s="1" t="s">
        <v>50</v>
      </c>
      <c r="I1029" s="1" t="s">
        <v>50</v>
      </c>
      <c r="J1029" s="1" t="s">
        <v>50</v>
      </c>
      <c r="K1029" s="1" t="s">
        <v>50</v>
      </c>
      <c r="L1029">
        <f t="shared" si="103"/>
        <v>473.00623656700782</v>
      </c>
      <c r="M1029" t="e">
        <f t="shared" si="108"/>
        <v>#N/A</v>
      </c>
      <c r="N1029" t="e">
        <f t="shared" si="104"/>
        <v>#N/A</v>
      </c>
      <c r="O1029" t="e">
        <f t="shared" si="105"/>
        <v>#N/A</v>
      </c>
      <c r="P1029" t="e">
        <f t="shared" si="106"/>
        <v>#N/A</v>
      </c>
      <c r="Q1029" t="e">
        <f t="shared" si="107"/>
        <v>#N/A</v>
      </c>
      <c r="U1029">
        <f>C1029/Navio!$J$4</f>
        <v>14.826794830978979</v>
      </c>
    </row>
    <row r="1030" spans="1:21" x14ac:dyDescent="0.3">
      <c r="A1030">
        <v>1028</v>
      </c>
      <c r="B1030" s="47">
        <v>141.13805181087204</v>
      </c>
      <c r="C1030" s="46">
        <v>279.17785576407829</v>
      </c>
      <c r="D1030" s="1">
        <v>33</v>
      </c>
      <c r="E1030" s="1" t="s">
        <v>50</v>
      </c>
      <c r="F1030" s="1" t="s">
        <v>50</v>
      </c>
      <c r="G1030" s="1" t="s">
        <v>50</v>
      </c>
      <c r="H1030" s="1" t="s">
        <v>50</v>
      </c>
      <c r="I1030" s="1" t="s">
        <v>50</v>
      </c>
      <c r="J1030" s="1" t="s">
        <v>50</v>
      </c>
      <c r="K1030" s="1" t="s">
        <v>50</v>
      </c>
      <c r="L1030">
        <f t="shared" si="103"/>
        <v>141.13805181087204</v>
      </c>
      <c r="M1030" t="e">
        <f t="shared" si="108"/>
        <v>#N/A</v>
      </c>
      <c r="N1030" t="e">
        <f t="shared" si="104"/>
        <v>#N/A</v>
      </c>
      <c r="O1030" t="e">
        <f t="shared" si="105"/>
        <v>#N/A</v>
      </c>
      <c r="P1030" t="e">
        <f t="shared" si="106"/>
        <v>#N/A</v>
      </c>
      <c r="Q1030" t="e">
        <f t="shared" si="107"/>
        <v>#N/A</v>
      </c>
      <c r="U1030">
        <f>C1030/Navio!$J$4</f>
        <v>15.074411282648963</v>
      </c>
    </row>
    <row r="1031" spans="1:21" x14ac:dyDescent="0.3">
      <c r="A1031">
        <v>1029</v>
      </c>
      <c r="B1031" s="47">
        <v>378.70759553895641</v>
      </c>
      <c r="C1031" s="46">
        <v>258.72840141431107</v>
      </c>
      <c r="D1031" s="1">
        <v>25</v>
      </c>
      <c r="E1031" s="1">
        <v>26</v>
      </c>
      <c r="F1031" s="1" t="s">
        <v>50</v>
      </c>
      <c r="G1031" s="1" t="s">
        <v>50</v>
      </c>
      <c r="H1031" s="1" t="s">
        <v>50</v>
      </c>
      <c r="I1031" s="1" t="s">
        <v>50</v>
      </c>
      <c r="J1031" s="1" t="s">
        <v>50</v>
      </c>
      <c r="K1031" s="1" t="s">
        <v>50</v>
      </c>
      <c r="L1031">
        <f t="shared" si="103"/>
        <v>157.92278957999292</v>
      </c>
      <c r="M1031">
        <f t="shared" si="108"/>
        <v>220.78480595896349</v>
      </c>
      <c r="N1031" t="e">
        <f t="shared" si="104"/>
        <v>#N/A</v>
      </c>
      <c r="O1031" t="e">
        <f t="shared" si="105"/>
        <v>#N/A</v>
      </c>
      <c r="P1031" t="e">
        <f t="shared" si="106"/>
        <v>#N/A</v>
      </c>
      <c r="Q1031" t="e">
        <f t="shared" si="107"/>
        <v>#N/A</v>
      </c>
      <c r="U1031">
        <f>C1031/Navio!$J$4</f>
        <v>13.970228128399627</v>
      </c>
    </row>
    <row r="1032" spans="1:21" x14ac:dyDescent="0.3">
      <c r="A1032">
        <v>1030</v>
      </c>
      <c r="B1032" s="47">
        <v>417.23602737275723</v>
      </c>
      <c r="C1032" s="46">
        <v>258.69539816676382</v>
      </c>
      <c r="D1032" s="1">
        <v>25</v>
      </c>
      <c r="E1032" s="1">
        <v>27</v>
      </c>
      <c r="F1032" s="1" t="s">
        <v>50</v>
      </c>
      <c r="G1032" s="1" t="s">
        <v>50</v>
      </c>
      <c r="H1032" s="1" t="s">
        <v>50</v>
      </c>
      <c r="I1032" s="1" t="s">
        <v>50</v>
      </c>
      <c r="J1032" s="1" t="s">
        <v>50</v>
      </c>
      <c r="K1032" s="1" t="s">
        <v>50</v>
      </c>
      <c r="L1032">
        <f t="shared" si="103"/>
        <v>157.92278957999292</v>
      </c>
      <c r="M1032">
        <f t="shared" si="108"/>
        <v>259.31323779276431</v>
      </c>
      <c r="N1032" t="e">
        <f t="shared" si="104"/>
        <v>#N/A</v>
      </c>
      <c r="O1032" t="e">
        <f t="shared" si="105"/>
        <v>#N/A</v>
      </c>
      <c r="P1032" t="e">
        <f t="shared" si="106"/>
        <v>#N/A</v>
      </c>
      <c r="Q1032" t="e">
        <f t="shared" si="107"/>
        <v>#N/A</v>
      </c>
      <c r="U1032">
        <f>C1032/Navio!$J$4</f>
        <v>13.968446094055146</v>
      </c>
    </row>
    <row r="1033" spans="1:21" x14ac:dyDescent="0.3">
      <c r="A1033">
        <v>1031</v>
      </c>
      <c r="B1033" s="47">
        <v>312.92278957999292</v>
      </c>
      <c r="C1033" s="46">
        <v>265.32403979535957</v>
      </c>
      <c r="D1033" s="1">
        <v>25</v>
      </c>
      <c r="E1033" s="1">
        <v>28</v>
      </c>
      <c r="F1033" s="1" t="s">
        <v>50</v>
      </c>
      <c r="G1033" s="1" t="s">
        <v>50</v>
      </c>
      <c r="H1033" s="1" t="s">
        <v>50</v>
      </c>
      <c r="I1033" s="1" t="s">
        <v>50</v>
      </c>
      <c r="J1033" s="1" t="s">
        <v>50</v>
      </c>
      <c r="K1033" s="1" t="s">
        <v>50</v>
      </c>
      <c r="L1033">
        <f t="shared" si="103"/>
        <v>157.92278957999292</v>
      </c>
      <c r="M1033">
        <f t="shared" si="108"/>
        <v>310</v>
      </c>
      <c r="N1033" t="e">
        <f t="shared" si="104"/>
        <v>#N/A</v>
      </c>
      <c r="O1033" t="e">
        <f t="shared" si="105"/>
        <v>#N/A</v>
      </c>
      <c r="P1033" t="e">
        <f t="shared" si="106"/>
        <v>#N/A</v>
      </c>
      <c r="Q1033" t="e">
        <f t="shared" si="107"/>
        <v>#N/A</v>
      </c>
      <c r="U1033">
        <f>C1033/Navio!$J$4</f>
        <v>14.326364417774851</v>
      </c>
    </row>
    <row r="1034" spans="1:21" x14ac:dyDescent="0.3">
      <c r="A1034">
        <v>1032</v>
      </c>
      <c r="B1034" s="47">
        <v>394.42590786349683</v>
      </c>
      <c r="C1034" s="46">
        <v>272.19394346560557</v>
      </c>
      <c r="D1034" s="1">
        <v>25</v>
      </c>
      <c r="E1034" s="1">
        <v>29</v>
      </c>
      <c r="F1034" s="1" t="s">
        <v>50</v>
      </c>
      <c r="G1034" s="1" t="s">
        <v>50</v>
      </c>
      <c r="H1034" s="1" t="s">
        <v>50</v>
      </c>
      <c r="I1034" s="1" t="s">
        <v>50</v>
      </c>
      <c r="J1034" s="1" t="s">
        <v>50</v>
      </c>
      <c r="K1034" s="1" t="s">
        <v>50</v>
      </c>
      <c r="L1034">
        <f t="shared" si="103"/>
        <v>157.92278957999292</v>
      </c>
      <c r="M1034">
        <f t="shared" si="108"/>
        <v>473.00623656700782</v>
      </c>
      <c r="N1034" t="e">
        <f t="shared" si="104"/>
        <v>#N/A</v>
      </c>
      <c r="O1034" t="e">
        <f t="shared" si="105"/>
        <v>#N/A</v>
      </c>
      <c r="P1034" t="e">
        <f t="shared" si="106"/>
        <v>#N/A</v>
      </c>
      <c r="Q1034" t="e">
        <f t="shared" si="107"/>
        <v>#N/A</v>
      </c>
      <c r="U1034">
        <f>C1034/Navio!$J$4</f>
        <v>14.697309860829554</v>
      </c>
    </row>
    <row r="1035" spans="1:21" x14ac:dyDescent="0.3">
      <c r="A1035">
        <v>1033</v>
      </c>
      <c r="B1035" s="47">
        <v>323.00375807367794</v>
      </c>
      <c r="C1035" s="46">
        <v>276.9865862406831</v>
      </c>
      <c r="D1035" s="1">
        <v>25</v>
      </c>
      <c r="E1035" s="1">
        <v>30</v>
      </c>
      <c r="F1035" s="1" t="s">
        <v>50</v>
      </c>
      <c r="G1035" s="1" t="s">
        <v>50</v>
      </c>
      <c r="H1035" s="1" t="s">
        <v>50</v>
      </c>
      <c r="I1035" s="1" t="s">
        <v>50</v>
      </c>
      <c r="J1035" s="1" t="s">
        <v>50</v>
      </c>
      <c r="K1035" s="1" t="s">
        <v>50</v>
      </c>
      <c r="L1035">
        <f t="shared" si="103"/>
        <v>157.92278957999292</v>
      </c>
      <c r="M1035">
        <f t="shared" si="108"/>
        <v>165.08096849368502</v>
      </c>
      <c r="N1035" t="e">
        <f t="shared" si="104"/>
        <v>#N/A</v>
      </c>
      <c r="O1035" t="e">
        <f t="shared" si="105"/>
        <v>#N/A</v>
      </c>
      <c r="P1035" t="e">
        <f t="shared" si="106"/>
        <v>#N/A</v>
      </c>
      <c r="Q1035" t="e">
        <f t="shared" si="107"/>
        <v>#N/A</v>
      </c>
      <c r="U1035">
        <f>C1035/Navio!$J$4</f>
        <v>14.956092091693119</v>
      </c>
    </row>
    <row r="1036" spans="1:21" x14ac:dyDescent="0.3">
      <c r="A1036">
        <v>1034</v>
      </c>
      <c r="B1036" s="47">
        <v>258.17009773671458</v>
      </c>
      <c r="C1036" s="46">
        <v>277.12073084685829</v>
      </c>
      <c r="D1036" s="1">
        <v>25</v>
      </c>
      <c r="E1036" s="1">
        <v>31</v>
      </c>
      <c r="F1036" s="1" t="s">
        <v>50</v>
      </c>
      <c r="G1036" s="1" t="s">
        <v>50</v>
      </c>
      <c r="H1036" s="1" t="s">
        <v>50</v>
      </c>
      <c r="I1036" s="1" t="s">
        <v>50</v>
      </c>
      <c r="J1036" s="1" t="s">
        <v>50</v>
      </c>
      <c r="K1036" s="1" t="s">
        <v>50</v>
      </c>
      <c r="L1036">
        <f t="shared" si="103"/>
        <v>157.92278957999292</v>
      </c>
      <c r="M1036">
        <f t="shared" si="108"/>
        <v>100.24730815672166</v>
      </c>
      <c r="N1036" t="e">
        <f t="shared" si="104"/>
        <v>#N/A</v>
      </c>
      <c r="O1036" t="e">
        <f t="shared" si="105"/>
        <v>#N/A</v>
      </c>
      <c r="P1036" t="e">
        <f t="shared" si="106"/>
        <v>#N/A</v>
      </c>
      <c r="Q1036" t="e">
        <f t="shared" si="107"/>
        <v>#N/A</v>
      </c>
      <c r="U1036">
        <f>C1036/Navio!$J$4</f>
        <v>14.963335327225892</v>
      </c>
    </row>
    <row r="1037" spans="1:21" x14ac:dyDescent="0.3">
      <c r="A1037">
        <v>1035</v>
      </c>
      <c r="B1037" s="47">
        <v>630.92902614700074</v>
      </c>
      <c r="C1037" s="46">
        <v>276.28749890801203</v>
      </c>
      <c r="D1037" s="1">
        <v>25</v>
      </c>
      <c r="E1037" s="1">
        <v>32</v>
      </c>
      <c r="F1037" s="1" t="s">
        <v>50</v>
      </c>
      <c r="G1037" s="1" t="s">
        <v>50</v>
      </c>
      <c r="H1037" s="1" t="s">
        <v>50</v>
      </c>
      <c r="I1037" s="1" t="s">
        <v>50</v>
      </c>
      <c r="J1037" s="1" t="s">
        <v>50</v>
      </c>
      <c r="K1037" s="1" t="s">
        <v>50</v>
      </c>
      <c r="L1037">
        <f t="shared" ref="L1037:L1100" si="109">VLOOKUP(D1037,$Y$2:$Z$80,2)</f>
        <v>157.92278957999292</v>
      </c>
      <c r="M1037">
        <f t="shared" si="108"/>
        <v>473.00623656700782</v>
      </c>
      <c r="N1037" t="e">
        <f t="shared" ref="N1037:N1100" si="110">VLOOKUP(F1037,$Y$2:$Z$80,2)</f>
        <v>#N/A</v>
      </c>
      <c r="O1037" t="e">
        <f t="shared" ref="O1037:O1100" si="111">VLOOKUP(G1037,$Y$2:$Z$80,2)</f>
        <v>#N/A</v>
      </c>
      <c r="P1037" t="e">
        <f t="shared" ref="P1037:P1100" si="112">VLOOKUP(H1037,$Y$2:$Z$80,2)</f>
        <v>#N/A</v>
      </c>
      <c r="Q1037" t="e">
        <f t="shared" ref="Q1037:Q1100" si="113">VLOOKUP(I1037,$Y$2:$Z$80,2)</f>
        <v>#N/A</v>
      </c>
      <c r="U1037">
        <f>C1037/Navio!$J$4</f>
        <v>14.918344362933144</v>
      </c>
    </row>
    <row r="1038" spans="1:21" x14ac:dyDescent="0.3">
      <c r="A1038">
        <v>1036</v>
      </c>
      <c r="B1038" s="47">
        <v>299.06084139086499</v>
      </c>
      <c r="C1038" s="46">
        <v>281.33381919137963</v>
      </c>
      <c r="D1038" s="1">
        <v>25</v>
      </c>
      <c r="E1038" s="1">
        <v>33</v>
      </c>
      <c r="F1038" s="1" t="s">
        <v>50</v>
      </c>
      <c r="G1038" s="1" t="s">
        <v>50</v>
      </c>
      <c r="H1038" s="1" t="s">
        <v>50</v>
      </c>
      <c r="I1038" s="1" t="s">
        <v>50</v>
      </c>
      <c r="J1038" s="1" t="s">
        <v>50</v>
      </c>
      <c r="K1038" s="1" t="s">
        <v>50</v>
      </c>
      <c r="L1038">
        <f t="shared" si="109"/>
        <v>157.92278957999292</v>
      </c>
      <c r="M1038">
        <f t="shared" si="108"/>
        <v>141.13805181087204</v>
      </c>
      <c r="N1038" t="e">
        <f t="shared" si="110"/>
        <v>#N/A</v>
      </c>
      <c r="O1038" t="e">
        <f t="shared" si="111"/>
        <v>#N/A</v>
      </c>
      <c r="P1038" t="e">
        <f t="shared" si="112"/>
        <v>#N/A</v>
      </c>
      <c r="Q1038" t="e">
        <f t="shared" si="113"/>
        <v>#N/A</v>
      </c>
      <c r="U1038">
        <f>C1038/Navio!$J$4</f>
        <v>15.190824095278895</v>
      </c>
    </row>
    <row r="1039" spans="1:21" x14ac:dyDescent="0.3">
      <c r="A1039">
        <v>1037</v>
      </c>
      <c r="B1039" s="47">
        <v>480.0980437517278</v>
      </c>
      <c r="C1039" s="46">
        <v>259.50128915935352</v>
      </c>
      <c r="D1039" s="1">
        <v>26</v>
      </c>
      <c r="E1039" s="1">
        <v>27</v>
      </c>
      <c r="F1039" s="1" t="s">
        <v>50</v>
      </c>
      <c r="G1039" s="1" t="s">
        <v>50</v>
      </c>
      <c r="H1039" s="1" t="s">
        <v>50</v>
      </c>
      <c r="I1039" s="1" t="s">
        <v>50</v>
      </c>
      <c r="J1039" s="1" t="s">
        <v>50</v>
      </c>
      <c r="K1039" s="1" t="s">
        <v>50</v>
      </c>
      <c r="L1039">
        <f t="shared" si="109"/>
        <v>220.78480595896349</v>
      </c>
      <c r="M1039">
        <f t="shared" si="108"/>
        <v>259.31323779276431</v>
      </c>
      <c r="N1039" t="e">
        <f t="shared" si="110"/>
        <v>#N/A</v>
      </c>
      <c r="O1039" t="e">
        <f t="shared" si="111"/>
        <v>#N/A</v>
      </c>
      <c r="P1039" t="e">
        <f t="shared" si="112"/>
        <v>#N/A</v>
      </c>
      <c r="Q1039" t="e">
        <f t="shared" si="113"/>
        <v>#N/A</v>
      </c>
      <c r="U1039">
        <f>C1039/Navio!$J$4</f>
        <v>14.011960764078063</v>
      </c>
    </row>
    <row r="1040" spans="1:21" x14ac:dyDescent="0.3">
      <c r="A1040">
        <v>1038</v>
      </c>
      <c r="B1040" s="47">
        <v>375.78480595896349</v>
      </c>
      <c r="C1040" s="46">
        <v>274.18844415236634</v>
      </c>
      <c r="D1040" s="1">
        <v>26</v>
      </c>
      <c r="E1040" s="1">
        <v>28</v>
      </c>
      <c r="F1040" s="1" t="s">
        <v>50</v>
      </c>
      <c r="G1040" s="1" t="s">
        <v>50</v>
      </c>
      <c r="H1040" s="1" t="s">
        <v>50</v>
      </c>
      <c r="I1040" s="1" t="s">
        <v>50</v>
      </c>
      <c r="J1040" s="1" t="s">
        <v>50</v>
      </c>
      <c r="K1040" s="1" t="s">
        <v>50</v>
      </c>
      <c r="L1040">
        <f t="shared" si="109"/>
        <v>220.78480595896349</v>
      </c>
      <c r="M1040">
        <f t="shared" si="108"/>
        <v>310</v>
      </c>
      <c r="N1040" t="e">
        <f t="shared" si="110"/>
        <v>#N/A</v>
      </c>
      <c r="O1040" t="e">
        <f t="shared" si="111"/>
        <v>#N/A</v>
      </c>
      <c r="P1040" t="e">
        <f t="shared" si="112"/>
        <v>#N/A</v>
      </c>
      <c r="Q1040" t="e">
        <f t="shared" si="113"/>
        <v>#N/A</v>
      </c>
      <c r="U1040">
        <f>C1040/Navio!$J$4</f>
        <v>14.805004375401531</v>
      </c>
    </row>
    <row r="1041" spans="1:21" x14ac:dyDescent="0.3">
      <c r="A1041">
        <v>1039</v>
      </c>
      <c r="B1041" s="47">
        <v>457.2879242424674</v>
      </c>
      <c r="C1041" s="46">
        <v>279.83337064209258</v>
      </c>
      <c r="D1041" s="1">
        <v>26</v>
      </c>
      <c r="E1041" s="1">
        <v>29</v>
      </c>
      <c r="F1041" s="1" t="s">
        <v>50</v>
      </c>
      <c r="G1041" s="1" t="s">
        <v>50</v>
      </c>
      <c r="H1041" s="1" t="s">
        <v>50</v>
      </c>
      <c r="I1041" s="1" t="s">
        <v>50</v>
      </c>
      <c r="J1041" s="1" t="s">
        <v>50</v>
      </c>
      <c r="K1041" s="1" t="s">
        <v>50</v>
      </c>
      <c r="L1041">
        <f t="shared" si="109"/>
        <v>220.78480595896349</v>
      </c>
      <c r="M1041">
        <f t="shared" si="108"/>
        <v>473.00623656700782</v>
      </c>
      <c r="N1041" t="e">
        <f t="shared" si="110"/>
        <v>#N/A</v>
      </c>
      <c r="O1041" t="e">
        <f t="shared" si="111"/>
        <v>#N/A</v>
      </c>
      <c r="P1041" t="e">
        <f t="shared" si="112"/>
        <v>#N/A</v>
      </c>
      <c r="Q1041" t="e">
        <f t="shared" si="113"/>
        <v>#N/A</v>
      </c>
      <c r="U1041">
        <f>C1041/Navio!$J$4</f>
        <v>15.109806285042826</v>
      </c>
    </row>
    <row r="1042" spans="1:21" x14ac:dyDescent="0.3">
      <c r="A1042">
        <v>1040</v>
      </c>
      <c r="B1042" s="47">
        <v>385.86577445264851</v>
      </c>
      <c r="C1042" s="46">
        <v>283.77562893039749</v>
      </c>
      <c r="D1042" s="1">
        <v>26</v>
      </c>
      <c r="E1042" s="1">
        <v>30</v>
      </c>
      <c r="F1042" s="1" t="s">
        <v>50</v>
      </c>
      <c r="G1042" s="1" t="s">
        <v>50</v>
      </c>
      <c r="H1042" s="1" t="s">
        <v>50</v>
      </c>
      <c r="I1042" s="1" t="s">
        <v>50</v>
      </c>
      <c r="J1042" s="1" t="s">
        <v>50</v>
      </c>
      <c r="K1042" s="1" t="s">
        <v>50</v>
      </c>
      <c r="L1042">
        <f t="shared" si="109"/>
        <v>220.78480595896349</v>
      </c>
      <c r="M1042">
        <f t="shared" si="108"/>
        <v>165.08096849368502</v>
      </c>
      <c r="N1042" t="e">
        <f t="shared" si="110"/>
        <v>#N/A</v>
      </c>
      <c r="O1042" t="e">
        <f t="shared" si="111"/>
        <v>#N/A</v>
      </c>
      <c r="P1042" t="e">
        <f t="shared" si="112"/>
        <v>#N/A</v>
      </c>
      <c r="Q1042" t="e">
        <f t="shared" si="113"/>
        <v>#N/A</v>
      </c>
      <c r="U1042">
        <f>C1042/Navio!$J$4</f>
        <v>15.322671387318557</v>
      </c>
    </row>
    <row r="1043" spans="1:21" x14ac:dyDescent="0.3">
      <c r="A1043">
        <v>1041</v>
      </c>
      <c r="B1043" s="47">
        <v>321.03211411568515</v>
      </c>
      <c r="C1043" s="46">
        <v>283.87629089765392</v>
      </c>
      <c r="D1043" s="1">
        <v>26</v>
      </c>
      <c r="E1043" s="1">
        <v>31</v>
      </c>
      <c r="F1043" s="1" t="s">
        <v>50</v>
      </c>
      <c r="G1043" s="1" t="s">
        <v>50</v>
      </c>
      <c r="H1043" s="1" t="s">
        <v>50</v>
      </c>
      <c r="I1043" s="1" t="s">
        <v>50</v>
      </c>
      <c r="J1043" s="1" t="s">
        <v>50</v>
      </c>
      <c r="K1043" s="1" t="s">
        <v>50</v>
      </c>
      <c r="L1043">
        <f t="shared" si="109"/>
        <v>220.78480595896349</v>
      </c>
      <c r="M1043">
        <f t="shared" si="108"/>
        <v>100.24730815672166</v>
      </c>
      <c r="N1043" t="e">
        <f t="shared" si="110"/>
        <v>#N/A</v>
      </c>
      <c r="O1043" t="e">
        <f t="shared" si="111"/>
        <v>#N/A</v>
      </c>
      <c r="P1043" t="e">
        <f t="shared" si="112"/>
        <v>#N/A</v>
      </c>
      <c r="Q1043" t="e">
        <f t="shared" si="113"/>
        <v>#N/A</v>
      </c>
      <c r="U1043">
        <f>C1043/Navio!$J$4</f>
        <v>15.328106703421229</v>
      </c>
    </row>
    <row r="1044" spans="1:21" x14ac:dyDescent="0.3">
      <c r="A1044">
        <v>1042</v>
      </c>
      <c r="B1044" s="47">
        <v>693.79104252597131</v>
      </c>
      <c r="C1044" s="46">
        <v>281.91028966183569</v>
      </c>
      <c r="D1044" s="1">
        <v>26</v>
      </c>
      <c r="E1044" s="1">
        <v>32</v>
      </c>
      <c r="F1044" s="1" t="s">
        <v>50</v>
      </c>
      <c r="G1044" s="1" t="s">
        <v>50</v>
      </c>
      <c r="H1044" s="1" t="s">
        <v>50</v>
      </c>
      <c r="I1044" s="1" t="s">
        <v>50</v>
      </c>
      <c r="J1044" s="1" t="s">
        <v>50</v>
      </c>
      <c r="K1044" s="1" t="s">
        <v>50</v>
      </c>
      <c r="L1044">
        <f t="shared" si="109"/>
        <v>220.78480595896349</v>
      </c>
      <c r="M1044">
        <f t="shared" si="108"/>
        <v>473.00623656700782</v>
      </c>
      <c r="N1044" t="e">
        <f t="shared" si="110"/>
        <v>#N/A</v>
      </c>
      <c r="O1044" t="e">
        <f t="shared" si="111"/>
        <v>#N/A</v>
      </c>
      <c r="P1044" t="e">
        <f t="shared" si="112"/>
        <v>#N/A</v>
      </c>
      <c r="Q1044" t="e">
        <f t="shared" si="113"/>
        <v>#N/A</v>
      </c>
      <c r="U1044">
        <f>C1044/Navio!$J$4</f>
        <v>15.22195103742183</v>
      </c>
    </row>
    <row r="1045" spans="1:21" x14ac:dyDescent="0.3">
      <c r="A1045">
        <v>1043</v>
      </c>
      <c r="B1045" s="47">
        <v>361.92285776983556</v>
      </c>
      <c r="C1045" s="46">
        <v>286.91392535579394</v>
      </c>
      <c r="D1045" s="1">
        <v>26</v>
      </c>
      <c r="E1045" s="1">
        <v>33</v>
      </c>
      <c r="F1045" s="1" t="s">
        <v>50</v>
      </c>
      <c r="G1045" s="1" t="s">
        <v>50</v>
      </c>
      <c r="H1045" s="1" t="s">
        <v>50</v>
      </c>
      <c r="I1045" s="1" t="s">
        <v>50</v>
      </c>
      <c r="J1045" s="1" t="s">
        <v>50</v>
      </c>
      <c r="K1045" s="1" t="s">
        <v>50</v>
      </c>
      <c r="L1045">
        <f t="shared" si="109"/>
        <v>220.78480595896349</v>
      </c>
      <c r="M1045">
        <f t="shared" si="108"/>
        <v>141.13805181087204</v>
      </c>
      <c r="N1045" t="e">
        <f t="shared" si="110"/>
        <v>#N/A</v>
      </c>
      <c r="O1045" t="e">
        <f t="shared" si="111"/>
        <v>#N/A</v>
      </c>
      <c r="P1045" t="e">
        <f t="shared" si="112"/>
        <v>#N/A</v>
      </c>
      <c r="Q1045" t="e">
        <f t="shared" si="113"/>
        <v>#N/A</v>
      </c>
      <c r="U1045">
        <f>C1045/Navio!$J$4</f>
        <v>15.492125984330976</v>
      </c>
    </row>
    <row r="1046" spans="1:21" x14ac:dyDescent="0.3">
      <c r="A1046">
        <v>1044</v>
      </c>
      <c r="B1046" s="47">
        <v>414.31323779276431</v>
      </c>
      <c r="C1046" s="46">
        <v>272.96435762133035</v>
      </c>
      <c r="D1046" s="1">
        <v>27</v>
      </c>
      <c r="E1046" s="1">
        <v>28</v>
      </c>
      <c r="F1046" s="1" t="s">
        <v>50</v>
      </c>
      <c r="G1046" s="1" t="s">
        <v>50</v>
      </c>
      <c r="H1046" s="1" t="s">
        <v>50</v>
      </c>
      <c r="I1046" s="1" t="s">
        <v>50</v>
      </c>
      <c r="J1046" s="1" t="s">
        <v>50</v>
      </c>
      <c r="K1046" s="1" t="s">
        <v>50</v>
      </c>
      <c r="L1046">
        <f t="shared" si="109"/>
        <v>259.31323779276431</v>
      </c>
      <c r="M1046">
        <f t="shared" si="108"/>
        <v>310</v>
      </c>
      <c r="N1046" t="e">
        <f t="shared" si="110"/>
        <v>#N/A</v>
      </c>
      <c r="O1046" t="e">
        <f t="shared" si="111"/>
        <v>#N/A</v>
      </c>
      <c r="P1046" t="e">
        <f t="shared" si="112"/>
        <v>#N/A</v>
      </c>
      <c r="Q1046" t="e">
        <f t="shared" si="113"/>
        <v>#N/A</v>
      </c>
      <c r="U1046">
        <f>C1046/Navio!$J$4</f>
        <v>14.738908933254496</v>
      </c>
    </row>
    <row r="1047" spans="1:21" x14ac:dyDescent="0.3">
      <c r="A1047">
        <v>1045</v>
      </c>
      <c r="B1047" s="47">
        <v>495.81635607626822</v>
      </c>
      <c r="C1047" s="46">
        <v>278.62897633353202</v>
      </c>
      <c r="D1047" s="1">
        <v>27</v>
      </c>
      <c r="E1047" s="1">
        <v>29</v>
      </c>
      <c r="F1047" s="1" t="s">
        <v>50</v>
      </c>
      <c r="G1047" s="1" t="s">
        <v>50</v>
      </c>
      <c r="H1047" s="1" t="s">
        <v>50</v>
      </c>
      <c r="I1047" s="1" t="s">
        <v>50</v>
      </c>
      <c r="J1047" s="1" t="s">
        <v>50</v>
      </c>
      <c r="K1047" s="1" t="s">
        <v>50</v>
      </c>
      <c r="L1047">
        <f t="shared" si="109"/>
        <v>259.31323779276431</v>
      </c>
      <c r="M1047">
        <f t="shared" si="108"/>
        <v>473.00623656700782</v>
      </c>
      <c r="N1047" t="e">
        <f t="shared" si="110"/>
        <v>#N/A</v>
      </c>
      <c r="O1047" t="e">
        <f t="shared" si="111"/>
        <v>#N/A</v>
      </c>
      <c r="P1047" t="e">
        <f t="shared" si="112"/>
        <v>#N/A</v>
      </c>
      <c r="Q1047" t="e">
        <f t="shared" si="113"/>
        <v>#N/A</v>
      </c>
      <c r="U1047">
        <f>C1047/Navio!$J$4</f>
        <v>15.044774138764483</v>
      </c>
    </row>
    <row r="1048" spans="1:21" x14ac:dyDescent="0.3">
      <c r="A1048">
        <v>1046</v>
      </c>
      <c r="B1048" s="47">
        <v>424.39420628644933</v>
      </c>
      <c r="C1048" s="46">
        <v>282.61028177234289</v>
      </c>
      <c r="D1048" s="1">
        <v>27</v>
      </c>
      <c r="E1048" s="1">
        <v>30</v>
      </c>
      <c r="F1048" s="1" t="s">
        <v>50</v>
      </c>
      <c r="G1048" s="1" t="s">
        <v>50</v>
      </c>
      <c r="H1048" s="1" t="s">
        <v>50</v>
      </c>
      <c r="I1048" s="1" t="s">
        <v>50</v>
      </c>
      <c r="J1048" s="1" t="s">
        <v>50</v>
      </c>
      <c r="K1048" s="1" t="s">
        <v>50</v>
      </c>
      <c r="L1048">
        <f t="shared" si="109"/>
        <v>259.31323779276431</v>
      </c>
      <c r="M1048">
        <f t="shared" si="108"/>
        <v>165.08096849368502</v>
      </c>
      <c r="N1048" t="e">
        <f t="shared" si="110"/>
        <v>#N/A</v>
      </c>
      <c r="O1048" t="e">
        <f t="shared" si="111"/>
        <v>#N/A</v>
      </c>
      <c r="P1048" t="e">
        <f t="shared" si="112"/>
        <v>#N/A</v>
      </c>
      <c r="Q1048" t="e">
        <f t="shared" si="113"/>
        <v>#N/A</v>
      </c>
      <c r="U1048">
        <f>C1048/Navio!$J$4</f>
        <v>15.259747620318834</v>
      </c>
    </row>
    <row r="1049" spans="1:21" x14ac:dyDescent="0.3">
      <c r="A1049">
        <v>1047</v>
      </c>
      <c r="B1049" s="47">
        <v>359.56054594948597</v>
      </c>
      <c r="C1049" s="46">
        <v>282.71263975260297</v>
      </c>
      <c r="D1049" s="1">
        <v>27</v>
      </c>
      <c r="E1049" s="1">
        <v>31</v>
      </c>
      <c r="F1049" s="1" t="s">
        <v>50</v>
      </c>
      <c r="G1049" s="1" t="s">
        <v>50</v>
      </c>
      <c r="H1049" s="1" t="s">
        <v>50</v>
      </c>
      <c r="I1049" s="1" t="s">
        <v>50</v>
      </c>
      <c r="J1049" s="1" t="s">
        <v>50</v>
      </c>
      <c r="K1049" s="1" t="s">
        <v>50</v>
      </c>
      <c r="L1049">
        <f t="shared" si="109"/>
        <v>259.31323779276431</v>
      </c>
      <c r="M1049">
        <f t="shared" si="108"/>
        <v>100.24730815672166</v>
      </c>
      <c r="N1049" t="e">
        <f t="shared" si="110"/>
        <v>#N/A</v>
      </c>
      <c r="O1049" t="e">
        <f t="shared" si="111"/>
        <v>#N/A</v>
      </c>
      <c r="P1049" t="e">
        <f t="shared" si="112"/>
        <v>#N/A</v>
      </c>
      <c r="Q1049" t="e">
        <f t="shared" si="113"/>
        <v>#N/A</v>
      </c>
      <c r="U1049">
        <f>C1049/Navio!$J$4</f>
        <v>15.26527451387663</v>
      </c>
    </row>
    <row r="1050" spans="1:21" x14ac:dyDescent="0.3">
      <c r="A1050">
        <v>1048</v>
      </c>
      <c r="B1050" s="47">
        <v>732.31947435977213</v>
      </c>
      <c r="C1050" s="46">
        <v>280.79202487055255</v>
      </c>
      <c r="D1050" s="1">
        <v>27</v>
      </c>
      <c r="E1050" s="1">
        <v>32</v>
      </c>
      <c r="F1050" s="1" t="s">
        <v>50</v>
      </c>
      <c r="G1050" s="1" t="s">
        <v>50</v>
      </c>
      <c r="H1050" s="1" t="s">
        <v>50</v>
      </c>
      <c r="I1050" s="1" t="s">
        <v>50</v>
      </c>
      <c r="J1050" s="1" t="s">
        <v>50</v>
      </c>
      <c r="K1050" s="1" t="s">
        <v>50</v>
      </c>
      <c r="L1050">
        <f t="shared" si="109"/>
        <v>259.31323779276431</v>
      </c>
      <c r="M1050">
        <f t="shared" si="108"/>
        <v>473.00623656700782</v>
      </c>
      <c r="N1050" t="e">
        <f t="shared" si="110"/>
        <v>#N/A</v>
      </c>
      <c r="O1050" t="e">
        <f t="shared" si="111"/>
        <v>#N/A</v>
      </c>
      <c r="P1050" t="e">
        <f t="shared" si="112"/>
        <v>#N/A</v>
      </c>
      <c r="Q1050" t="e">
        <f t="shared" si="113"/>
        <v>#N/A</v>
      </c>
      <c r="U1050">
        <f>C1050/Navio!$J$4</f>
        <v>15.161569517044537</v>
      </c>
    </row>
    <row r="1051" spans="1:21" x14ac:dyDescent="0.3">
      <c r="A1051">
        <v>1049</v>
      </c>
      <c r="B1051" s="47">
        <v>400.45128960363638</v>
      </c>
      <c r="C1051" s="46">
        <v>285.82329854906811</v>
      </c>
      <c r="D1051" s="1">
        <v>27</v>
      </c>
      <c r="E1051" s="1">
        <v>33</v>
      </c>
      <c r="F1051" s="1" t="s">
        <v>50</v>
      </c>
      <c r="G1051" s="1" t="s">
        <v>50</v>
      </c>
      <c r="H1051" s="1" t="s">
        <v>50</v>
      </c>
      <c r="I1051" s="1" t="s">
        <v>50</v>
      </c>
      <c r="J1051" s="1" t="s">
        <v>50</v>
      </c>
      <c r="K1051" s="1" t="s">
        <v>50</v>
      </c>
      <c r="L1051">
        <f t="shared" si="109"/>
        <v>259.31323779276431</v>
      </c>
      <c r="M1051">
        <f t="shared" si="108"/>
        <v>141.13805181087204</v>
      </c>
      <c r="N1051" t="e">
        <f t="shared" si="110"/>
        <v>#N/A</v>
      </c>
      <c r="O1051" t="e">
        <f t="shared" si="111"/>
        <v>#N/A</v>
      </c>
      <c r="P1051" t="e">
        <f t="shared" si="112"/>
        <v>#N/A</v>
      </c>
      <c r="Q1051" t="e">
        <f t="shared" si="113"/>
        <v>#N/A</v>
      </c>
      <c r="U1051">
        <f>C1051/Navio!$J$4</f>
        <v>15.433236797022508</v>
      </c>
    </row>
    <row r="1052" spans="1:21" x14ac:dyDescent="0.3">
      <c r="A1052">
        <v>1050</v>
      </c>
      <c r="B1052" s="47">
        <v>391.50311828350391</v>
      </c>
      <c r="C1052" s="46">
        <v>269.57782905121087</v>
      </c>
      <c r="D1052" s="1">
        <v>28</v>
      </c>
      <c r="E1052" s="1">
        <v>29</v>
      </c>
      <c r="F1052" s="1" t="s">
        <v>50</v>
      </c>
      <c r="G1052" s="1" t="s">
        <v>50</v>
      </c>
      <c r="H1052" s="1" t="s">
        <v>50</v>
      </c>
      <c r="I1052" s="1" t="s">
        <v>50</v>
      </c>
      <c r="J1052" s="1" t="s">
        <v>50</v>
      </c>
      <c r="K1052" s="1" t="s">
        <v>50</v>
      </c>
      <c r="L1052">
        <f t="shared" si="109"/>
        <v>310</v>
      </c>
      <c r="M1052">
        <f t="shared" si="108"/>
        <v>473.00623656700782</v>
      </c>
      <c r="N1052" t="e">
        <f t="shared" si="110"/>
        <v>#N/A</v>
      </c>
      <c r="O1052" t="e">
        <f t="shared" si="111"/>
        <v>#N/A</v>
      </c>
      <c r="P1052" t="e">
        <f t="shared" si="112"/>
        <v>#N/A</v>
      </c>
      <c r="Q1052" t="e">
        <f t="shared" si="113"/>
        <v>#N/A</v>
      </c>
      <c r="U1052">
        <f>C1052/Navio!$J$4</f>
        <v>14.55605086112444</v>
      </c>
    </row>
    <row r="1053" spans="1:21" x14ac:dyDescent="0.3">
      <c r="A1053">
        <v>1051</v>
      </c>
      <c r="B1053" s="47">
        <v>320.08096849368502</v>
      </c>
      <c r="C1053" s="46">
        <v>274.46982282189532</v>
      </c>
      <c r="D1053" s="1">
        <v>28</v>
      </c>
      <c r="E1053" s="1">
        <v>30</v>
      </c>
      <c r="F1053" s="1" t="s">
        <v>50</v>
      </c>
      <c r="G1053" s="1" t="s">
        <v>50</v>
      </c>
      <c r="H1053" s="1" t="s">
        <v>50</v>
      </c>
      <c r="I1053" s="1" t="s">
        <v>50</v>
      </c>
      <c r="J1053" s="1" t="s">
        <v>50</v>
      </c>
      <c r="K1053" s="1" t="s">
        <v>50</v>
      </c>
      <c r="L1053">
        <f t="shared" si="109"/>
        <v>310</v>
      </c>
      <c r="M1053">
        <f t="shared" si="108"/>
        <v>165.08096849368502</v>
      </c>
      <c r="N1053" t="e">
        <f t="shared" si="110"/>
        <v>#N/A</v>
      </c>
      <c r="O1053" t="e">
        <f t="shared" si="111"/>
        <v>#N/A</v>
      </c>
      <c r="P1053" t="e">
        <f t="shared" si="112"/>
        <v>#N/A</v>
      </c>
      <c r="Q1053" t="e">
        <f t="shared" si="113"/>
        <v>#N/A</v>
      </c>
      <c r="U1053">
        <f>C1053/Navio!$J$4</f>
        <v>14.820197621223393</v>
      </c>
    </row>
    <row r="1054" spans="1:21" x14ac:dyDescent="0.3">
      <c r="A1054">
        <v>1052</v>
      </c>
      <c r="B1054" s="47">
        <v>255.24730815672166</v>
      </c>
      <c r="C1054" s="46">
        <v>274.61152195982038</v>
      </c>
      <c r="D1054" s="1">
        <v>28</v>
      </c>
      <c r="E1054" s="1">
        <v>31</v>
      </c>
      <c r="F1054" s="1" t="s">
        <v>50</v>
      </c>
      <c r="G1054" s="1" t="s">
        <v>50</v>
      </c>
      <c r="H1054" s="1" t="s">
        <v>50</v>
      </c>
      <c r="I1054" s="1" t="s">
        <v>50</v>
      </c>
      <c r="J1054" s="1" t="s">
        <v>50</v>
      </c>
      <c r="K1054" s="1" t="s">
        <v>50</v>
      </c>
      <c r="L1054">
        <f t="shared" si="109"/>
        <v>310</v>
      </c>
      <c r="M1054">
        <f t="shared" si="108"/>
        <v>100.24730815672166</v>
      </c>
      <c r="N1054" t="e">
        <f t="shared" si="110"/>
        <v>#N/A</v>
      </c>
      <c r="O1054" t="e">
        <f t="shared" si="111"/>
        <v>#N/A</v>
      </c>
      <c r="P1054" t="e">
        <f t="shared" si="112"/>
        <v>#N/A</v>
      </c>
      <c r="Q1054" t="e">
        <f t="shared" si="113"/>
        <v>#N/A</v>
      </c>
      <c r="U1054">
        <f>C1054/Navio!$J$4</f>
        <v>14.827848769190101</v>
      </c>
    </row>
    <row r="1055" spans="1:21" x14ac:dyDescent="0.3">
      <c r="A1055">
        <v>1053</v>
      </c>
      <c r="B1055" s="47">
        <v>628.00623656700782</v>
      </c>
      <c r="C1055" s="46">
        <v>274.64143265158862</v>
      </c>
      <c r="D1055" s="1">
        <v>28</v>
      </c>
      <c r="E1055" s="1">
        <v>32</v>
      </c>
      <c r="F1055" s="1" t="s">
        <v>50</v>
      </c>
      <c r="G1055" s="1" t="s">
        <v>50</v>
      </c>
      <c r="H1055" s="1" t="s">
        <v>50</v>
      </c>
      <c r="I1055" s="1" t="s">
        <v>50</v>
      </c>
      <c r="J1055" s="1" t="s">
        <v>50</v>
      </c>
      <c r="K1055" s="1" t="s">
        <v>50</v>
      </c>
      <c r="L1055">
        <f t="shared" si="109"/>
        <v>310</v>
      </c>
      <c r="M1055">
        <f t="shared" si="108"/>
        <v>473.00623656700782</v>
      </c>
      <c r="N1055" t="e">
        <f t="shared" si="110"/>
        <v>#N/A</v>
      </c>
      <c r="O1055" t="e">
        <f t="shared" si="111"/>
        <v>#N/A</v>
      </c>
      <c r="P1055" t="e">
        <f t="shared" si="112"/>
        <v>#N/A</v>
      </c>
      <c r="Q1055" t="e">
        <f t="shared" si="113"/>
        <v>#N/A</v>
      </c>
      <c r="U1055">
        <f>C1055/Navio!$J$4</f>
        <v>14.829463818737025</v>
      </c>
    </row>
    <row r="1056" spans="1:21" x14ac:dyDescent="0.3">
      <c r="A1056">
        <v>1054</v>
      </c>
      <c r="B1056" s="47">
        <v>296.13805181087207</v>
      </c>
      <c r="C1056" s="46">
        <v>279.22212745531908</v>
      </c>
      <c r="D1056" s="1">
        <v>28</v>
      </c>
      <c r="E1056" s="1">
        <v>33</v>
      </c>
      <c r="F1056" s="1" t="s">
        <v>50</v>
      </c>
      <c r="G1056" s="1" t="s">
        <v>50</v>
      </c>
      <c r="H1056" s="1" t="s">
        <v>50</v>
      </c>
      <c r="I1056" s="1" t="s">
        <v>50</v>
      </c>
      <c r="J1056" s="1" t="s">
        <v>50</v>
      </c>
      <c r="K1056" s="1" t="s">
        <v>50</v>
      </c>
      <c r="L1056">
        <f t="shared" si="109"/>
        <v>310</v>
      </c>
      <c r="M1056">
        <f t="shared" si="108"/>
        <v>141.13805181087204</v>
      </c>
      <c r="N1056" t="e">
        <f t="shared" si="110"/>
        <v>#N/A</v>
      </c>
      <c r="O1056" t="e">
        <f t="shared" si="111"/>
        <v>#N/A</v>
      </c>
      <c r="P1056" t="e">
        <f t="shared" si="112"/>
        <v>#N/A</v>
      </c>
      <c r="Q1056" t="e">
        <f t="shared" si="113"/>
        <v>#N/A</v>
      </c>
      <c r="U1056">
        <f>C1056/Navio!$J$4</f>
        <v>15.07680176480277</v>
      </c>
    </row>
    <row r="1057" spans="1:21" x14ac:dyDescent="0.3">
      <c r="A1057">
        <v>1055</v>
      </c>
      <c r="B1057" s="47">
        <v>401.58408677718893</v>
      </c>
      <c r="C1057" s="46">
        <v>274.24855400289306</v>
      </c>
      <c r="D1057" s="1">
        <v>29</v>
      </c>
      <c r="E1057" s="1">
        <v>30</v>
      </c>
      <c r="F1057" s="1" t="s">
        <v>50</v>
      </c>
      <c r="G1057" s="1" t="s">
        <v>50</v>
      </c>
      <c r="H1057" s="1" t="s">
        <v>50</v>
      </c>
      <c r="I1057" s="1" t="s">
        <v>50</v>
      </c>
      <c r="J1057" s="1" t="s">
        <v>50</v>
      </c>
      <c r="K1057" s="1" t="s">
        <v>50</v>
      </c>
      <c r="L1057">
        <f t="shared" si="109"/>
        <v>473.00623656700782</v>
      </c>
      <c r="M1057">
        <f t="shared" si="108"/>
        <v>165.08096849368502</v>
      </c>
      <c r="N1057" t="e">
        <f t="shared" si="110"/>
        <v>#N/A</v>
      </c>
      <c r="O1057" t="e">
        <f t="shared" si="111"/>
        <v>#N/A</v>
      </c>
      <c r="P1057" t="e">
        <f t="shared" si="112"/>
        <v>#N/A</v>
      </c>
      <c r="Q1057" t="e">
        <f t="shared" si="113"/>
        <v>#N/A</v>
      </c>
      <c r="U1057">
        <f>C1057/Navio!$J$4</f>
        <v>14.808250050480229</v>
      </c>
    </row>
    <row r="1058" spans="1:21" x14ac:dyDescent="0.3">
      <c r="A1058">
        <v>1056</v>
      </c>
      <c r="B1058" s="47">
        <v>336.75042644022557</v>
      </c>
      <c r="C1058" s="46">
        <v>274.39382197305304</v>
      </c>
      <c r="D1058" s="1">
        <v>29</v>
      </c>
      <c r="E1058" s="1">
        <v>31</v>
      </c>
      <c r="F1058" s="1" t="s">
        <v>50</v>
      </c>
      <c r="G1058" s="1" t="s">
        <v>50</v>
      </c>
      <c r="H1058" s="1" t="s">
        <v>50</v>
      </c>
      <c r="I1058" s="1" t="s">
        <v>50</v>
      </c>
      <c r="J1058" s="1" t="s">
        <v>50</v>
      </c>
      <c r="K1058" s="1" t="s">
        <v>50</v>
      </c>
      <c r="L1058">
        <f t="shared" si="109"/>
        <v>473.00623656700782</v>
      </c>
      <c r="M1058">
        <f t="shared" si="108"/>
        <v>100.24730815672166</v>
      </c>
      <c r="N1058" t="e">
        <f t="shared" si="110"/>
        <v>#N/A</v>
      </c>
      <c r="O1058" t="e">
        <f t="shared" si="111"/>
        <v>#N/A</v>
      </c>
      <c r="P1058" t="e">
        <f t="shared" si="112"/>
        <v>#N/A</v>
      </c>
      <c r="Q1058" t="e">
        <f t="shared" si="113"/>
        <v>#N/A</v>
      </c>
      <c r="U1058">
        <f>C1058/Navio!$J$4</f>
        <v>14.816093900137982</v>
      </c>
    </row>
    <row r="1059" spans="1:21" x14ac:dyDescent="0.3">
      <c r="A1059">
        <v>1057</v>
      </c>
      <c r="B1059" s="47">
        <v>709.50935485051173</v>
      </c>
      <c r="C1059" s="46">
        <v>275.34202533815096</v>
      </c>
      <c r="D1059" s="1">
        <v>29</v>
      </c>
      <c r="E1059" s="1">
        <v>32</v>
      </c>
      <c r="F1059" s="1" t="s">
        <v>50</v>
      </c>
      <c r="G1059" s="1" t="s">
        <v>50</v>
      </c>
      <c r="H1059" s="1" t="s">
        <v>50</v>
      </c>
      <c r="I1059" s="1" t="s">
        <v>50</v>
      </c>
      <c r="J1059" s="1" t="s">
        <v>50</v>
      </c>
      <c r="K1059" s="1" t="s">
        <v>50</v>
      </c>
      <c r="L1059">
        <f t="shared" si="109"/>
        <v>473.00623656700782</v>
      </c>
      <c r="M1059">
        <f t="shared" si="108"/>
        <v>473.00623656700782</v>
      </c>
      <c r="N1059" t="e">
        <f t="shared" si="110"/>
        <v>#N/A</v>
      </c>
      <c r="O1059" t="e">
        <f t="shared" si="111"/>
        <v>#N/A</v>
      </c>
      <c r="P1059" t="e">
        <f t="shared" si="112"/>
        <v>#N/A</v>
      </c>
      <c r="Q1059" t="e">
        <f t="shared" si="113"/>
        <v>#N/A</v>
      </c>
      <c r="U1059">
        <f>C1059/Navio!$J$4</f>
        <v>14.867292830174742</v>
      </c>
    </row>
    <row r="1060" spans="1:21" x14ac:dyDescent="0.3">
      <c r="A1060">
        <v>1058</v>
      </c>
      <c r="B1060" s="47">
        <v>377.64117009437598</v>
      </c>
      <c r="C1060" s="46">
        <v>279.20205628923782</v>
      </c>
      <c r="D1060" s="1">
        <v>29</v>
      </c>
      <c r="E1060" s="1">
        <v>33</v>
      </c>
      <c r="F1060" s="1" t="s">
        <v>50</v>
      </c>
      <c r="G1060" s="1" t="s">
        <v>50</v>
      </c>
      <c r="H1060" s="1" t="s">
        <v>50</v>
      </c>
      <c r="I1060" s="1" t="s">
        <v>50</v>
      </c>
      <c r="J1060" s="1" t="s">
        <v>50</v>
      </c>
      <c r="K1060" s="1" t="s">
        <v>50</v>
      </c>
      <c r="L1060">
        <f t="shared" si="109"/>
        <v>473.00623656700782</v>
      </c>
      <c r="M1060">
        <f t="shared" si="108"/>
        <v>141.13805181087204</v>
      </c>
      <c r="N1060" t="e">
        <f t="shared" si="110"/>
        <v>#N/A</v>
      </c>
      <c r="O1060" t="e">
        <f t="shared" si="111"/>
        <v>#N/A</v>
      </c>
      <c r="P1060" t="e">
        <f t="shared" si="112"/>
        <v>#N/A</v>
      </c>
      <c r="Q1060" t="e">
        <f t="shared" si="113"/>
        <v>#N/A</v>
      </c>
      <c r="U1060">
        <f>C1060/Navio!$J$4</f>
        <v>15.075718007598592</v>
      </c>
    </row>
    <row r="1061" spans="1:21" x14ac:dyDescent="0.3">
      <c r="A1061">
        <v>1059</v>
      </c>
      <c r="B1061" s="47">
        <v>265.32827665040668</v>
      </c>
      <c r="C1061" s="46">
        <v>274.36219969124545</v>
      </c>
      <c r="D1061" s="1">
        <v>30</v>
      </c>
      <c r="E1061" s="1">
        <v>31</v>
      </c>
      <c r="F1061" s="1" t="s">
        <v>50</v>
      </c>
      <c r="G1061" s="1" t="s">
        <v>50</v>
      </c>
      <c r="H1061" s="1" t="s">
        <v>50</v>
      </c>
      <c r="I1061" s="1" t="s">
        <v>50</v>
      </c>
      <c r="J1061" s="1" t="s">
        <v>50</v>
      </c>
      <c r="K1061" s="1" t="s">
        <v>50</v>
      </c>
      <c r="L1061">
        <f t="shared" si="109"/>
        <v>165.08096849368502</v>
      </c>
      <c r="M1061">
        <f t="shared" si="108"/>
        <v>100.24730815672166</v>
      </c>
      <c r="N1061" t="e">
        <f t="shared" si="110"/>
        <v>#N/A</v>
      </c>
      <c r="O1061" t="e">
        <f t="shared" si="111"/>
        <v>#N/A</v>
      </c>
      <c r="P1061" t="e">
        <f t="shared" si="112"/>
        <v>#N/A</v>
      </c>
      <c r="Q1061" t="e">
        <f t="shared" si="113"/>
        <v>#N/A</v>
      </c>
      <c r="U1061">
        <f>C1061/Navio!$J$4</f>
        <v>14.814386432042568</v>
      </c>
    </row>
    <row r="1062" spans="1:21" x14ac:dyDescent="0.3">
      <c r="A1062">
        <v>1060</v>
      </c>
      <c r="B1062" s="47">
        <v>638.0872050606929</v>
      </c>
      <c r="C1062" s="46">
        <v>276.97786752510922</v>
      </c>
      <c r="D1062" s="1">
        <v>30</v>
      </c>
      <c r="E1062" s="1">
        <v>32</v>
      </c>
      <c r="F1062" s="1" t="s">
        <v>50</v>
      </c>
      <c r="G1062" s="1" t="s">
        <v>50</v>
      </c>
      <c r="H1062" s="1" t="s">
        <v>50</v>
      </c>
      <c r="I1062" s="1" t="s">
        <v>50</v>
      </c>
      <c r="J1062" s="1" t="s">
        <v>50</v>
      </c>
      <c r="K1062" s="1" t="s">
        <v>50</v>
      </c>
      <c r="L1062">
        <f t="shared" si="109"/>
        <v>165.08096849368502</v>
      </c>
      <c r="M1062">
        <f t="shared" si="108"/>
        <v>473.00623656700782</v>
      </c>
      <c r="N1062" t="e">
        <f t="shared" si="110"/>
        <v>#N/A</v>
      </c>
      <c r="O1062" t="e">
        <f t="shared" si="111"/>
        <v>#N/A</v>
      </c>
      <c r="P1062" t="e">
        <f t="shared" si="112"/>
        <v>#N/A</v>
      </c>
      <c r="Q1062" t="e">
        <f t="shared" si="113"/>
        <v>#N/A</v>
      </c>
      <c r="U1062">
        <f>C1062/Navio!$J$4</f>
        <v>14.955621318307251</v>
      </c>
    </row>
    <row r="1063" spans="1:21" x14ac:dyDescent="0.3">
      <c r="A1063">
        <v>1061</v>
      </c>
      <c r="B1063" s="47">
        <v>306.21902030455703</v>
      </c>
      <c r="C1063" s="46">
        <v>279.3436669192464</v>
      </c>
      <c r="D1063" s="1">
        <v>30</v>
      </c>
      <c r="E1063" s="1">
        <v>33</v>
      </c>
      <c r="F1063" s="1" t="s">
        <v>50</v>
      </c>
      <c r="G1063" s="1" t="s">
        <v>50</v>
      </c>
      <c r="H1063" s="1" t="s">
        <v>50</v>
      </c>
      <c r="I1063" s="1" t="s">
        <v>50</v>
      </c>
      <c r="J1063" s="1" t="s">
        <v>50</v>
      </c>
      <c r="K1063" s="1" t="s">
        <v>50</v>
      </c>
      <c r="L1063">
        <f t="shared" si="109"/>
        <v>165.08096849368502</v>
      </c>
      <c r="M1063">
        <f t="shared" si="108"/>
        <v>141.13805181087204</v>
      </c>
      <c r="N1063" t="e">
        <f t="shared" si="110"/>
        <v>#N/A</v>
      </c>
      <c r="O1063" t="e">
        <f t="shared" si="111"/>
        <v>#N/A</v>
      </c>
      <c r="P1063" t="e">
        <f t="shared" si="112"/>
        <v>#N/A</v>
      </c>
      <c r="Q1063" t="e">
        <f t="shared" si="113"/>
        <v>#N/A</v>
      </c>
      <c r="U1063">
        <f>C1063/Navio!$J$4</f>
        <v>15.083364376516005</v>
      </c>
    </row>
    <row r="1064" spans="1:21" x14ac:dyDescent="0.3">
      <c r="A1064">
        <v>1062</v>
      </c>
      <c r="B1064" s="47">
        <v>573.25354472372942</v>
      </c>
      <c r="C1064" s="46">
        <v>277.03474455893291</v>
      </c>
      <c r="D1064" s="1">
        <v>31</v>
      </c>
      <c r="E1064" s="1">
        <v>32</v>
      </c>
      <c r="F1064" s="1" t="s">
        <v>50</v>
      </c>
      <c r="G1064" s="1" t="s">
        <v>50</v>
      </c>
      <c r="H1064" s="1" t="s">
        <v>50</v>
      </c>
      <c r="I1064" s="1" t="s">
        <v>50</v>
      </c>
      <c r="J1064" s="1" t="s">
        <v>50</v>
      </c>
      <c r="K1064" s="1" t="s">
        <v>50</v>
      </c>
      <c r="L1064">
        <f t="shared" si="109"/>
        <v>100.24730815672166</v>
      </c>
      <c r="M1064">
        <f t="shared" si="108"/>
        <v>473.00623656700782</v>
      </c>
      <c r="N1064" t="e">
        <f t="shared" si="110"/>
        <v>#N/A</v>
      </c>
      <c r="O1064" t="e">
        <f t="shared" si="111"/>
        <v>#N/A</v>
      </c>
      <c r="P1064" t="e">
        <f t="shared" si="112"/>
        <v>#N/A</v>
      </c>
      <c r="Q1064" t="e">
        <f t="shared" si="113"/>
        <v>#N/A</v>
      </c>
      <c r="U1064">
        <f>C1064/Navio!$J$4</f>
        <v>14.958692435097833</v>
      </c>
    </row>
    <row r="1065" spans="1:21" x14ac:dyDescent="0.3">
      <c r="A1065">
        <v>1063</v>
      </c>
      <c r="B1065" s="47">
        <v>241.3853599675937</v>
      </c>
      <c r="C1065" s="46">
        <v>279.34363245311067</v>
      </c>
      <c r="D1065" s="1">
        <v>31</v>
      </c>
      <c r="E1065" s="1">
        <v>33</v>
      </c>
      <c r="F1065" s="1" t="s">
        <v>50</v>
      </c>
      <c r="G1065" s="1" t="s">
        <v>50</v>
      </c>
      <c r="H1065" s="1" t="s">
        <v>50</v>
      </c>
      <c r="I1065" s="1" t="s">
        <v>50</v>
      </c>
      <c r="J1065" s="1" t="s">
        <v>50</v>
      </c>
      <c r="K1065" s="1" t="s">
        <v>50</v>
      </c>
      <c r="L1065">
        <f t="shared" si="109"/>
        <v>100.24730815672166</v>
      </c>
      <c r="M1065">
        <f t="shared" si="108"/>
        <v>141.13805181087204</v>
      </c>
      <c r="N1065" t="e">
        <f t="shared" si="110"/>
        <v>#N/A</v>
      </c>
      <c r="O1065" t="e">
        <f t="shared" si="111"/>
        <v>#N/A</v>
      </c>
      <c r="P1065" t="e">
        <f t="shared" si="112"/>
        <v>#N/A</v>
      </c>
      <c r="Q1065" t="e">
        <f t="shared" si="113"/>
        <v>#N/A</v>
      </c>
      <c r="U1065">
        <f>C1065/Navio!$J$4</f>
        <v>15.083362515491949</v>
      </c>
    </row>
    <row r="1066" spans="1:21" x14ac:dyDescent="0.3">
      <c r="A1066">
        <v>1064</v>
      </c>
      <c r="B1066" s="47">
        <v>614.14428837787989</v>
      </c>
      <c r="C1066" s="46">
        <v>279.72083398588848</v>
      </c>
      <c r="D1066" s="1">
        <v>32</v>
      </c>
      <c r="E1066" s="1">
        <v>33</v>
      </c>
      <c r="F1066" s="1" t="s">
        <v>50</v>
      </c>
      <c r="G1066" s="1" t="s">
        <v>50</v>
      </c>
      <c r="H1066" s="1" t="s">
        <v>50</v>
      </c>
      <c r="I1066" s="1" t="s">
        <v>50</v>
      </c>
      <c r="J1066" s="1" t="s">
        <v>50</v>
      </c>
      <c r="K1066" s="1" t="s">
        <v>50</v>
      </c>
      <c r="L1066">
        <f t="shared" si="109"/>
        <v>473.00623656700782</v>
      </c>
      <c r="M1066">
        <f t="shared" si="108"/>
        <v>141.13805181087204</v>
      </c>
      <c r="N1066" t="e">
        <f t="shared" si="110"/>
        <v>#N/A</v>
      </c>
      <c r="O1066" t="e">
        <f t="shared" si="111"/>
        <v>#N/A</v>
      </c>
      <c r="P1066" t="e">
        <f t="shared" si="112"/>
        <v>#N/A</v>
      </c>
      <c r="Q1066" t="e">
        <f t="shared" si="113"/>
        <v>#N/A</v>
      </c>
      <c r="U1066">
        <f>C1066/Navio!$J$4</f>
        <v>15.103729786477594</v>
      </c>
    </row>
    <row r="1067" spans="1:21" x14ac:dyDescent="0.3">
      <c r="A1067">
        <v>1065</v>
      </c>
      <c r="B1067" s="47">
        <v>638.02083333172072</v>
      </c>
      <c r="C1067" s="46">
        <v>259.91988352516233</v>
      </c>
      <c r="D1067" s="1">
        <v>26</v>
      </c>
      <c r="E1067" s="1">
        <v>27</v>
      </c>
      <c r="F1067" s="1">
        <v>25</v>
      </c>
      <c r="G1067" s="1" t="s">
        <v>50</v>
      </c>
      <c r="H1067" s="1" t="s">
        <v>50</v>
      </c>
      <c r="I1067" s="1" t="s">
        <v>50</v>
      </c>
      <c r="J1067" s="1" t="s">
        <v>50</v>
      </c>
      <c r="K1067" s="1" t="s">
        <v>50</v>
      </c>
      <c r="L1067">
        <f t="shared" si="109"/>
        <v>220.78480595896349</v>
      </c>
      <c r="M1067">
        <f t="shared" si="108"/>
        <v>259.31323779276431</v>
      </c>
      <c r="N1067">
        <f t="shared" si="110"/>
        <v>157.92278957999292</v>
      </c>
      <c r="O1067" t="e">
        <f t="shared" si="111"/>
        <v>#N/A</v>
      </c>
      <c r="P1067" t="e">
        <f t="shared" si="112"/>
        <v>#N/A</v>
      </c>
      <c r="Q1067" t="e">
        <f t="shared" si="113"/>
        <v>#N/A</v>
      </c>
      <c r="U1067">
        <f>C1067/Navio!$J$4</f>
        <v>14.034563071175565</v>
      </c>
    </row>
    <row r="1068" spans="1:21" x14ac:dyDescent="0.3">
      <c r="A1068">
        <v>1066</v>
      </c>
      <c r="B1068" s="47">
        <v>533.70759553895641</v>
      </c>
      <c r="C1068" s="46">
        <v>275.06471921141201</v>
      </c>
      <c r="D1068" s="1">
        <v>28</v>
      </c>
      <c r="E1068" s="1">
        <v>26</v>
      </c>
      <c r="F1068" s="1">
        <v>25</v>
      </c>
      <c r="G1068" s="1" t="s">
        <v>50</v>
      </c>
      <c r="H1068" s="1" t="s">
        <v>50</v>
      </c>
      <c r="I1068" s="1" t="s">
        <v>50</v>
      </c>
      <c r="J1068" s="1" t="s">
        <v>50</v>
      </c>
      <c r="K1068" s="1" t="s">
        <v>50</v>
      </c>
      <c r="L1068">
        <f t="shared" si="109"/>
        <v>310</v>
      </c>
      <c r="M1068">
        <f t="shared" si="108"/>
        <v>220.78480595896349</v>
      </c>
      <c r="N1068">
        <f t="shared" si="110"/>
        <v>157.92278957999292</v>
      </c>
      <c r="O1068" t="e">
        <f t="shared" si="111"/>
        <v>#N/A</v>
      </c>
      <c r="P1068" t="e">
        <f t="shared" si="112"/>
        <v>#N/A</v>
      </c>
      <c r="Q1068" t="e">
        <f t="shared" si="113"/>
        <v>#N/A</v>
      </c>
      <c r="U1068">
        <f>C1068/Navio!$J$4</f>
        <v>14.852319484261541</v>
      </c>
    </row>
    <row r="1069" spans="1:21" x14ac:dyDescent="0.3">
      <c r="A1069">
        <v>1067</v>
      </c>
      <c r="B1069" s="47">
        <v>615.21071382246032</v>
      </c>
      <c r="C1069" s="46">
        <v>280.70964570113824</v>
      </c>
      <c r="D1069" s="1">
        <v>29</v>
      </c>
      <c r="E1069" s="1">
        <v>26</v>
      </c>
      <c r="F1069" s="1">
        <v>25</v>
      </c>
      <c r="G1069" s="1" t="s">
        <v>50</v>
      </c>
      <c r="H1069" s="1" t="s">
        <v>50</v>
      </c>
      <c r="I1069" s="1" t="s">
        <v>50</v>
      </c>
      <c r="J1069" s="1" t="s">
        <v>50</v>
      </c>
      <c r="K1069" s="1" t="s">
        <v>50</v>
      </c>
      <c r="L1069">
        <f t="shared" si="109"/>
        <v>473.00623656700782</v>
      </c>
      <c r="M1069">
        <f t="shared" si="108"/>
        <v>220.78480595896349</v>
      </c>
      <c r="N1069">
        <f t="shared" si="110"/>
        <v>157.92278957999292</v>
      </c>
      <c r="O1069" t="e">
        <f t="shared" si="111"/>
        <v>#N/A</v>
      </c>
      <c r="P1069" t="e">
        <f t="shared" si="112"/>
        <v>#N/A</v>
      </c>
      <c r="Q1069" t="e">
        <f t="shared" si="113"/>
        <v>#N/A</v>
      </c>
      <c r="U1069">
        <f>C1069/Navio!$J$4</f>
        <v>15.157121393902836</v>
      </c>
    </row>
    <row r="1070" spans="1:21" x14ac:dyDescent="0.3">
      <c r="A1070">
        <v>1068</v>
      </c>
      <c r="B1070" s="47">
        <v>543.78856403264149</v>
      </c>
      <c r="C1070" s="46">
        <v>284.6519039894431</v>
      </c>
      <c r="D1070" s="1">
        <v>30</v>
      </c>
      <c r="E1070" s="1">
        <v>26</v>
      </c>
      <c r="F1070" s="1">
        <v>25</v>
      </c>
      <c r="G1070" s="1" t="s">
        <v>50</v>
      </c>
      <c r="H1070" s="1" t="s">
        <v>50</v>
      </c>
      <c r="I1070" s="1" t="s">
        <v>50</v>
      </c>
      <c r="J1070" s="1" t="s">
        <v>50</v>
      </c>
      <c r="K1070" s="1" t="s">
        <v>50</v>
      </c>
      <c r="L1070">
        <f t="shared" si="109"/>
        <v>165.08096849368502</v>
      </c>
      <c r="M1070">
        <f t="shared" si="108"/>
        <v>220.78480595896349</v>
      </c>
      <c r="N1070">
        <f t="shared" si="110"/>
        <v>157.92278957999292</v>
      </c>
      <c r="O1070" t="e">
        <f t="shared" si="111"/>
        <v>#N/A</v>
      </c>
      <c r="P1070" t="e">
        <f t="shared" si="112"/>
        <v>#N/A</v>
      </c>
      <c r="Q1070" t="e">
        <f t="shared" si="113"/>
        <v>#N/A</v>
      </c>
      <c r="U1070">
        <f>C1070/Navio!$J$4</f>
        <v>15.369986496178566</v>
      </c>
    </row>
    <row r="1071" spans="1:21" x14ac:dyDescent="0.3">
      <c r="A1071">
        <v>1069</v>
      </c>
      <c r="B1071" s="47">
        <v>478.95490369567807</v>
      </c>
      <c r="C1071" s="46">
        <v>284.75256595669958</v>
      </c>
      <c r="D1071" s="1">
        <v>31</v>
      </c>
      <c r="E1071" s="1">
        <v>26</v>
      </c>
      <c r="F1071" s="1">
        <v>25</v>
      </c>
      <c r="G1071" s="1" t="s">
        <v>50</v>
      </c>
      <c r="H1071" s="1" t="s">
        <v>50</v>
      </c>
      <c r="I1071" s="1" t="s">
        <v>50</v>
      </c>
      <c r="J1071" s="1" t="s">
        <v>50</v>
      </c>
      <c r="K1071" s="1" t="s">
        <v>50</v>
      </c>
      <c r="L1071">
        <f t="shared" si="109"/>
        <v>100.24730815672166</v>
      </c>
      <c r="M1071">
        <f t="shared" si="108"/>
        <v>220.78480595896349</v>
      </c>
      <c r="N1071">
        <f t="shared" si="110"/>
        <v>157.92278957999292</v>
      </c>
      <c r="O1071" t="e">
        <f t="shared" si="111"/>
        <v>#N/A</v>
      </c>
      <c r="P1071" t="e">
        <f t="shared" si="112"/>
        <v>#N/A</v>
      </c>
      <c r="Q1071" t="e">
        <f t="shared" si="113"/>
        <v>#N/A</v>
      </c>
      <c r="U1071">
        <f>C1071/Navio!$J$4</f>
        <v>15.375421812281241</v>
      </c>
    </row>
    <row r="1072" spans="1:21" x14ac:dyDescent="0.3">
      <c r="A1072">
        <v>1070</v>
      </c>
      <c r="B1072" s="47">
        <v>851.71383210596423</v>
      </c>
      <c r="C1072" s="46">
        <v>282.78656472088136</v>
      </c>
      <c r="D1072" s="1">
        <v>32</v>
      </c>
      <c r="E1072" s="1">
        <v>26</v>
      </c>
      <c r="F1072" s="1">
        <v>25</v>
      </c>
      <c r="G1072" s="1" t="s">
        <v>50</v>
      </c>
      <c r="H1072" s="1" t="s">
        <v>50</v>
      </c>
      <c r="I1072" s="1" t="s">
        <v>50</v>
      </c>
      <c r="J1072" s="1" t="s">
        <v>50</v>
      </c>
      <c r="K1072" s="1" t="s">
        <v>50</v>
      </c>
      <c r="L1072">
        <f t="shared" si="109"/>
        <v>473.00623656700782</v>
      </c>
      <c r="M1072">
        <f t="shared" si="108"/>
        <v>220.78480595896349</v>
      </c>
      <c r="N1072">
        <f t="shared" si="110"/>
        <v>157.92278957999292</v>
      </c>
      <c r="O1072" t="e">
        <f t="shared" si="111"/>
        <v>#N/A</v>
      </c>
      <c r="P1072" t="e">
        <f t="shared" si="112"/>
        <v>#N/A</v>
      </c>
      <c r="Q1072" t="e">
        <f t="shared" si="113"/>
        <v>#N/A</v>
      </c>
      <c r="U1072">
        <f>C1072/Navio!$J$4</f>
        <v>15.26926614628184</v>
      </c>
    </row>
    <row r="1073" spans="1:21" x14ac:dyDescent="0.3">
      <c r="A1073">
        <v>1071</v>
      </c>
      <c r="B1073" s="47">
        <v>519.84564734982848</v>
      </c>
      <c r="C1073" s="46">
        <v>287.7902004148396</v>
      </c>
      <c r="D1073" s="1">
        <v>33</v>
      </c>
      <c r="E1073" s="1">
        <v>26</v>
      </c>
      <c r="F1073" s="1">
        <v>25</v>
      </c>
      <c r="G1073" s="1" t="s">
        <v>50</v>
      </c>
      <c r="H1073" s="1" t="s">
        <v>50</v>
      </c>
      <c r="I1073" s="1" t="s">
        <v>50</v>
      </c>
      <c r="J1073" s="1" t="s">
        <v>50</v>
      </c>
      <c r="K1073" s="1" t="s">
        <v>50</v>
      </c>
      <c r="L1073">
        <f t="shared" si="109"/>
        <v>141.13805181087204</v>
      </c>
      <c r="M1073">
        <f t="shared" si="108"/>
        <v>220.78480595896349</v>
      </c>
      <c r="N1073">
        <f t="shared" si="110"/>
        <v>157.92278957999292</v>
      </c>
      <c r="O1073" t="e">
        <f t="shared" si="111"/>
        <v>#N/A</v>
      </c>
      <c r="P1073" t="e">
        <f t="shared" si="112"/>
        <v>#N/A</v>
      </c>
      <c r="Q1073" t="e">
        <f t="shared" si="113"/>
        <v>#N/A</v>
      </c>
      <c r="U1073">
        <f>C1073/Navio!$J$4</f>
        <v>15.539441093190987</v>
      </c>
    </row>
    <row r="1074" spans="1:21" x14ac:dyDescent="0.3">
      <c r="A1074">
        <v>1072</v>
      </c>
      <c r="B1074" s="47">
        <v>572.23602737275723</v>
      </c>
      <c r="C1074" s="46">
        <v>273.38295198713911</v>
      </c>
      <c r="D1074" s="1">
        <v>28</v>
      </c>
      <c r="E1074" s="1">
        <v>27</v>
      </c>
      <c r="F1074" s="1">
        <v>25</v>
      </c>
      <c r="G1074" s="1" t="s">
        <v>50</v>
      </c>
      <c r="H1074" s="1" t="s">
        <v>50</v>
      </c>
      <c r="I1074" s="1" t="s">
        <v>50</v>
      </c>
      <c r="J1074" s="1" t="s">
        <v>50</v>
      </c>
      <c r="K1074" s="1" t="s">
        <v>50</v>
      </c>
      <c r="L1074">
        <f t="shared" si="109"/>
        <v>310</v>
      </c>
      <c r="M1074">
        <f t="shared" si="108"/>
        <v>259.31323779276431</v>
      </c>
      <c r="N1074">
        <f t="shared" si="110"/>
        <v>157.92278957999292</v>
      </c>
      <c r="O1074" t="e">
        <f t="shared" si="111"/>
        <v>#N/A</v>
      </c>
      <c r="P1074" t="e">
        <f t="shared" si="112"/>
        <v>#N/A</v>
      </c>
      <c r="Q1074" t="e">
        <f t="shared" si="113"/>
        <v>#N/A</v>
      </c>
      <c r="U1074">
        <f>C1074/Navio!$J$4</f>
        <v>14.761511240351995</v>
      </c>
    </row>
    <row r="1075" spans="1:21" x14ac:dyDescent="0.3">
      <c r="A1075">
        <v>1073</v>
      </c>
      <c r="B1075" s="47">
        <v>653.73914565626114</v>
      </c>
      <c r="C1075" s="46">
        <v>279.04757069934084</v>
      </c>
      <c r="D1075" s="1">
        <v>29</v>
      </c>
      <c r="E1075" s="1">
        <v>27</v>
      </c>
      <c r="F1075" s="1">
        <v>25</v>
      </c>
      <c r="G1075" s="1" t="s">
        <v>50</v>
      </c>
      <c r="H1075" s="1" t="s">
        <v>50</v>
      </c>
      <c r="I1075" s="1" t="s">
        <v>50</v>
      </c>
      <c r="J1075" s="1" t="s">
        <v>50</v>
      </c>
      <c r="K1075" s="1" t="s">
        <v>50</v>
      </c>
      <c r="L1075">
        <f t="shared" si="109"/>
        <v>473.00623656700782</v>
      </c>
      <c r="M1075">
        <f t="shared" si="108"/>
        <v>259.31323779276431</v>
      </c>
      <c r="N1075">
        <f t="shared" si="110"/>
        <v>157.92278957999292</v>
      </c>
      <c r="O1075" t="e">
        <f t="shared" si="111"/>
        <v>#N/A</v>
      </c>
      <c r="P1075" t="e">
        <f t="shared" si="112"/>
        <v>#N/A</v>
      </c>
      <c r="Q1075" t="e">
        <f t="shared" si="113"/>
        <v>#N/A</v>
      </c>
      <c r="U1075">
        <f>C1075/Navio!$J$4</f>
        <v>15.067376445861985</v>
      </c>
    </row>
    <row r="1076" spans="1:21" x14ac:dyDescent="0.3">
      <c r="A1076">
        <v>1074</v>
      </c>
      <c r="B1076" s="47">
        <v>582.31699586644231</v>
      </c>
      <c r="C1076" s="46">
        <v>283.02887613815165</v>
      </c>
      <c r="D1076" s="1">
        <v>30</v>
      </c>
      <c r="E1076" s="1">
        <v>27</v>
      </c>
      <c r="F1076" s="1">
        <v>25</v>
      </c>
      <c r="G1076" s="1" t="s">
        <v>50</v>
      </c>
      <c r="H1076" s="1" t="s">
        <v>50</v>
      </c>
      <c r="I1076" s="1" t="s">
        <v>50</v>
      </c>
      <c r="J1076" s="1" t="s">
        <v>50</v>
      </c>
      <c r="K1076" s="1" t="s">
        <v>50</v>
      </c>
      <c r="L1076">
        <f t="shared" si="109"/>
        <v>165.08096849368502</v>
      </c>
      <c r="M1076">
        <f t="shared" si="108"/>
        <v>259.31323779276431</v>
      </c>
      <c r="N1076">
        <f t="shared" si="110"/>
        <v>157.92278957999292</v>
      </c>
      <c r="O1076" t="e">
        <f t="shared" si="111"/>
        <v>#N/A</v>
      </c>
      <c r="P1076" t="e">
        <f t="shared" si="112"/>
        <v>#N/A</v>
      </c>
      <c r="Q1076" t="e">
        <f t="shared" si="113"/>
        <v>#N/A</v>
      </c>
      <c r="U1076">
        <f>C1076/Navio!$J$4</f>
        <v>15.282349927416332</v>
      </c>
    </row>
    <row r="1077" spans="1:21" x14ac:dyDescent="0.3">
      <c r="A1077">
        <v>1075</v>
      </c>
      <c r="B1077" s="47">
        <v>517.48333552947884</v>
      </c>
      <c r="C1077" s="46">
        <v>283.13123411841178</v>
      </c>
      <c r="D1077" s="1">
        <v>31</v>
      </c>
      <c r="E1077" s="1">
        <v>27</v>
      </c>
      <c r="F1077" s="1">
        <v>25</v>
      </c>
      <c r="G1077" s="1" t="s">
        <v>50</v>
      </c>
      <c r="H1077" s="1" t="s">
        <v>50</v>
      </c>
      <c r="I1077" s="1" t="s">
        <v>50</v>
      </c>
      <c r="J1077" s="1" t="s">
        <v>50</v>
      </c>
      <c r="K1077" s="1" t="s">
        <v>50</v>
      </c>
      <c r="L1077">
        <f t="shared" si="109"/>
        <v>100.24730815672166</v>
      </c>
      <c r="M1077">
        <f t="shared" si="108"/>
        <v>259.31323779276431</v>
      </c>
      <c r="N1077">
        <f t="shared" si="110"/>
        <v>157.92278957999292</v>
      </c>
      <c r="O1077" t="e">
        <f t="shared" si="111"/>
        <v>#N/A</v>
      </c>
      <c r="P1077" t="e">
        <f t="shared" si="112"/>
        <v>#N/A</v>
      </c>
      <c r="Q1077" t="e">
        <f t="shared" si="113"/>
        <v>#N/A</v>
      </c>
      <c r="U1077">
        <f>C1077/Navio!$J$4</f>
        <v>15.28787682097413</v>
      </c>
    </row>
    <row r="1078" spans="1:21" x14ac:dyDescent="0.3">
      <c r="A1078">
        <v>1076</v>
      </c>
      <c r="B1078" s="47">
        <v>890.24226393976505</v>
      </c>
      <c r="C1078" s="46">
        <v>281.21061923636137</v>
      </c>
      <c r="D1078" s="1">
        <v>32</v>
      </c>
      <c r="E1078" s="1">
        <v>27</v>
      </c>
      <c r="F1078" s="1">
        <v>25</v>
      </c>
      <c r="G1078" s="1" t="s">
        <v>50</v>
      </c>
      <c r="H1078" s="1" t="s">
        <v>50</v>
      </c>
      <c r="I1078" s="1" t="s">
        <v>50</v>
      </c>
      <c r="J1078" s="1" t="s">
        <v>50</v>
      </c>
      <c r="K1078" s="1" t="s">
        <v>50</v>
      </c>
      <c r="L1078">
        <f t="shared" si="109"/>
        <v>473.00623656700782</v>
      </c>
      <c r="M1078">
        <f t="shared" si="108"/>
        <v>259.31323779276431</v>
      </c>
      <c r="N1078">
        <f t="shared" si="110"/>
        <v>157.92278957999292</v>
      </c>
      <c r="O1078" t="e">
        <f t="shared" si="111"/>
        <v>#N/A</v>
      </c>
      <c r="P1078" t="e">
        <f t="shared" si="112"/>
        <v>#N/A</v>
      </c>
      <c r="Q1078" t="e">
        <f t="shared" si="113"/>
        <v>#N/A</v>
      </c>
      <c r="U1078">
        <f>C1078/Navio!$J$4</f>
        <v>15.184171824142037</v>
      </c>
    </row>
    <row r="1079" spans="1:21" x14ac:dyDescent="0.3">
      <c r="A1079">
        <v>1077</v>
      </c>
      <c r="B1079" s="47">
        <v>558.37407918362931</v>
      </c>
      <c r="C1079" s="46">
        <v>286.24189291487687</v>
      </c>
      <c r="D1079" s="1">
        <v>33</v>
      </c>
      <c r="E1079" s="1">
        <v>27</v>
      </c>
      <c r="F1079" s="1">
        <v>25</v>
      </c>
      <c r="G1079" s="1" t="s">
        <v>50</v>
      </c>
      <c r="H1079" s="1" t="s">
        <v>50</v>
      </c>
      <c r="I1079" s="1" t="s">
        <v>50</v>
      </c>
      <c r="J1079" s="1" t="s">
        <v>50</v>
      </c>
      <c r="K1079" s="1" t="s">
        <v>50</v>
      </c>
      <c r="L1079">
        <f t="shared" si="109"/>
        <v>141.13805181087204</v>
      </c>
      <c r="M1079">
        <f t="shared" si="108"/>
        <v>259.31323779276431</v>
      </c>
      <c r="N1079">
        <f t="shared" si="110"/>
        <v>157.92278957999292</v>
      </c>
      <c r="O1079" t="e">
        <f t="shared" si="111"/>
        <v>#N/A</v>
      </c>
      <c r="P1079" t="e">
        <f t="shared" si="112"/>
        <v>#N/A</v>
      </c>
      <c r="Q1079" t="e">
        <f t="shared" si="113"/>
        <v>#N/A</v>
      </c>
      <c r="U1079">
        <f>C1079/Navio!$J$4</f>
        <v>15.455839104120006</v>
      </c>
    </row>
    <row r="1080" spans="1:21" x14ac:dyDescent="0.3">
      <c r="A1080">
        <v>1078</v>
      </c>
      <c r="B1080" s="47">
        <v>549.42590786349683</v>
      </c>
      <c r="C1080" s="46">
        <v>272.2397934341293</v>
      </c>
      <c r="D1080" s="1">
        <v>29</v>
      </c>
      <c r="E1080" s="1">
        <v>28</v>
      </c>
      <c r="F1080" s="1">
        <v>25</v>
      </c>
      <c r="G1080" s="1" t="s">
        <v>50</v>
      </c>
      <c r="H1080" s="1" t="s">
        <v>50</v>
      </c>
      <c r="I1080" s="1" t="s">
        <v>50</v>
      </c>
      <c r="J1080" s="1" t="s">
        <v>50</v>
      </c>
      <c r="K1080" s="1" t="s">
        <v>50</v>
      </c>
      <c r="L1080">
        <f t="shared" si="109"/>
        <v>473.00623656700782</v>
      </c>
      <c r="M1080">
        <f t="shared" si="108"/>
        <v>310</v>
      </c>
      <c r="N1080">
        <f t="shared" si="110"/>
        <v>157.92278957999292</v>
      </c>
      <c r="O1080" t="e">
        <f t="shared" si="111"/>
        <v>#N/A</v>
      </c>
      <c r="P1080" t="e">
        <f t="shared" si="112"/>
        <v>#N/A</v>
      </c>
      <c r="Q1080" t="e">
        <f t="shared" si="113"/>
        <v>#N/A</v>
      </c>
      <c r="U1080">
        <f>C1080/Navio!$J$4</f>
        <v>14.69978556321265</v>
      </c>
    </row>
    <row r="1081" spans="1:21" x14ac:dyDescent="0.3">
      <c r="A1081">
        <v>1079</v>
      </c>
      <c r="B1081" s="47">
        <v>478.00375807367794</v>
      </c>
      <c r="C1081" s="46">
        <v>277.13178720481375</v>
      </c>
      <c r="D1081" s="1">
        <v>30</v>
      </c>
      <c r="E1081" s="1">
        <v>28</v>
      </c>
      <c r="F1081" s="1">
        <v>25</v>
      </c>
      <c r="G1081" s="1" t="s">
        <v>50</v>
      </c>
      <c r="H1081" s="1" t="s">
        <v>50</v>
      </c>
      <c r="I1081" s="1" t="s">
        <v>50</v>
      </c>
      <c r="J1081" s="1" t="s">
        <v>50</v>
      </c>
      <c r="K1081" s="1" t="s">
        <v>50</v>
      </c>
      <c r="L1081">
        <f t="shared" si="109"/>
        <v>165.08096849368502</v>
      </c>
      <c r="M1081">
        <f t="shared" si="108"/>
        <v>310</v>
      </c>
      <c r="N1081">
        <f t="shared" si="110"/>
        <v>157.92278957999292</v>
      </c>
      <c r="O1081" t="e">
        <f t="shared" si="111"/>
        <v>#N/A</v>
      </c>
      <c r="P1081" t="e">
        <f t="shared" si="112"/>
        <v>#N/A</v>
      </c>
      <c r="Q1081" t="e">
        <f t="shared" si="113"/>
        <v>#N/A</v>
      </c>
      <c r="U1081">
        <f>C1081/Navio!$J$4</f>
        <v>14.963932323311605</v>
      </c>
    </row>
    <row r="1082" spans="1:21" x14ac:dyDescent="0.3">
      <c r="A1082">
        <v>1080</v>
      </c>
      <c r="B1082" s="47">
        <v>413.17009773671458</v>
      </c>
      <c r="C1082" s="46">
        <v>277.27348634273886</v>
      </c>
      <c r="D1082" s="1">
        <v>31</v>
      </c>
      <c r="E1082" s="1">
        <v>28</v>
      </c>
      <c r="F1082" s="1">
        <v>25</v>
      </c>
      <c r="G1082" s="1" t="s">
        <v>50</v>
      </c>
      <c r="H1082" s="1" t="s">
        <v>50</v>
      </c>
      <c r="I1082" s="1" t="s">
        <v>50</v>
      </c>
      <c r="J1082" s="1" t="s">
        <v>50</v>
      </c>
      <c r="K1082" s="1" t="s">
        <v>50</v>
      </c>
      <c r="L1082">
        <f t="shared" si="109"/>
        <v>100.24730815672166</v>
      </c>
      <c r="M1082">
        <f t="shared" si="108"/>
        <v>310</v>
      </c>
      <c r="N1082">
        <f t="shared" si="110"/>
        <v>157.92278957999292</v>
      </c>
      <c r="O1082" t="e">
        <f t="shared" si="111"/>
        <v>#N/A</v>
      </c>
      <c r="P1082" t="e">
        <f t="shared" si="112"/>
        <v>#N/A</v>
      </c>
      <c r="Q1082" t="e">
        <f t="shared" si="113"/>
        <v>#N/A</v>
      </c>
      <c r="U1082">
        <f>C1082/Navio!$J$4</f>
        <v>14.971583471278315</v>
      </c>
    </row>
    <row r="1083" spans="1:21" x14ac:dyDescent="0.3">
      <c r="A1083">
        <v>1081</v>
      </c>
      <c r="B1083" s="47">
        <v>785.92902614700074</v>
      </c>
      <c r="C1083" s="46">
        <v>276.33692851858729</v>
      </c>
      <c r="D1083" s="1">
        <v>28</v>
      </c>
      <c r="E1083" s="1">
        <v>32</v>
      </c>
      <c r="F1083" s="1">
        <v>25</v>
      </c>
      <c r="G1083" s="1" t="s">
        <v>50</v>
      </c>
      <c r="H1083" s="1" t="s">
        <v>50</v>
      </c>
      <c r="I1083" s="1" t="s">
        <v>50</v>
      </c>
      <c r="J1083" s="1" t="s">
        <v>50</v>
      </c>
      <c r="K1083" s="1" t="s">
        <v>50</v>
      </c>
      <c r="L1083">
        <f t="shared" si="109"/>
        <v>310</v>
      </c>
      <c r="M1083">
        <f t="shared" si="108"/>
        <v>473.00623656700782</v>
      </c>
      <c r="N1083">
        <f t="shared" si="110"/>
        <v>157.92278957999292</v>
      </c>
      <c r="O1083" t="e">
        <f t="shared" si="111"/>
        <v>#N/A</v>
      </c>
      <c r="P1083" t="e">
        <f t="shared" si="112"/>
        <v>#N/A</v>
      </c>
      <c r="Q1083" t="e">
        <f t="shared" si="113"/>
        <v>#N/A</v>
      </c>
      <c r="U1083">
        <f>C1083/Navio!$J$4</f>
        <v>14.921013350691192</v>
      </c>
    </row>
    <row r="1084" spans="1:21" x14ac:dyDescent="0.3">
      <c r="A1084">
        <v>1082</v>
      </c>
      <c r="B1084" s="47">
        <v>454.06084139086499</v>
      </c>
      <c r="C1084" s="46">
        <v>281.37809088262043</v>
      </c>
      <c r="D1084" s="1">
        <v>28</v>
      </c>
      <c r="E1084" s="1">
        <v>33</v>
      </c>
      <c r="F1084" s="1">
        <v>25</v>
      </c>
      <c r="G1084" s="1" t="s">
        <v>50</v>
      </c>
      <c r="H1084" s="1" t="s">
        <v>50</v>
      </c>
      <c r="I1084" s="1" t="s">
        <v>50</v>
      </c>
      <c r="J1084" s="1" t="s">
        <v>50</v>
      </c>
      <c r="K1084" s="1" t="s">
        <v>50</v>
      </c>
      <c r="L1084">
        <f t="shared" si="109"/>
        <v>310</v>
      </c>
      <c r="M1084">
        <f t="shared" si="108"/>
        <v>141.13805181087204</v>
      </c>
      <c r="N1084">
        <f t="shared" si="110"/>
        <v>157.92278957999292</v>
      </c>
      <c r="O1084" t="e">
        <f t="shared" si="111"/>
        <v>#N/A</v>
      </c>
      <c r="P1084" t="e">
        <f t="shared" si="112"/>
        <v>#N/A</v>
      </c>
      <c r="Q1084" t="e">
        <f t="shared" si="113"/>
        <v>#N/A</v>
      </c>
      <c r="U1084">
        <f>C1084/Navio!$J$4</f>
        <v>15.193214577432702</v>
      </c>
    </row>
    <row r="1085" spans="1:21" x14ac:dyDescent="0.3">
      <c r="A1085">
        <v>1083</v>
      </c>
      <c r="B1085" s="47">
        <v>559.50687635718191</v>
      </c>
      <c r="C1085" s="46">
        <v>277.02269136756524</v>
      </c>
      <c r="D1085" s="1">
        <v>29</v>
      </c>
      <c r="E1085" s="1">
        <v>30</v>
      </c>
      <c r="F1085" s="1">
        <v>25</v>
      </c>
      <c r="G1085" s="1" t="s">
        <v>50</v>
      </c>
      <c r="H1085" s="1" t="s">
        <v>50</v>
      </c>
      <c r="I1085" s="1" t="s">
        <v>50</v>
      </c>
      <c r="J1085" s="1" t="s">
        <v>50</v>
      </c>
      <c r="K1085" s="1" t="s">
        <v>50</v>
      </c>
      <c r="L1085">
        <f t="shared" si="109"/>
        <v>473.00623656700782</v>
      </c>
      <c r="M1085">
        <f t="shared" si="108"/>
        <v>165.08096849368502</v>
      </c>
      <c r="N1085">
        <f t="shared" si="110"/>
        <v>157.92278957999292</v>
      </c>
      <c r="O1085" t="e">
        <f t="shared" si="111"/>
        <v>#N/A</v>
      </c>
      <c r="P1085" t="e">
        <f t="shared" si="112"/>
        <v>#N/A</v>
      </c>
      <c r="Q1085" t="e">
        <f t="shared" si="113"/>
        <v>#N/A</v>
      </c>
      <c r="U1085">
        <f>C1085/Navio!$J$4</f>
        <v>14.958041614267335</v>
      </c>
    </row>
    <row r="1086" spans="1:21" x14ac:dyDescent="0.3">
      <c r="A1086">
        <v>1084</v>
      </c>
      <c r="B1086" s="47">
        <v>494.67321602021849</v>
      </c>
      <c r="C1086" s="46">
        <v>277.15360095254215</v>
      </c>
      <c r="D1086" s="1">
        <v>29</v>
      </c>
      <c r="E1086" s="1">
        <v>31</v>
      </c>
      <c r="F1086" s="1">
        <v>25</v>
      </c>
      <c r="G1086" s="1" t="s">
        <v>50</v>
      </c>
      <c r="H1086" s="1" t="s">
        <v>50</v>
      </c>
      <c r="I1086" s="1" t="s">
        <v>50</v>
      </c>
      <c r="J1086" s="1" t="s">
        <v>50</v>
      </c>
      <c r="K1086" s="1" t="s">
        <v>50</v>
      </c>
      <c r="L1086">
        <f t="shared" si="109"/>
        <v>473.00623656700782</v>
      </c>
      <c r="M1086">
        <f t="shared" si="108"/>
        <v>100.24730815672166</v>
      </c>
      <c r="N1086">
        <f t="shared" si="110"/>
        <v>157.92278957999292</v>
      </c>
      <c r="O1086" t="e">
        <f t="shared" si="111"/>
        <v>#N/A</v>
      </c>
      <c r="P1086" t="e">
        <f t="shared" si="112"/>
        <v>#N/A</v>
      </c>
      <c r="Q1086" t="e">
        <f t="shared" si="113"/>
        <v>#N/A</v>
      </c>
      <c r="U1086">
        <f>C1086/Navio!$J$4</f>
        <v>14.965110172478665</v>
      </c>
    </row>
    <row r="1087" spans="1:21" x14ac:dyDescent="0.3">
      <c r="A1087">
        <v>1085</v>
      </c>
      <c r="B1087" s="47">
        <v>867.43214443050465</v>
      </c>
      <c r="C1087" s="46">
        <v>277.03752120514963</v>
      </c>
      <c r="D1087" s="1">
        <v>29</v>
      </c>
      <c r="E1087" s="1">
        <v>32</v>
      </c>
      <c r="F1087" s="1">
        <v>25</v>
      </c>
      <c r="G1087" s="1" t="s">
        <v>50</v>
      </c>
      <c r="H1087" s="1" t="s">
        <v>50</v>
      </c>
      <c r="I1087" s="1" t="s">
        <v>50</v>
      </c>
      <c r="J1087" s="1" t="s">
        <v>50</v>
      </c>
      <c r="K1087" s="1" t="s">
        <v>50</v>
      </c>
      <c r="L1087">
        <f t="shared" si="109"/>
        <v>473.00623656700782</v>
      </c>
      <c r="M1087">
        <f t="shared" si="108"/>
        <v>473.00623656700782</v>
      </c>
      <c r="N1087">
        <f t="shared" si="110"/>
        <v>157.92278957999292</v>
      </c>
      <c r="O1087" t="e">
        <f t="shared" si="111"/>
        <v>#N/A</v>
      </c>
      <c r="P1087" t="e">
        <f t="shared" si="112"/>
        <v>#N/A</v>
      </c>
      <c r="Q1087" t="e">
        <f t="shared" si="113"/>
        <v>#N/A</v>
      </c>
      <c r="U1087">
        <f>C1087/Navio!$J$4</f>
        <v>14.958842362128911</v>
      </c>
    </row>
    <row r="1088" spans="1:21" x14ac:dyDescent="0.3">
      <c r="A1088">
        <v>1086</v>
      </c>
      <c r="B1088" s="47">
        <v>535.5639596743689</v>
      </c>
      <c r="C1088" s="46">
        <v>281.35801971653916</v>
      </c>
      <c r="D1088" s="1">
        <v>29</v>
      </c>
      <c r="E1088" s="1">
        <v>33</v>
      </c>
      <c r="F1088" s="1">
        <v>25</v>
      </c>
      <c r="G1088" s="1" t="s">
        <v>50</v>
      </c>
      <c r="H1088" s="1" t="s">
        <v>50</v>
      </c>
      <c r="I1088" s="1" t="s">
        <v>50</v>
      </c>
      <c r="J1088" s="1" t="s">
        <v>50</v>
      </c>
      <c r="K1088" s="1" t="s">
        <v>50</v>
      </c>
      <c r="L1088">
        <f t="shared" si="109"/>
        <v>473.00623656700782</v>
      </c>
      <c r="M1088">
        <f t="shared" si="108"/>
        <v>141.13805181087204</v>
      </c>
      <c r="N1088">
        <f t="shared" si="110"/>
        <v>157.92278957999292</v>
      </c>
      <c r="O1088" t="e">
        <f t="shared" si="111"/>
        <v>#N/A</v>
      </c>
      <c r="P1088" t="e">
        <f t="shared" si="112"/>
        <v>#N/A</v>
      </c>
      <c r="Q1088" t="e">
        <f t="shared" si="113"/>
        <v>#N/A</v>
      </c>
      <c r="U1088">
        <f>C1088/Navio!$J$4</f>
        <v>15.192130820228524</v>
      </c>
    </row>
    <row r="1089" spans="1:21" x14ac:dyDescent="0.3">
      <c r="A1089">
        <v>1087</v>
      </c>
      <c r="B1089" s="47">
        <v>423.2510662303996</v>
      </c>
      <c r="C1089" s="46">
        <v>277.12197867073456</v>
      </c>
      <c r="D1089" s="1">
        <v>30</v>
      </c>
      <c r="E1089" s="1">
        <v>31</v>
      </c>
      <c r="F1089" s="1">
        <v>25</v>
      </c>
      <c r="G1089" s="1" t="s">
        <v>50</v>
      </c>
      <c r="H1089" s="1" t="s">
        <v>50</v>
      </c>
      <c r="I1089" s="1" t="s">
        <v>50</v>
      </c>
      <c r="J1089" s="1" t="s">
        <v>50</v>
      </c>
      <c r="K1089" s="1" t="s">
        <v>50</v>
      </c>
      <c r="L1089">
        <f t="shared" si="109"/>
        <v>165.08096849368502</v>
      </c>
      <c r="M1089">
        <f t="shared" si="108"/>
        <v>100.24730815672166</v>
      </c>
      <c r="N1089">
        <f t="shared" si="110"/>
        <v>157.92278957999292</v>
      </c>
      <c r="O1089" t="e">
        <f t="shared" si="111"/>
        <v>#N/A</v>
      </c>
      <c r="P1089" t="e">
        <f t="shared" si="112"/>
        <v>#N/A</v>
      </c>
      <c r="Q1089" t="e">
        <f t="shared" si="113"/>
        <v>#N/A</v>
      </c>
      <c r="U1089">
        <f>C1089/Navio!$J$4</f>
        <v>14.963402704383252</v>
      </c>
    </row>
    <row r="1090" spans="1:21" x14ac:dyDescent="0.3">
      <c r="A1090">
        <v>1088</v>
      </c>
      <c r="B1090" s="47">
        <v>796.00999464068582</v>
      </c>
      <c r="C1090" s="46">
        <v>278.67336339210783</v>
      </c>
      <c r="D1090" s="1">
        <v>30</v>
      </c>
      <c r="E1090" s="1">
        <v>32</v>
      </c>
      <c r="F1090" s="1">
        <v>25</v>
      </c>
      <c r="G1090" s="1" t="s">
        <v>50</v>
      </c>
      <c r="H1090" s="1" t="s">
        <v>50</v>
      </c>
      <c r="I1090" s="1" t="s">
        <v>50</v>
      </c>
      <c r="J1090" s="1" t="s">
        <v>50</v>
      </c>
      <c r="K1090" s="1" t="s">
        <v>50</v>
      </c>
      <c r="L1090">
        <f t="shared" si="109"/>
        <v>165.08096849368502</v>
      </c>
      <c r="M1090">
        <f t="shared" si="108"/>
        <v>473.00623656700782</v>
      </c>
      <c r="N1090">
        <f t="shared" si="110"/>
        <v>157.92278957999292</v>
      </c>
      <c r="O1090" t="e">
        <f t="shared" si="111"/>
        <v>#N/A</v>
      </c>
      <c r="P1090" t="e">
        <f t="shared" si="112"/>
        <v>#N/A</v>
      </c>
      <c r="Q1090" t="e">
        <f t="shared" si="113"/>
        <v>#N/A</v>
      </c>
      <c r="U1090">
        <f>C1090/Navio!$J$4</f>
        <v>15.047170850261416</v>
      </c>
    </row>
    <row r="1091" spans="1:21" x14ac:dyDescent="0.3">
      <c r="A1091">
        <v>1089</v>
      </c>
      <c r="B1091" s="47">
        <v>464.14180988454996</v>
      </c>
      <c r="C1091" s="46">
        <v>281.4996303465478</v>
      </c>
      <c r="D1091" s="1">
        <v>30</v>
      </c>
      <c r="E1091" s="1">
        <v>33</v>
      </c>
      <c r="F1091" s="1">
        <v>25</v>
      </c>
      <c r="G1091" s="1" t="s">
        <v>50</v>
      </c>
      <c r="H1091" s="1" t="s">
        <v>50</v>
      </c>
      <c r="I1091" s="1" t="s">
        <v>50</v>
      </c>
      <c r="J1091" s="1" t="s">
        <v>50</v>
      </c>
      <c r="K1091" s="1" t="s">
        <v>50</v>
      </c>
      <c r="L1091">
        <f t="shared" si="109"/>
        <v>165.08096849368502</v>
      </c>
      <c r="M1091">
        <f t="shared" ref="M1091:M1154" si="114">VLOOKUP(E1091,$Y$2:$Z$80,2)</f>
        <v>141.13805181087204</v>
      </c>
      <c r="N1091">
        <f t="shared" si="110"/>
        <v>157.92278957999292</v>
      </c>
      <c r="O1091" t="e">
        <f t="shared" si="111"/>
        <v>#N/A</v>
      </c>
      <c r="P1091" t="e">
        <f t="shared" si="112"/>
        <v>#N/A</v>
      </c>
      <c r="Q1091" t="e">
        <f t="shared" si="113"/>
        <v>#N/A</v>
      </c>
      <c r="U1091">
        <f>C1091/Navio!$J$4</f>
        <v>15.199777189145941</v>
      </c>
    </row>
    <row r="1092" spans="1:21" x14ac:dyDescent="0.3">
      <c r="A1092">
        <v>1090</v>
      </c>
      <c r="B1092" s="47">
        <v>731.17633430372234</v>
      </c>
      <c r="C1092" s="46">
        <v>278.73024042593153</v>
      </c>
      <c r="D1092" s="1">
        <v>31</v>
      </c>
      <c r="E1092" s="1">
        <v>32</v>
      </c>
      <c r="F1092" s="1">
        <v>25</v>
      </c>
      <c r="G1092" s="1" t="s">
        <v>50</v>
      </c>
      <c r="H1092" s="1" t="s">
        <v>50</v>
      </c>
      <c r="I1092" s="1" t="s">
        <v>50</v>
      </c>
      <c r="J1092" s="1" t="s">
        <v>50</v>
      </c>
      <c r="K1092" s="1" t="s">
        <v>50</v>
      </c>
      <c r="L1092">
        <f t="shared" si="109"/>
        <v>100.24730815672166</v>
      </c>
      <c r="M1092">
        <f t="shared" si="114"/>
        <v>473.00623656700782</v>
      </c>
      <c r="N1092">
        <f t="shared" si="110"/>
        <v>157.92278957999292</v>
      </c>
      <c r="O1092" t="e">
        <f t="shared" si="111"/>
        <v>#N/A</v>
      </c>
      <c r="P1092" t="e">
        <f t="shared" si="112"/>
        <v>#N/A</v>
      </c>
      <c r="Q1092" t="e">
        <f t="shared" si="113"/>
        <v>#N/A</v>
      </c>
      <c r="U1092">
        <f>C1092/Navio!$J$4</f>
        <v>15.050241967051997</v>
      </c>
    </row>
    <row r="1093" spans="1:21" x14ac:dyDescent="0.3">
      <c r="A1093">
        <v>1091</v>
      </c>
      <c r="B1093" s="47">
        <v>399.30814954758659</v>
      </c>
      <c r="C1093" s="46">
        <v>281.49959588041207</v>
      </c>
      <c r="D1093" s="1">
        <v>31</v>
      </c>
      <c r="E1093" s="1">
        <v>33</v>
      </c>
      <c r="F1093" s="1">
        <v>25</v>
      </c>
      <c r="G1093" s="1" t="s">
        <v>50</v>
      </c>
      <c r="H1093" s="1" t="s">
        <v>50</v>
      </c>
      <c r="I1093" s="1" t="s">
        <v>50</v>
      </c>
      <c r="J1093" s="1" t="s">
        <v>50</v>
      </c>
      <c r="K1093" s="1" t="s">
        <v>50</v>
      </c>
      <c r="L1093">
        <f t="shared" si="109"/>
        <v>100.24730815672166</v>
      </c>
      <c r="M1093">
        <f t="shared" si="114"/>
        <v>141.13805181087204</v>
      </c>
      <c r="N1093">
        <f t="shared" si="110"/>
        <v>157.92278957999292</v>
      </c>
      <c r="O1093" t="e">
        <f t="shared" si="111"/>
        <v>#N/A</v>
      </c>
      <c r="P1093" t="e">
        <f t="shared" si="112"/>
        <v>#N/A</v>
      </c>
      <c r="Q1093" t="e">
        <f t="shared" si="113"/>
        <v>#N/A</v>
      </c>
      <c r="U1093">
        <f>C1093/Navio!$J$4</f>
        <v>15.199775328121884</v>
      </c>
    </row>
    <row r="1094" spans="1:21" x14ac:dyDescent="0.3">
      <c r="A1094">
        <v>1092</v>
      </c>
      <c r="B1094" s="47">
        <v>772.06707795787281</v>
      </c>
      <c r="C1094" s="46">
        <v>281.41632985288709</v>
      </c>
      <c r="D1094" s="1">
        <v>33</v>
      </c>
      <c r="E1094" s="1">
        <v>32</v>
      </c>
      <c r="F1094" s="1">
        <v>25</v>
      </c>
      <c r="G1094" s="1" t="s">
        <v>50</v>
      </c>
      <c r="H1094" s="1" t="s">
        <v>50</v>
      </c>
      <c r="I1094" s="1" t="s">
        <v>50</v>
      </c>
      <c r="J1094" s="1" t="s">
        <v>50</v>
      </c>
      <c r="K1094" s="1" t="s">
        <v>50</v>
      </c>
      <c r="L1094">
        <f t="shared" si="109"/>
        <v>141.13805181087204</v>
      </c>
      <c r="M1094">
        <f t="shared" si="114"/>
        <v>473.00623656700782</v>
      </c>
      <c r="N1094">
        <f t="shared" si="110"/>
        <v>157.92278957999292</v>
      </c>
      <c r="O1094" t="e">
        <f t="shared" si="111"/>
        <v>#N/A</v>
      </c>
      <c r="P1094" t="e">
        <f t="shared" si="112"/>
        <v>#N/A</v>
      </c>
      <c r="Q1094" t="e">
        <f t="shared" si="113"/>
        <v>#N/A</v>
      </c>
      <c r="U1094">
        <f>C1094/Navio!$J$4</f>
        <v>15.195279318431758</v>
      </c>
    </row>
    <row r="1095" spans="1:21" x14ac:dyDescent="0.3">
      <c r="A1095">
        <v>1093</v>
      </c>
      <c r="B1095" s="47">
        <v>635.0980437517278</v>
      </c>
      <c r="C1095" s="46">
        <v>274.18884297972886</v>
      </c>
      <c r="D1095" s="1">
        <v>28</v>
      </c>
      <c r="E1095" s="1">
        <v>27</v>
      </c>
      <c r="F1095" s="1">
        <v>26</v>
      </c>
      <c r="G1095" s="1" t="s">
        <v>50</v>
      </c>
      <c r="H1095" s="1" t="s">
        <v>50</v>
      </c>
      <c r="I1095" s="1" t="s">
        <v>50</v>
      </c>
      <c r="J1095" s="1" t="s">
        <v>50</v>
      </c>
      <c r="K1095" s="1" t="s">
        <v>50</v>
      </c>
      <c r="L1095">
        <f t="shared" si="109"/>
        <v>310</v>
      </c>
      <c r="M1095">
        <f t="shared" si="114"/>
        <v>259.31323779276431</v>
      </c>
      <c r="N1095">
        <f t="shared" si="110"/>
        <v>220.78480595896349</v>
      </c>
      <c r="O1095" t="e">
        <f t="shared" si="111"/>
        <v>#N/A</v>
      </c>
      <c r="P1095" t="e">
        <f t="shared" si="112"/>
        <v>#N/A</v>
      </c>
      <c r="Q1095" t="e">
        <f t="shared" si="113"/>
        <v>#N/A</v>
      </c>
      <c r="U1095">
        <f>C1095/Navio!$J$4</f>
        <v>14.805025910374914</v>
      </c>
    </row>
    <row r="1096" spans="1:21" x14ac:dyDescent="0.3">
      <c r="A1096">
        <v>1094</v>
      </c>
      <c r="B1096" s="47">
        <v>716.60116203523171</v>
      </c>
      <c r="C1096" s="46">
        <v>279.85346169193053</v>
      </c>
      <c r="D1096" s="1">
        <v>29</v>
      </c>
      <c r="E1096" s="1">
        <v>27</v>
      </c>
      <c r="F1096" s="1">
        <v>26</v>
      </c>
      <c r="G1096" s="1" t="s">
        <v>50</v>
      </c>
      <c r="H1096" s="1" t="s">
        <v>50</v>
      </c>
      <c r="I1096" s="1" t="s">
        <v>50</v>
      </c>
      <c r="J1096" s="1" t="s">
        <v>50</v>
      </c>
      <c r="K1096" s="1" t="s">
        <v>50</v>
      </c>
      <c r="L1096">
        <f t="shared" si="109"/>
        <v>473.00623656700782</v>
      </c>
      <c r="M1096">
        <f t="shared" si="114"/>
        <v>259.31323779276431</v>
      </c>
      <c r="N1096">
        <f t="shared" si="110"/>
        <v>220.78480595896349</v>
      </c>
      <c r="O1096" t="e">
        <f t="shared" si="111"/>
        <v>#N/A</v>
      </c>
      <c r="P1096" t="e">
        <f t="shared" si="112"/>
        <v>#N/A</v>
      </c>
      <c r="Q1096" t="e">
        <f t="shared" si="113"/>
        <v>#N/A</v>
      </c>
      <c r="U1096">
        <f>C1096/Navio!$J$4</f>
        <v>15.110891115884902</v>
      </c>
    </row>
    <row r="1097" spans="1:21" x14ac:dyDescent="0.3">
      <c r="A1097">
        <v>1095</v>
      </c>
      <c r="B1097" s="47">
        <v>645.17901224541288</v>
      </c>
      <c r="C1097" s="46">
        <v>283.8347671307414</v>
      </c>
      <c r="D1097" s="1">
        <v>30</v>
      </c>
      <c r="E1097" s="1">
        <v>27</v>
      </c>
      <c r="F1097" s="1">
        <v>26</v>
      </c>
      <c r="G1097" s="1" t="s">
        <v>50</v>
      </c>
      <c r="H1097" s="1" t="s">
        <v>50</v>
      </c>
      <c r="I1097" s="1" t="s">
        <v>50</v>
      </c>
      <c r="J1097" s="1" t="s">
        <v>50</v>
      </c>
      <c r="K1097" s="1" t="s">
        <v>50</v>
      </c>
      <c r="L1097">
        <f t="shared" si="109"/>
        <v>165.08096849368502</v>
      </c>
      <c r="M1097">
        <f t="shared" si="114"/>
        <v>259.31323779276431</v>
      </c>
      <c r="N1097">
        <f t="shared" si="110"/>
        <v>220.78480595896349</v>
      </c>
      <c r="O1097" t="e">
        <f t="shared" si="111"/>
        <v>#N/A</v>
      </c>
      <c r="P1097" t="e">
        <f t="shared" si="112"/>
        <v>#N/A</v>
      </c>
      <c r="Q1097" t="e">
        <f t="shared" si="113"/>
        <v>#N/A</v>
      </c>
      <c r="U1097">
        <f>C1097/Navio!$J$4</f>
        <v>15.325864597439251</v>
      </c>
    </row>
    <row r="1098" spans="1:21" x14ac:dyDescent="0.3">
      <c r="A1098">
        <v>1096</v>
      </c>
      <c r="B1098" s="47">
        <v>580.3453519084494</v>
      </c>
      <c r="C1098" s="46">
        <v>283.93712511100148</v>
      </c>
      <c r="D1098" s="1">
        <v>31</v>
      </c>
      <c r="E1098" s="1">
        <v>27</v>
      </c>
      <c r="F1098" s="1">
        <v>26</v>
      </c>
      <c r="G1098" s="1" t="s">
        <v>50</v>
      </c>
      <c r="H1098" s="1" t="s">
        <v>50</v>
      </c>
      <c r="I1098" s="1" t="s">
        <v>50</v>
      </c>
      <c r="J1098" s="1" t="s">
        <v>50</v>
      </c>
      <c r="K1098" s="1" t="s">
        <v>50</v>
      </c>
      <c r="L1098">
        <f t="shared" si="109"/>
        <v>100.24730815672166</v>
      </c>
      <c r="M1098">
        <f t="shared" si="114"/>
        <v>259.31323779276431</v>
      </c>
      <c r="N1098">
        <f t="shared" si="110"/>
        <v>220.78480595896349</v>
      </c>
      <c r="O1098" t="e">
        <f t="shared" si="111"/>
        <v>#N/A</v>
      </c>
      <c r="P1098" t="e">
        <f t="shared" si="112"/>
        <v>#N/A</v>
      </c>
      <c r="Q1098" t="e">
        <f t="shared" si="113"/>
        <v>#N/A</v>
      </c>
      <c r="U1098">
        <f>C1098/Navio!$J$4</f>
        <v>15.331391490997047</v>
      </c>
    </row>
    <row r="1099" spans="1:21" x14ac:dyDescent="0.3">
      <c r="A1099">
        <v>1097</v>
      </c>
      <c r="B1099" s="47">
        <v>621.23609556259987</v>
      </c>
      <c r="C1099" s="46">
        <v>287.04778390746662</v>
      </c>
      <c r="D1099" s="1">
        <v>33</v>
      </c>
      <c r="E1099" s="1">
        <v>27</v>
      </c>
      <c r="F1099" s="1">
        <v>26</v>
      </c>
      <c r="G1099" s="1" t="s">
        <v>50</v>
      </c>
      <c r="H1099" s="1" t="s">
        <v>50</v>
      </c>
      <c r="I1099" s="1" t="s">
        <v>50</v>
      </c>
      <c r="J1099" s="1" t="s">
        <v>50</v>
      </c>
      <c r="K1099" s="1" t="s">
        <v>50</v>
      </c>
      <c r="L1099">
        <f t="shared" si="109"/>
        <v>141.13805181087204</v>
      </c>
      <c r="M1099">
        <f t="shared" si="114"/>
        <v>259.31323779276431</v>
      </c>
      <c r="N1099">
        <f t="shared" si="110"/>
        <v>220.78480595896349</v>
      </c>
      <c r="O1099" t="e">
        <f t="shared" si="111"/>
        <v>#N/A</v>
      </c>
      <c r="P1099" t="e">
        <f t="shared" si="112"/>
        <v>#N/A</v>
      </c>
      <c r="Q1099" t="e">
        <f t="shared" si="113"/>
        <v>#N/A</v>
      </c>
      <c r="U1099">
        <f>C1099/Navio!$J$4</f>
        <v>15.499353774142927</v>
      </c>
    </row>
    <row r="1100" spans="1:21" x14ac:dyDescent="0.3">
      <c r="A1100">
        <v>1098</v>
      </c>
      <c r="B1100" s="47">
        <v>612.2879242424674</v>
      </c>
      <c r="C1100" s="46">
        <v>280.08346978101474</v>
      </c>
      <c r="D1100" s="1">
        <v>28</v>
      </c>
      <c r="E1100" s="1">
        <v>29</v>
      </c>
      <c r="F1100" s="1">
        <v>26</v>
      </c>
      <c r="G1100" s="1" t="s">
        <v>50</v>
      </c>
      <c r="H1100" s="1" t="s">
        <v>50</v>
      </c>
      <c r="I1100" s="1" t="s">
        <v>50</v>
      </c>
      <c r="J1100" s="1" t="s">
        <v>50</v>
      </c>
      <c r="K1100" s="1" t="s">
        <v>50</v>
      </c>
      <c r="L1100">
        <f t="shared" si="109"/>
        <v>310</v>
      </c>
      <c r="M1100">
        <f t="shared" si="114"/>
        <v>473.00623656700782</v>
      </c>
      <c r="N1100">
        <f t="shared" si="110"/>
        <v>220.78480595896349</v>
      </c>
      <c r="O1100" t="e">
        <f t="shared" si="111"/>
        <v>#N/A</v>
      </c>
      <c r="P1100" t="e">
        <f t="shared" si="112"/>
        <v>#N/A</v>
      </c>
      <c r="Q1100" t="e">
        <f t="shared" si="113"/>
        <v>#N/A</v>
      </c>
      <c r="U1100">
        <f>C1100/Navio!$J$4</f>
        <v>15.123310569869538</v>
      </c>
    </row>
    <row r="1101" spans="1:21" x14ac:dyDescent="0.3">
      <c r="A1101">
        <v>1099</v>
      </c>
      <c r="B1101" s="47">
        <v>540.86577445264857</v>
      </c>
      <c r="C1101" s="46">
        <v>284.03300287628178</v>
      </c>
      <c r="D1101" s="1">
        <v>28</v>
      </c>
      <c r="E1101" s="1">
        <v>30</v>
      </c>
      <c r="F1101" s="1">
        <v>26</v>
      </c>
      <c r="G1101" s="1" t="s">
        <v>50</v>
      </c>
      <c r="H1101" s="1" t="s">
        <v>50</v>
      </c>
      <c r="I1101" s="1" t="s">
        <v>50</v>
      </c>
      <c r="J1101" s="1" t="s">
        <v>50</v>
      </c>
      <c r="K1101" s="1" t="s">
        <v>50</v>
      </c>
      <c r="L1101">
        <f t="shared" ref="L1101:L1164" si="115">VLOOKUP(D1101,$Y$2:$Z$80,2)</f>
        <v>310</v>
      </c>
      <c r="M1101">
        <f t="shared" si="114"/>
        <v>165.08096849368502</v>
      </c>
      <c r="N1101">
        <f t="shared" ref="N1101:N1164" si="116">VLOOKUP(F1101,$Y$2:$Z$80,2)</f>
        <v>220.78480595896349</v>
      </c>
      <c r="O1101" t="e">
        <f t="shared" ref="O1101:O1164" si="117">VLOOKUP(G1101,$Y$2:$Z$80,2)</f>
        <v>#N/A</v>
      </c>
      <c r="P1101" t="e">
        <f t="shared" ref="P1101:P1164" si="118">VLOOKUP(H1101,$Y$2:$Z$80,2)</f>
        <v>#N/A</v>
      </c>
      <c r="Q1101" t="e">
        <f t="shared" ref="Q1101:Q1164" si="119">VLOOKUP(I1101,$Y$2:$Z$80,2)</f>
        <v>#N/A</v>
      </c>
      <c r="U1101">
        <f>C1101/Navio!$J$4</f>
        <v>15.336568480635933</v>
      </c>
    </row>
    <row r="1102" spans="1:21" x14ac:dyDescent="0.3">
      <c r="A1102">
        <v>1100</v>
      </c>
      <c r="B1102" s="47">
        <v>476.03211411568515</v>
      </c>
      <c r="C1102" s="46">
        <v>284.12686099010511</v>
      </c>
      <c r="D1102" s="1">
        <v>28</v>
      </c>
      <c r="E1102" s="1">
        <v>31</v>
      </c>
      <c r="F1102" s="1">
        <v>26</v>
      </c>
      <c r="G1102" s="1" t="s">
        <v>50</v>
      </c>
      <c r="H1102" s="1" t="s">
        <v>50</v>
      </c>
      <c r="I1102" s="1" t="s">
        <v>50</v>
      </c>
      <c r="J1102" s="1" t="s">
        <v>50</v>
      </c>
      <c r="K1102" s="1" t="s">
        <v>50</v>
      </c>
      <c r="L1102">
        <f t="shared" si="115"/>
        <v>310</v>
      </c>
      <c r="M1102">
        <f t="shared" si="114"/>
        <v>100.24730815672166</v>
      </c>
      <c r="N1102">
        <f t="shared" si="116"/>
        <v>220.78480595896349</v>
      </c>
      <c r="O1102" t="e">
        <f t="shared" si="117"/>
        <v>#N/A</v>
      </c>
      <c r="P1102" t="e">
        <f t="shared" si="118"/>
        <v>#N/A</v>
      </c>
      <c r="Q1102" t="e">
        <f t="shared" si="119"/>
        <v>#N/A</v>
      </c>
      <c r="U1102">
        <f>C1102/Navio!$J$4</f>
        <v>15.341636417726122</v>
      </c>
    </row>
    <row r="1103" spans="1:21" x14ac:dyDescent="0.3">
      <c r="A1103">
        <v>1101</v>
      </c>
      <c r="B1103" s="47">
        <v>848.79104252597131</v>
      </c>
      <c r="C1103" s="46">
        <v>281.95971927241089</v>
      </c>
      <c r="D1103" s="1">
        <v>28</v>
      </c>
      <c r="E1103" s="1">
        <v>32</v>
      </c>
      <c r="F1103" s="1">
        <v>26</v>
      </c>
      <c r="G1103" s="1" t="s">
        <v>50</v>
      </c>
      <c r="H1103" s="1" t="s">
        <v>50</v>
      </c>
      <c r="I1103" s="1" t="s">
        <v>50</v>
      </c>
      <c r="J1103" s="1" t="s">
        <v>50</v>
      </c>
      <c r="K1103" s="1" t="s">
        <v>50</v>
      </c>
      <c r="L1103">
        <f t="shared" si="115"/>
        <v>310</v>
      </c>
      <c r="M1103">
        <f t="shared" si="114"/>
        <v>473.00623656700782</v>
      </c>
      <c r="N1103">
        <f t="shared" si="116"/>
        <v>220.78480595896349</v>
      </c>
      <c r="O1103" t="e">
        <f t="shared" si="117"/>
        <v>#N/A</v>
      </c>
      <c r="P1103" t="e">
        <f t="shared" si="118"/>
        <v>#N/A</v>
      </c>
      <c r="Q1103" t="e">
        <f t="shared" si="119"/>
        <v>#N/A</v>
      </c>
      <c r="U1103">
        <f>C1103/Navio!$J$4</f>
        <v>15.224620025179874</v>
      </c>
    </row>
    <row r="1104" spans="1:21" x14ac:dyDescent="0.3">
      <c r="A1104">
        <v>1102</v>
      </c>
      <c r="B1104" s="47">
        <v>516.92285776983556</v>
      </c>
      <c r="C1104" s="46">
        <v>286.95819704703473</v>
      </c>
      <c r="D1104" s="1">
        <v>28</v>
      </c>
      <c r="E1104" s="1">
        <v>33</v>
      </c>
      <c r="F1104" s="1">
        <v>26</v>
      </c>
      <c r="G1104" s="1" t="s">
        <v>50</v>
      </c>
      <c r="H1104" s="1" t="s">
        <v>50</v>
      </c>
      <c r="I1104" s="1" t="s">
        <v>50</v>
      </c>
      <c r="J1104" s="1" t="s">
        <v>50</v>
      </c>
      <c r="K1104" s="1" t="s">
        <v>50</v>
      </c>
      <c r="L1104">
        <f t="shared" si="115"/>
        <v>310</v>
      </c>
      <c r="M1104">
        <f t="shared" si="114"/>
        <v>141.13805181087204</v>
      </c>
      <c r="N1104">
        <f t="shared" si="116"/>
        <v>220.78480595896349</v>
      </c>
      <c r="O1104" t="e">
        <f t="shared" si="117"/>
        <v>#N/A</v>
      </c>
      <c r="P1104" t="e">
        <f t="shared" si="118"/>
        <v>#N/A</v>
      </c>
      <c r="Q1104" t="e">
        <f t="shared" si="119"/>
        <v>#N/A</v>
      </c>
      <c r="U1104">
        <f>C1104/Navio!$J$4</f>
        <v>15.494516466484782</v>
      </c>
    </row>
    <row r="1105" spans="1:21" x14ac:dyDescent="0.3">
      <c r="A1105">
        <v>1103</v>
      </c>
      <c r="B1105" s="47">
        <v>622.36889273615247</v>
      </c>
      <c r="C1105" s="46">
        <v>283.81173405727952</v>
      </c>
      <c r="D1105" s="1">
        <v>29</v>
      </c>
      <c r="E1105" s="1">
        <v>30</v>
      </c>
      <c r="F1105" s="1">
        <v>26</v>
      </c>
      <c r="G1105" s="1" t="s">
        <v>50</v>
      </c>
      <c r="H1105" s="1" t="s">
        <v>50</v>
      </c>
      <c r="I1105" s="1" t="s">
        <v>50</v>
      </c>
      <c r="J1105" s="1" t="s">
        <v>50</v>
      </c>
      <c r="K1105" s="1" t="s">
        <v>50</v>
      </c>
      <c r="L1105">
        <f t="shared" si="115"/>
        <v>473.00623656700782</v>
      </c>
      <c r="M1105">
        <f t="shared" si="114"/>
        <v>165.08096849368502</v>
      </c>
      <c r="N1105">
        <f t="shared" si="116"/>
        <v>220.78480595896349</v>
      </c>
      <c r="O1105" t="e">
        <f t="shared" si="117"/>
        <v>#N/A</v>
      </c>
      <c r="P1105" t="e">
        <f t="shared" si="118"/>
        <v>#N/A</v>
      </c>
      <c r="Q1105" t="e">
        <f t="shared" si="119"/>
        <v>#N/A</v>
      </c>
      <c r="U1105">
        <f>C1105/Navio!$J$4</f>
        <v>15.324620909892769</v>
      </c>
    </row>
    <row r="1106" spans="1:21" x14ac:dyDescent="0.3">
      <c r="A1106">
        <v>1104</v>
      </c>
      <c r="B1106" s="47">
        <v>557.535232399189</v>
      </c>
      <c r="C1106" s="46">
        <v>283.90916100333777</v>
      </c>
      <c r="D1106" s="1">
        <v>29</v>
      </c>
      <c r="E1106" s="1">
        <v>31</v>
      </c>
      <c r="F1106" s="1">
        <v>26</v>
      </c>
      <c r="G1106" s="1" t="s">
        <v>50</v>
      </c>
      <c r="H1106" s="1" t="s">
        <v>50</v>
      </c>
      <c r="I1106" s="1" t="s">
        <v>50</v>
      </c>
      <c r="J1106" s="1" t="s">
        <v>50</v>
      </c>
      <c r="K1106" s="1" t="s">
        <v>50</v>
      </c>
      <c r="L1106">
        <f t="shared" si="115"/>
        <v>473.00623656700782</v>
      </c>
      <c r="M1106">
        <f t="shared" si="114"/>
        <v>100.24730815672166</v>
      </c>
      <c r="N1106">
        <f t="shared" si="116"/>
        <v>220.78480595896349</v>
      </c>
      <c r="O1106" t="e">
        <f t="shared" si="117"/>
        <v>#N/A</v>
      </c>
      <c r="P1106" t="e">
        <f t="shared" si="118"/>
        <v>#N/A</v>
      </c>
      <c r="Q1106" t="e">
        <f t="shared" si="119"/>
        <v>#N/A</v>
      </c>
      <c r="U1106">
        <f>C1106/Navio!$J$4</f>
        <v>15.329881548674003</v>
      </c>
    </row>
    <row r="1107" spans="1:21" x14ac:dyDescent="0.3">
      <c r="A1107">
        <v>1105</v>
      </c>
      <c r="B1107" s="47">
        <v>598.42597605333947</v>
      </c>
      <c r="C1107" s="46">
        <v>286.93812588095341</v>
      </c>
      <c r="D1107" s="1">
        <v>29</v>
      </c>
      <c r="E1107" s="1">
        <v>33</v>
      </c>
      <c r="F1107" s="1">
        <v>26</v>
      </c>
      <c r="G1107" s="1" t="s">
        <v>50</v>
      </c>
      <c r="H1107" s="1" t="s">
        <v>50</v>
      </c>
      <c r="I1107" s="1" t="s">
        <v>50</v>
      </c>
      <c r="J1107" s="1" t="s">
        <v>50</v>
      </c>
      <c r="K1107" s="1" t="s">
        <v>50</v>
      </c>
      <c r="L1107">
        <f t="shared" si="115"/>
        <v>473.00623656700782</v>
      </c>
      <c r="M1107">
        <f t="shared" si="114"/>
        <v>141.13805181087204</v>
      </c>
      <c r="N1107">
        <f t="shared" si="116"/>
        <v>220.78480595896349</v>
      </c>
      <c r="O1107" t="e">
        <f t="shared" si="117"/>
        <v>#N/A</v>
      </c>
      <c r="P1107" t="e">
        <f t="shared" si="118"/>
        <v>#N/A</v>
      </c>
      <c r="Q1107" t="e">
        <f t="shared" si="119"/>
        <v>#N/A</v>
      </c>
      <c r="U1107">
        <f>C1107/Navio!$J$4</f>
        <v>15.493432709280601</v>
      </c>
    </row>
    <row r="1108" spans="1:21" x14ac:dyDescent="0.3">
      <c r="A1108">
        <v>1106</v>
      </c>
      <c r="B1108" s="47">
        <v>486.11308260937017</v>
      </c>
      <c r="C1108" s="46">
        <v>283.87753872153019</v>
      </c>
      <c r="D1108" s="1">
        <v>30</v>
      </c>
      <c r="E1108" s="1">
        <v>31</v>
      </c>
      <c r="F1108" s="1">
        <v>26</v>
      </c>
      <c r="G1108" s="1" t="s">
        <v>50</v>
      </c>
      <c r="H1108" s="1" t="s">
        <v>50</v>
      </c>
      <c r="I1108" s="1" t="s">
        <v>50</v>
      </c>
      <c r="J1108" s="1" t="s">
        <v>50</v>
      </c>
      <c r="K1108" s="1" t="s">
        <v>50</v>
      </c>
      <c r="L1108">
        <f t="shared" si="115"/>
        <v>165.08096849368502</v>
      </c>
      <c r="M1108">
        <f t="shared" si="114"/>
        <v>100.24730815672166</v>
      </c>
      <c r="N1108">
        <f t="shared" si="116"/>
        <v>220.78480595896349</v>
      </c>
      <c r="O1108" t="e">
        <f t="shared" si="117"/>
        <v>#N/A</v>
      </c>
      <c r="P1108" t="e">
        <f t="shared" si="118"/>
        <v>#N/A</v>
      </c>
      <c r="Q1108" t="e">
        <f t="shared" si="119"/>
        <v>#N/A</v>
      </c>
      <c r="U1108">
        <f>C1108/Navio!$J$4</f>
        <v>15.328174080578588</v>
      </c>
    </row>
    <row r="1109" spans="1:21" x14ac:dyDescent="0.3">
      <c r="A1109">
        <v>1107</v>
      </c>
      <c r="B1109" s="47">
        <v>858.87201101965638</v>
      </c>
      <c r="C1109" s="46">
        <v>284.2961541459315</v>
      </c>
      <c r="D1109" s="1">
        <v>30</v>
      </c>
      <c r="E1109" s="1">
        <v>32</v>
      </c>
      <c r="F1109" s="1">
        <v>26</v>
      </c>
      <c r="G1109" s="1" t="s">
        <v>50</v>
      </c>
      <c r="H1109" s="1" t="s">
        <v>50</v>
      </c>
      <c r="I1109" s="1" t="s">
        <v>50</v>
      </c>
      <c r="J1109" s="1" t="s">
        <v>50</v>
      </c>
      <c r="K1109" s="1" t="s">
        <v>50</v>
      </c>
      <c r="L1109">
        <f t="shared" si="115"/>
        <v>165.08096849368502</v>
      </c>
      <c r="M1109">
        <f t="shared" si="114"/>
        <v>473.00623656700782</v>
      </c>
      <c r="N1109">
        <f t="shared" si="116"/>
        <v>220.78480595896349</v>
      </c>
      <c r="O1109" t="e">
        <f t="shared" si="117"/>
        <v>#N/A</v>
      </c>
      <c r="P1109" t="e">
        <f t="shared" si="118"/>
        <v>#N/A</v>
      </c>
      <c r="Q1109" t="e">
        <f t="shared" si="119"/>
        <v>#N/A</v>
      </c>
      <c r="U1109">
        <f>C1109/Navio!$J$4</f>
        <v>15.350777524750102</v>
      </c>
    </row>
    <row r="1110" spans="1:21" x14ac:dyDescent="0.3">
      <c r="A1110">
        <v>1108</v>
      </c>
      <c r="B1110" s="47">
        <v>527.00382626352052</v>
      </c>
      <c r="C1110" s="46">
        <v>287.07973651096211</v>
      </c>
      <c r="D1110" s="1">
        <v>30</v>
      </c>
      <c r="E1110" s="1">
        <v>33</v>
      </c>
      <c r="F1110" s="1">
        <v>26</v>
      </c>
      <c r="G1110" s="1" t="s">
        <v>50</v>
      </c>
      <c r="H1110" s="1" t="s">
        <v>50</v>
      </c>
      <c r="I1110" s="1" t="s">
        <v>50</v>
      </c>
      <c r="J1110" s="1" t="s">
        <v>50</v>
      </c>
      <c r="K1110" s="1" t="s">
        <v>50</v>
      </c>
      <c r="L1110">
        <f t="shared" si="115"/>
        <v>165.08096849368502</v>
      </c>
      <c r="M1110">
        <f t="shared" si="114"/>
        <v>141.13805181087204</v>
      </c>
      <c r="N1110">
        <f t="shared" si="116"/>
        <v>220.78480595896349</v>
      </c>
      <c r="O1110" t="e">
        <f t="shared" si="117"/>
        <v>#N/A</v>
      </c>
      <c r="P1110" t="e">
        <f t="shared" si="118"/>
        <v>#N/A</v>
      </c>
      <c r="Q1110" t="e">
        <f t="shared" si="119"/>
        <v>#N/A</v>
      </c>
      <c r="U1110">
        <f>C1110/Navio!$J$4</f>
        <v>15.501079078198021</v>
      </c>
    </row>
    <row r="1111" spans="1:21" x14ac:dyDescent="0.3">
      <c r="A1111">
        <v>1109</v>
      </c>
      <c r="B1111" s="47">
        <v>794.03835068269291</v>
      </c>
      <c r="C1111" s="46">
        <v>284.35303117975519</v>
      </c>
      <c r="D1111" s="1">
        <v>31</v>
      </c>
      <c r="E1111" s="1">
        <v>32</v>
      </c>
      <c r="F1111" s="1">
        <v>26</v>
      </c>
      <c r="G1111" s="1" t="s">
        <v>50</v>
      </c>
      <c r="H1111" s="1" t="s">
        <v>50</v>
      </c>
      <c r="I1111" s="1" t="s">
        <v>50</v>
      </c>
      <c r="J1111" s="1" t="s">
        <v>50</v>
      </c>
      <c r="K1111" s="1" t="s">
        <v>50</v>
      </c>
      <c r="L1111">
        <f t="shared" si="115"/>
        <v>100.24730815672166</v>
      </c>
      <c r="M1111">
        <f t="shared" si="114"/>
        <v>473.00623656700782</v>
      </c>
      <c r="N1111">
        <f t="shared" si="116"/>
        <v>220.78480595896349</v>
      </c>
      <c r="O1111" t="e">
        <f t="shared" si="117"/>
        <v>#N/A</v>
      </c>
      <c r="P1111" t="e">
        <f t="shared" si="118"/>
        <v>#N/A</v>
      </c>
      <c r="Q1111" t="e">
        <f t="shared" si="119"/>
        <v>#N/A</v>
      </c>
      <c r="U1111">
        <f>C1111/Navio!$J$4</f>
        <v>15.353848641540683</v>
      </c>
    </row>
    <row r="1112" spans="1:21" x14ac:dyDescent="0.3">
      <c r="A1112">
        <v>1110</v>
      </c>
      <c r="B1112" s="47">
        <v>462.17016592655716</v>
      </c>
      <c r="C1112" s="46">
        <v>287.07970204482638</v>
      </c>
      <c r="D1112" s="1">
        <v>31</v>
      </c>
      <c r="E1112" s="1">
        <v>33</v>
      </c>
      <c r="F1112" s="1">
        <v>26</v>
      </c>
      <c r="G1112" s="1" t="s">
        <v>50</v>
      </c>
      <c r="H1112" s="1" t="s">
        <v>50</v>
      </c>
      <c r="I1112" s="1" t="s">
        <v>50</v>
      </c>
      <c r="J1112" s="1" t="s">
        <v>50</v>
      </c>
      <c r="K1112" s="1" t="s">
        <v>50</v>
      </c>
      <c r="L1112">
        <f t="shared" si="115"/>
        <v>100.24730815672166</v>
      </c>
      <c r="M1112">
        <f t="shared" si="114"/>
        <v>141.13805181087204</v>
      </c>
      <c r="N1112">
        <f t="shared" si="116"/>
        <v>220.78480595896349</v>
      </c>
      <c r="O1112" t="e">
        <f t="shared" si="117"/>
        <v>#N/A</v>
      </c>
      <c r="P1112" t="e">
        <f t="shared" si="118"/>
        <v>#N/A</v>
      </c>
      <c r="Q1112" t="e">
        <f t="shared" si="119"/>
        <v>#N/A</v>
      </c>
      <c r="U1112">
        <f>C1112/Navio!$J$4</f>
        <v>15.501077217173965</v>
      </c>
    </row>
    <row r="1113" spans="1:21" x14ac:dyDescent="0.3">
      <c r="A1113">
        <v>1111</v>
      </c>
      <c r="B1113" s="47">
        <v>834.92909433684338</v>
      </c>
      <c r="C1113" s="46">
        <v>287.03912060671075</v>
      </c>
      <c r="D1113" s="1">
        <v>33</v>
      </c>
      <c r="E1113" s="1">
        <v>32</v>
      </c>
      <c r="F1113" s="1">
        <v>26</v>
      </c>
      <c r="G1113" s="1" t="s">
        <v>50</v>
      </c>
      <c r="H1113" s="1" t="s">
        <v>50</v>
      </c>
      <c r="I1113" s="1" t="s">
        <v>50</v>
      </c>
      <c r="J1113" s="1" t="s">
        <v>50</v>
      </c>
      <c r="K1113" s="1" t="s">
        <v>50</v>
      </c>
      <c r="L1113">
        <f t="shared" si="115"/>
        <v>141.13805181087204</v>
      </c>
      <c r="M1113">
        <f t="shared" si="114"/>
        <v>473.00623656700782</v>
      </c>
      <c r="N1113">
        <f t="shared" si="116"/>
        <v>220.78480595896349</v>
      </c>
      <c r="O1113" t="e">
        <f t="shared" si="117"/>
        <v>#N/A</v>
      </c>
      <c r="P1113" t="e">
        <f t="shared" si="118"/>
        <v>#N/A</v>
      </c>
      <c r="Q1113" t="e">
        <f t="shared" si="119"/>
        <v>#N/A</v>
      </c>
      <c r="U1113">
        <f>C1113/Navio!$J$4</f>
        <v>15.498885992920444</v>
      </c>
    </row>
    <row r="1114" spans="1:21" x14ac:dyDescent="0.3">
      <c r="A1114">
        <v>1112</v>
      </c>
      <c r="B1114" s="47">
        <v>650.81635607626822</v>
      </c>
      <c r="C1114" s="46">
        <v>278.87907547245419</v>
      </c>
      <c r="D1114" s="1">
        <v>28</v>
      </c>
      <c r="E1114" s="1">
        <v>29</v>
      </c>
      <c r="F1114" s="1">
        <v>27</v>
      </c>
      <c r="G1114" s="1" t="s">
        <v>50</v>
      </c>
      <c r="H1114" s="1" t="s">
        <v>50</v>
      </c>
      <c r="I1114" s="1" t="s">
        <v>50</v>
      </c>
      <c r="J1114" s="1" t="s">
        <v>50</v>
      </c>
      <c r="K1114" s="1" t="s">
        <v>50</v>
      </c>
      <c r="L1114">
        <f t="shared" si="115"/>
        <v>310</v>
      </c>
      <c r="M1114">
        <f t="shared" si="114"/>
        <v>473.00623656700782</v>
      </c>
      <c r="N1114">
        <f t="shared" si="116"/>
        <v>259.31323779276431</v>
      </c>
      <c r="O1114" t="e">
        <f t="shared" si="117"/>
        <v>#N/A</v>
      </c>
      <c r="P1114" t="e">
        <f t="shared" si="118"/>
        <v>#N/A</v>
      </c>
      <c r="Q1114" t="e">
        <f t="shared" si="119"/>
        <v>#N/A</v>
      </c>
      <c r="U1114">
        <f>C1114/Navio!$J$4</f>
        <v>15.058278423591196</v>
      </c>
    </row>
    <row r="1115" spans="1:21" x14ac:dyDescent="0.3">
      <c r="A1115">
        <v>1113</v>
      </c>
      <c r="B1115" s="47">
        <v>579.39420628644939</v>
      </c>
      <c r="C1115" s="46">
        <v>282.86765571822718</v>
      </c>
      <c r="D1115" s="1">
        <v>28</v>
      </c>
      <c r="E1115" s="1">
        <v>30</v>
      </c>
      <c r="F1115" s="1">
        <v>27</v>
      </c>
      <c r="G1115" s="1" t="s">
        <v>50</v>
      </c>
      <c r="H1115" s="1" t="s">
        <v>50</v>
      </c>
      <c r="I1115" s="1" t="s">
        <v>50</v>
      </c>
      <c r="J1115" s="1" t="s">
        <v>50</v>
      </c>
      <c r="K1115" s="1" t="s">
        <v>50</v>
      </c>
      <c r="L1115">
        <f t="shared" si="115"/>
        <v>310</v>
      </c>
      <c r="M1115">
        <f t="shared" si="114"/>
        <v>165.08096849368502</v>
      </c>
      <c r="N1115">
        <f t="shared" si="116"/>
        <v>259.31323779276431</v>
      </c>
      <c r="O1115" t="e">
        <f t="shared" si="117"/>
        <v>#N/A</v>
      </c>
      <c r="P1115" t="e">
        <f t="shared" si="118"/>
        <v>#N/A</v>
      </c>
      <c r="Q1115" t="e">
        <f t="shared" si="119"/>
        <v>#N/A</v>
      </c>
      <c r="U1115">
        <f>C1115/Navio!$J$4</f>
        <v>15.273644713636209</v>
      </c>
    </row>
    <row r="1116" spans="1:21" x14ac:dyDescent="0.3">
      <c r="A1116">
        <v>1114</v>
      </c>
      <c r="B1116" s="47">
        <v>514.56054594948591</v>
      </c>
      <c r="C1116" s="46">
        <v>282.96320984505417</v>
      </c>
      <c r="D1116" s="1">
        <v>28</v>
      </c>
      <c r="E1116" s="1">
        <v>31</v>
      </c>
      <c r="F1116" s="1">
        <v>27</v>
      </c>
      <c r="G1116" s="1" t="s">
        <v>50</v>
      </c>
      <c r="H1116" s="1" t="s">
        <v>50</v>
      </c>
      <c r="I1116" s="1" t="s">
        <v>50</v>
      </c>
      <c r="J1116" s="1" t="s">
        <v>50</v>
      </c>
      <c r="K1116" s="1" t="s">
        <v>50</v>
      </c>
      <c r="L1116">
        <f t="shared" si="115"/>
        <v>310</v>
      </c>
      <c r="M1116">
        <f t="shared" si="114"/>
        <v>100.24730815672166</v>
      </c>
      <c r="N1116">
        <f t="shared" si="116"/>
        <v>259.31323779276431</v>
      </c>
      <c r="O1116" t="e">
        <f t="shared" si="117"/>
        <v>#N/A</v>
      </c>
      <c r="P1116" t="e">
        <f t="shared" si="118"/>
        <v>#N/A</v>
      </c>
      <c r="Q1116" t="e">
        <f t="shared" si="119"/>
        <v>#N/A</v>
      </c>
      <c r="U1116">
        <f>C1116/Navio!$J$4</f>
        <v>15.278804228181523</v>
      </c>
    </row>
    <row r="1117" spans="1:21" x14ac:dyDescent="0.3">
      <c r="A1117">
        <v>1115</v>
      </c>
      <c r="B1117" s="47">
        <v>887.31947435977213</v>
      </c>
      <c r="C1117" s="46">
        <v>280.84145448112781</v>
      </c>
      <c r="D1117" s="1">
        <v>28</v>
      </c>
      <c r="E1117" s="1">
        <v>32</v>
      </c>
      <c r="F1117" s="1">
        <v>27</v>
      </c>
      <c r="G1117" s="1" t="s">
        <v>50</v>
      </c>
      <c r="H1117" s="1" t="s">
        <v>50</v>
      </c>
      <c r="I1117" s="1" t="s">
        <v>50</v>
      </c>
      <c r="J1117" s="1" t="s">
        <v>50</v>
      </c>
      <c r="K1117" s="1" t="s">
        <v>50</v>
      </c>
      <c r="L1117">
        <f t="shared" si="115"/>
        <v>310</v>
      </c>
      <c r="M1117">
        <f t="shared" si="114"/>
        <v>473.00623656700782</v>
      </c>
      <c r="N1117">
        <f t="shared" si="116"/>
        <v>259.31323779276431</v>
      </c>
      <c r="O1117" t="e">
        <f t="shared" si="117"/>
        <v>#N/A</v>
      </c>
      <c r="P1117" t="e">
        <f t="shared" si="118"/>
        <v>#N/A</v>
      </c>
      <c r="Q1117" t="e">
        <f t="shared" si="119"/>
        <v>#N/A</v>
      </c>
      <c r="U1117">
        <f>C1117/Navio!$J$4</f>
        <v>15.164238504802585</v>
      </c>
    </row>
    <row r="1118" spans="1:21" x14ac:dyDescent="0.3">
      <c r="A1118">
        <v>1116</v>
      </c>
      <c r="B1118" s="47">
        <v>555.45128960363638</v>
      </c>
      <c r="C1118" s="46">
        <v>285.86757024030885</v>
      </c>
      <c r="D1118" s="1">
        <v>28</v>
      </c>
      <c r="E1118" s="1">
        <v>33</v>
      </c>
      <c r="F1118" s="1">
        <v>27</v>
      </c>
      <c r="G1118" s="1" t="s">
        <v>50</v>
      </c>
      <c r="H1118" s="1" t="s">
        <v>50</v>
      </c>
      <c r="I1118" s="1" t="s">
        <v>50</v>
      </c>
      <c r="J1118" s="1" t="s">
        <v>50</v>
      </c>
      <c r="K1118" s="1" t="s">
        <v>50</v>
      </c>
      <c r="L1118">
        <f t="shared" si="115"/>
        <v>310</v>
      </c>
      <c r="M1118">
        <f t="shared" si="114"/>
        <v>141.13805181087204</v>
      </c>
      <c r="N1118">
        <f t="shared" si="116"/>
        <v>259.31323779276431</v>
      </c>
      <c r="O1118" t="e">
        <f t="shared" si="117"/>
        <v>#N/A</v>
      </c>
      <c r="P1118" t="e">
        <f t="shared" si="118"/>
        <v>#N/A</v>
      </c>
      <c r="Q1118" t="e">
        <f t="shared" si="119"/>
        <v>#N/A</v>
      </c>
      <c r="U1118">
        <f>C1118/Navio!$J$4</f>
        <v>15.435627279176312</v>
      </c>
    </row>
    <row r="1119" spans="1:21" x14ac:dyDescent="0.3">
      <c r="A1119">
        <v>1117</v>
      </c>
      <c r="B1119" s="47">
        <v>660.8973245699533</v>
      </c>
      <c r="C1119" s="46">
        <v>282.64638689922492</v>
      </c>
      <c r="D1119" s="1">
        <v>29</v>
      </c>
      <c r="E1119" s="1">
        <v>30</v>
      </c>
      <c r="F1119" s="1">
        <v>27</v>
      </c>
      <c r="G1119" s="1" t="s">
        <v>50</v>
      </c>
      <c r="H1119" s="1" t="s">
        <v>50</v>
      </c>
      <c r="I1119" s="1" t="s">
        <v>50</v>
      </c>
      <c r="J1119" s="1" t="s">
        <v>50</v>
      </c>
      <c r="K1119" s="1" t="s">
        <v>50</v>
      </c>
      <c r="L1119">
        <f t="shared" si="115"/>
        <v>473.00623656700782</v>
      </c>
      <c r="M1119">
        <f t="shared" si="114"/>
        <v>165.08096849368502</v>
      </c>
      <c r="N1119">
        <f t="shared" si="116"/>
        <v>259.31323779276431</v>
      </c>
      <c r="O1119" t="e">
        <f t="shared" si="117"/>
        <v>#N/A</v>
      </c>
      <c r="P1119" t="e">
        <f t="shared" si="118"/>
        <v>#N/A</v>
      </c>
      <c r="Q1119" t="e">
        <f t="shared" si="119"/>
        <v>#N/A</v>
      </c>
      <c r="U1119">
        <f>C1119/Navio!$J$4</f>
        <v>15.261697142893045</v>
      </c>
    </row>
    <row r="1120" spans="1:21" x14ac:dyDescent="0.3">
      <c r="A1120">
        <v>1118</v>
      </c>
      <c r="B1120" s="47">
        <v>596.06366423298982</v>
      </c>
      <c r="C1120" s="46">
        <v>282.74550985828682</v>
      </c>
      <c r="D1120" s="1">
        <v>29</v>
      </c>
      <c r="E1120" s="1">
        <v>31</v>
      </c>
      <c r="F1120" s="1">
        <v>27</v>
      </c>
      <c r="G1120" s="1" t="s">
        <v>50</v>
      </c>
      <c r="H1120" s="1" t="s">
        <v>50</v>
      </c>
      <c r="I1120" s="1" t="s">
        <v>50</v>
      </c>
      <c r="J1120" s="1" t="s">
        <v>50</v>
      </c>
      <c r="K1120" s="1" t="s">
        <v>50</v>
      </c>
      <c r="L1120">
        <f t="shared" si="115"/>
        <v>473.00623656700782</v>
      </c>
      <c r="M1120">
        <f t="shared" si="114"/>
        <v>100.24730815672166</v>
      </c>
      <c r="N1120">
        <f t="shared" si="116"/>
        <v>259.31323779276431</v>
      </c>
      <c r="O1120" t="e">
        <f t="shared" si="117"/>
        <v>#N/A</v>
      </c>
      <c r="P1120" t="e">
        <f t="shared" si="118"/>
        <v>#N/A</v>
      </c>
      <c r="Q1120" t="e">
        <f t="shared" si="119"/>
        <v>#N/A</v>
      </c>
      <c r="U1120">
        <f>C1120/Navio!$J$4</f>
        <v>15.267049359129404</v>
      </c>
    </row>
    <row r="1121" spans="1:21" x14ac:dyDescent="0.3">
      <c r="A1121">
        <v>1119</v>
      </c>
      <c r="B1121" s="47">
        <v>636.95440788714029</v>
      </c>
      <c r="C1121" s="46">
        <v>285.84749907422758</v>
      </c>
      <c r="D1121" s="1">
        <v>29</v>
      </c>
      <c r="E1121" s="1">
        <v>33</v>
      </c>
      <c r="F1121" s="1">
        <v>27</v>
      </c>
      <c r="G1121" s="1" t="s">
        <v>50</v>
      </c>
      <c r="H1121" s="1" t="s">
        <v>50</v>
      </c>
      <c r="I1121" s="1" t="s">
        <v>50</v>
      </c>
      <c r="J1121" s="1" t="s">
        <v>50</v>
      </c>
      <c r="K1121" s="1" t="s">
        <v>50</v>
      </c>
      <c r="L1121">
        <f t="shared" si="115"/>
        <v>473.00623656700782</v>
      </c>
      <c r="M1121">
        <f t="shared" si="114"/>
        <v>141.13805181087204</v>
      </c>
      <c r="N1121">
        <f t="shared" si="116"/>
        <v>259.31323779276431</v>
      </c>
      <c r="O1121" t="e">
        <f t="shared" si="117"/>
        <v>#N/A</v>
      </c>
      <c r="P1121" t="e">
        <f t="shared" si="118"/>
        <v>#N/A</v>
      </c>
      <c r="Q1121" t="e">
        <f t="shared" si="119"/>
        <v>#N/A</v>
      </c>
      <c r="U1121">
        <f>C1121/Navio!$J$4</f>
        <v>15.434543521972135</v>
      </c>
    </row>
    <row r="1122" spans="1:21" x14ac:dyDescent="0.3">
      <c r="A1122">
        <v>1120</v>
      </c>
      <c r="B1122" s="47">
        <v>524.64151444317099</v>
      </c>
      <c r="C1122" s="46">
        <v>282.71388757647924</v>
      </c>
      <c r="D1122" s="1">
        <v>30</v>
      </c>
      <c r="E1122" s="1">
        <v>31</v>
      </c>
      <c r="F1122" s="1">
        <v>27</v>
      </c>
      <c r="G1122" s="1" t="s">
        <v>50</v>
      </c>
      <c r="H1122" s="1" t="s">
        <v>50</v>
      </c>
      <c r="I1122" s="1" t="s">
        <v>50</v>
      </c>
      <c r="J1122" s="1" t="s">
        <v>50</v>
      </c>
      <c r="K1122" s="1" t="s">
        <v>50</v>
      </c>
      <c r="L1122">
        <f t="shared" si="115"/>
        <v>165.08096849368502</v>
      </c>
      <c r="M1122">
        <f t="shared" si="114"/>
        <v>100.24730815672166</v>
      </c>
      <c r="N1122">
        <f t="shared" si="116"/>
        <v>259.31323779276431</v>
      </c>
      <c r="O1122" t="e">
        <f t="shared" si="117"/>
        <v>#N/A</v>
      </c>
      <c r="P1122" t="e">
        <f t="shared" si="118"/>
        <v>#N/A</v>
      </c>
      <c r="Q1122" t="e">
        <f t="shared" si="119"/>
        <v>#N/A</v>
      </c>
      <c r="U1122">
        <f>C1122/Navio!$J$4</f>
        <v>15.265341891033989</v>
      </c>
    </row>
    <row r="1123" spans="1:21" x14ac:dyDescent="0.3">
      <c r="A1123">
        <v>1121</v>
      </c>
      <c r="B1123" s="47">
        <v>897.40044285345721</v>
      </c>
      <c r="C1123" s="46">
        <v>283.17788935464836</v>
      </c>
      <c r="D1123" s="1">
        <v>30</v>
      </c>
      <c r="E1123" s="1">
        <v>32</v>
      </c>
      <c r="F1123" s="1">
        <v>27</v>
      </c>
      <c r="G1123" s="1" t="s">
        <v>50</v>
      </c>
      <c r="H1123" s="1" t="s">
        <v>50</v>
      </c>
      <c r="I1123" s="1" t="s">
        <v>50</v>
      </c>
      <c r="J1123" s="1" t="s">
        <v>50</v>
      </c>
      <c r="K1123" s="1" t="s">
        <v>50</v>
      </c>
      <c r="L1123">
        <f t="shared" si="115"/>
        <v>165.08096849368502</v>
      </c>
      <c r="M1123">
        <f t="shared" si="114"/>
        <v>473.00623656700782</v>
      </c>
      <c r="N1123">
        <f t="shared" si="116"/>
        <v>259.31323779276431</v>
      </c>
      <c r="O1123" t="e">
        <f t="shared" si="117"/>
        <v>#N/A</v>
      </c>
      <c r="P1123" t="e">
        <f t="shared" si="118"/>
        <v>#N/A</v>
      </c>
      <c r="Q1123" t="e">
        <f t="shared" si="119"/>
        <v>#N/A</v>
      </c>
      <c r="U1123">
        <f>C1123/Navio!$J$4</f>
        <v>15.290396004372809</v>
      </c>
    </row>
    <row r="1124" spans="1:21" x14ac:dyDescent="0.3">
      <c r="A1124">
        <v>1122</v>
      </c>
      <c r="B1124" s="47">
        <v>565.53225809732135</v>
      </c>
      <c r="C1124" s="46">
        <v>285.98910970423623</v>
      </c>
      <c r="D1124" s="1">
        <v>30</v>
      </c>
      <c r="E1124" s="1">
        <v>33</v>
      </c>
      <c r="F1124" s="1">
        <v>27</v>
      </c>
      <c r="G1124" s="1" t="s">
        <v>50</v>
      </c>
      <c r="H1124" s="1" t="s">
        <v>50</v>
      </c>
      <c r="I1124" s="1" t="s">
        <v>50</v>
      </c>
      <c r="J1124" s="1" t="s">
        <v>50</v>
      </c>
      <c r="K1124" s="1" t="s">
        <v>50</v>
      </c>
      <c r="L1124">
        <f t="shared" si="115"/>
        <v>165.08096849368502</v>
      </c>
      <c r="M1124">
        <f t="shared" si="114"/>
        <v>141.13805181087204</v>
      </c>
      <c r="N1124">
        <f t="shared" si="116"/>
        <v>259.31323779276431</v>
      </c>
      <c r="O1124" t="e">
        <f t="shared" si="117"/>
        <v>#N/A</v>
      </c>
      <c r="P1124" t="e">
        <f t="shared" si="118"/>
        <v>#N/A</v>
      </c>
      <c r="Q1124" t="e">
        <f t="shared" si="119"/>
        <v>#N/A</v>
      </c>
      <c r="U1124">
        <f>C1124/Navio!$J$4</f>
        <v>15.44218989088955</v>
      </c>
    </row>
    <row r="1125" spans="1:21" x14ac:dyDescent="0.3">
      <c r="A1125">
        <v>1123</v>
      </c>
      <c r="B1125" s="47">
        <v>832.56678251649373</v>
      </c>
      <c r="C1125" s="46">
        <v>283.23476638847205</v>
      </c>
      <c r="D1125" s="1">
        <v>31</v>
      </c>
      <c r="E1125" s="1">
        <v>32</v>
      </c>
      <c r="F1125" s="1">
        <v>27</v>
      </c>
      <c r="G1125" s="1" t="s">
        <v>50</v>
      </c>
      <c r="H1125" s="1" t="s">
        <v>50</v>
      </c>
      <c r="I1125" s="1" t="s">
        <v>50</v>
      </c>
      <c r="J1125" s="1" t="s">
        <v>50</v>
      </c>
      <c r="K1125" s="1" t="s">
        <v>50</v>
      </c>
      <c r="L1125">
        <f t="shared" si="115"/>
        <v>100.24730815672166</v>
      </c>
      <c r="M1125">
        <f t="shared" si="114"/>
        <v>473.00623656700782</v>
      </c>
      <c r="N1125">
        <f t="shared" si="116"/>
        <v>259.31323779276431</v>
      </c>
      <c r="O1125" t="e">
        <f t="shared" si="117"/>
        <v>#N/A</v>
      </c>
      <c r="P1125" t="e">
        <f t="shared" si="118"/>
        <v>#N/A</v>
      </c>
      <c r="Q1125" t="e">
        <f t="shared" si="119"/>
        <v>#N/A</v>
      </c>
      <c r="U1125">
        <f>C1125/Navio!$J$4</f>
        <v>15.29346712116339</v>
      </c>
    </row>
    <row r="1126" spans="1:21" x14ac:dyDescent="0.3">
      <c r="A1126">
        <v>1124</v>
      </c>
      <c r="B1126" s="47">
        <v>500.69859776035798</v>
      </c>
      <c r="C1126" s="46">
        <v>285.9890752381005</v>
      </c>
      <c r="D1126" s="1">
        <v>31</v>
      </c>
      <c r="E1126" s="1">
        <v>33</v>
      </c>
      <c r="F1126" s="1">
        <v>27</v>
      </c>
      <c r="G1126" s="1" t="s">
        <v>50</v>
      </c>
      <c r="H1126" s="1" t="s">
        <v>50</v>
      </c>
      <c r="I1126" s="1" t="s">
        <v>50</v>
      </c>
      <c r="J1126" s="1" t="s">
        <v>50</v>
      </c>
      <c r="K1126" s="1" t="s">
        <v>50</v>
      </c>
      <c r="L1126">
        <f t="shared" si="115"/>
        <v>100.24730815672166</v>
      </c>
      <c r="M1126">
        <f t="shared" si="114"/>
        <v>141.13805181087204</v>
      </c>
      <c r="N1126">
        <f t="shared" si="116"/>
        <v>259.31323779276431</v>
      </c>
      <c r="O1126" t="e">
        <f t="shared" si="117"/>
        <v>#N/A</v>
      </c>
      <c r="P1126" t="e">
        <f t="shared" si="118"/>
        <v>#N/A</v>
      </c>
      <c r="Q1126" t="e">
        <f t="shared" si="119"/>
        <v>#N/A</v>
      </c>
      <c r="U1126">
        <f>C1126/Navio!$J$4</f>
        <v>15.442188029865495</v>
      </c>
    </row>
    <row r="1127" spans="1:21" x14ac:dyDescent="0.3">
      <c r="A1127">
        <v>1125</v>
      </c>
      <c r="B1127" s="47">
        <v>873.4575261706442</v>
      </c>
      <c r="C1127" s="46">
        <v>285.92085581542761</v>
      </c>
      <c r="D1127" s="1">
        <v>33</v>
      </c>
      <c r="E1127" s="1">
        <v>32</v>
      </c>
      <c r="F1127" s="1">
        <v>27</v>
      </c>
      <c r="G1127" s="1" t="s">
        <v>50</v>
      </c>
      <c r="H1127" s="1" t="s">
        <v>50</v>
      </c>
      <c r="I1127" s="1" t="s">
        <v>50</v>
      </c>
      <c r="J1127" s="1" t="s">
        <v>50</v>
      </c>
      <c r="K1127" s="1" t="s">
        <v>50</v>
      </c>
      <c r="L1127">
        <f t="shared" si="115"/>
        <v>141.13805181087204</v>
      </c>
      <c r="M1127">
        <f t="shared" si="114"/>
        <v>473.00623656700782</v>
      </c>
      <c r="N1127">
        <f t="shared" si="116"/>
        <v>259.31323779276431</v>
      </c>
      <c r="O1127" t="e">
        <f t="shared" si="117"/>
        <v>#N/A</v>
      </c>
      <c r="P1127" t="e">
        <f t="shared" si="118"/>
        <v>#N/A</v>
      </c>
      <c r="Q1127" t="e">
        <f t="shared" si="119"/>
        <v>#N/A</v>
      </c>
      <c r="U1127">
        <f>C1127/Navio!$J$4</f>
        <v>15.438504472543151</v>
      </c>
    </row>
    <row r="1128" spans="1:21" x14ac:dyDescent="0.3">
      <c r="A1128">
        <v>1126</v>
      </c>
      <c r="B1128" s="47">
        <v>556.58408677718899</v>
      </c>
      <c r="C1128" s="46">
        <v>274.49865314181523</v>
      </c>
      <c r="D1128" s="1">
        <v>30</v>
      </c>
      <c r="E1128" s="1">
        <v>29</v>
      </c>
      <c r="F1128" s="1">
        <v>28</v>
      </c>
      <c r="G1128" s="1" t="s">
        <v>50</v>
      </c>
      <c r="H1128" s="1" t="s">
        <v>50</v>
      </c>
      <c r="I1128" s="1" t="s">
        <v>50</v>
      </c>
      <c r="J1128" s="1" t="s">
        <v>50</v>
      </c>
      <c r="K1128" s="1" t="s">
        <v>50</v>
      </c>
      <c r="L1128">
        <f t="shared" si="115"/>
        <v>165.08096849368502</v>
      </c>
      <c r="M1128">
        <f t="shared" si="114"/>
        <v>473.00623656700782</v>
      </c>
      <c r="N1128">
        <f t="shared" si="116"/>
        <v>310</v>
      </c>
      <c r="O1128" t="e">
        <f t="shared" si="117"/>
        <v>#N/A</v>
      </c>
      <c r="P1128" t="e">
        <f t="shared" si="118"/>
        <v>#N/A</v>
      </c>
      <c r="Q1128" t="e">
        <f t="shared" si="119"/>
        <v>#N/A</v>
      </c>
      <c r="U1128">
        <f>C1128/Navio!$J$4</f>
        <v>14.821754335306943</v>
      </c>
    </row>
    <row r="1129" spans="1:21" x14ac:dyDescent="0.3">
      <c r="A1129">
        <v>1127</v>
      </c>
      <c r="B1129" s="47">
        <v>491.75042644022557</v>
      </c>
      <c r="C1129" s="46">
        <v>274.6439211119752</v>
      </c>
      <c r="D1129" s="1">
        <v>31</v>
      </c>
      <c r="E1129" s="1">
        <v>29</v>
      </c>
      <c r="F1129" s="1">
        <v>28</v>
      </c>
      <c r="G1129" s="1" t="s">
        <v>50</v>
      </c>
      <c r="H1129" s="1" t="s">
        <v>50</v>
      </c>
      <c r="I1129" s="1" t="s">
        <v>50</v>
      </c>
      <c r="J1129" s="1" t="s">
        <v>50</v>
      </c>
      <c r="K1129" s="1" t="s">
        <v>50</v>
      </c>
      <c r="L1129">
        <f t="shared" si="115"/>
        <v>100.24730815672166</v>
      </c>
      <c r="M1129">
        <f t="shared" si="114"/>
        <v>473.00623656700782</v>
      </c>
      <c r="N1129">
        <f t="shared" si="116"/>
        <v>310</v>
      </c>
      <c r="O1129" t="e">
        <f t="shared" si="117"/>
        <v>#N/A</v>
      </c>
      <c r="P1129" t="e">
        <f t="shared" si="118"/>
        <v>#N/A</v>
      </c>
      <c r="Q1129" t="e">
        <f t="shared" si="119"/>
        <v>#N/A</v>
      </c>
      <c r="U1129">
        <f>C1129/Navio!$J$4</f>
        <v>14.829598184964695</v>
      </c>
    </row>
    <row r="1130" spans="1:21" x14ac:dyDescent="0.3">
      <c r="A1130">
        <v>1128</v>
      </c>
      <c r="B1130" s="47">
        <v>864.50935485051173</v>
      </c>
      <c r="C1130" s="46">
        <v>275.39145494872622</v>
      </c>
      <c r="D1130" s="1">
        <v>29</v>
      </c>
      <c r="E1130" s="1">
        <v>32</v>
      </c>
      <c r="F1130" s="1">
        <v>28</v>
      </c>
      <c r="G1130" s="1" t="s">
        <v>50</v>
      </c>
      <c r="H1130" s="1" t="s">
        <v>50</v>
      </c>
      <c r="I1130" s="1" t="s">
        <v>50</v>
      </c>
      <c r="J1130" s="1" t="s">
        <v>50</v>
      </c>
      <c r="K1130" s="1" t="s">
        <v>50</v>
      </c>
      <c r="L1130">
        <f t="shared" si="115"/>
        <v>473.00623656700782</v>
      </c>
      <c r="M1130">
        <f t="shared" si="114"/>
        <v>473.00623656700782</v>
      </c>
      <c r="N1130">
        <f t="shared" si="116"/>
        <v>310</v>
      </c>
      <c r="O1130" t="e">
        <f t="shared" si="117"/>
        <v>#N/A</v>
      </c>
      <c r="P1130" t="e">
        <f t="shared" si="118"/>
        <v>#N/A</v>
      </c>
      <c r="Q1130" t="e">
        <f t="shared" si="119"/>
        <v>#N/A</v>
      </c>
      <c r="U1130">
        <f>C1130/Navio!$J$4</f>
        <v>14.869961817932792</v>
      </c>
    </row>
    <row r="1131" spans="1:21" x14ac:dyDescent="0.3">
      <c r="A1131">
        <v>1129</v>
      </c>
      <c r="B1131" s="47">
        <v>532.64117009437598</v>
      </c>
      <c r="C1131" s="46">
        <v>279.24632798047855</v>
      </c>
      <c r="D1131" s="1">
        <v>29</v>
      </c>
      <c r="E1131" s="1">
        <v>33</v>
      </c>
      <c r="F1131" s="1">
        <v>28</v>
      </c>
      <c r="G1131" s="1" t="s">
        <v>50</v>
      </c>
      <c r="H1131" s="1" t="s">
        <v>50</v>
      </c>
      <c r="I1131" s="1" t="s">
        <v>50</v>
      </c>
      <c r="J1131" s="1" t="s">
        <v>50</v>
      </c>
      <c r="K1131" s="1" t="s">
        <v>50</v>
      </c>
      <c r="L1131">
        <f t="shared" si="115"/>
        <v>473.00623656700782</v>
      </c>
      <c r="M1131">
        <f t="shared" si="114"/>
        <v>141.13805181087204</v>
      </c>
      <c r="N1131">
        <f t="shared" si="116"/>
        <v>310</v>
      </c>
      <c r="O1131" t="e">
        <f t="shared" si="117"/>
        <v>#N/A</v>
      </c>
      <c r="P1131" t="e">
        <f t="shared" si="118"/>
        <v>#N/A</v>
      </c>
      <c r="Q1131" t="e">
        <f t="shared" si="119"/>
        <v>#N/A</v>
      </c>
      <c r="U1131">
        <f>C1131/Navio!$J$4</f>
        <v>15.078108489752395</v>
      </c>
    </row>
    <row r="1132" spans="1:21" x14ac:dyDescent="0.3">
      <c r="A1132">
        <v>1130</v>
      </c>
      <c r="B1132" s="47">
        <v>420.32827665040668</v>
      </c>
      <c r="C1132" s="46">
        <v>274.61276978369665</v>
      </c>
      <c r="D1132" s="1">
        <v>30</v>
      </c>
      <c r="E1132" s="1">
        <v>31</v>
      </c>
      <c r="F1132" s="1">
        <v>28</v>
      </c>
      <c r="G1132" s="1" t="s">
        <v>50</v>
      </c>
      <c r="H1132" s="1" t="s">
        <v>50</v>
      </c>
      <c r="I1132" s="1" t="s">
        <v>50</v>
      </c>
      <c r="J1132" s="1" t="s">
        <v>50</v>
      </c>
      <c r="K1132" s="1" t="s">
        <v>50</v>
      </c>
      <c r="L1132">
        <f t="shared" si="115"/>
        <v>165.08096849368502</v>
      </c>
      <c r="M1132">
        <f t="shared" si="114"/>
        <v>100.24730815672166</v>
      </c>
      <c r="N1132">
        <f t="shared" si="116"/>
        <v>310</v>
      </c>
      <c r="O1132" t="e">
        <f t="shared" si="117"/>
        <v>#N/A</v>
      </c>
      <c r="P1132" t="e">
        <f t="shared" si="118"/>
        <v>#N/A</v>
      </c>
      <c r="Q1132" t="e">
        <f t="shared" si="119"/>
        <v>#N/A</v>
      </c>
      <c r="U1132">
        <f>C1132/Navio!$J$4</f>
        <v>14.82791614634746</v>
      </c>
    </row>
    <row r="1133" spans="1:21" x14ac:dyDescent="0.3">
      <c r="A1133">
        <v>1131</v>
      </c>
      <c r="B1133" s="47">
        <v>793.0872050606929</v>
      </c>
      <c r="C1133" s="46">
        <v>277.02729713568442</v>
      </c>
      <c r="D1133" s="1">
        <v>30</v>
      </c>
      <c r="E1133" s="1">
        <v>32</v>
      </c>
      <c r="F1133" s="1">
        <v>28</v>
      </c>
      <c r="G1133" s="1" t="s">
        <v>50</v>
      </c>
      <c r="H1133" s="1" t="s">
        <v>50</v>
      </c>
      <c r="I1133" s="1" t="s">
        <v>50</v>
      </c>
      <c r="J1133" s="1" t="s">
        <v>50</v>
      </c>
      <c r="K1133" s="1" t="s">
        <v>50</v>
      </c>
      <c r="L1133">
        <f t="shared" si="115"/>
        <v>165.08096849368502</v>
      </c>
      <c r="M1133">
        <f t="shared" si="114"/>
        <v>473.00623656700782</v>
      </c>
      <c r="N1133">
        <f t="shared" si="116"/>
        <v>310</v>
      </c>
      <c r="O1133" t="e">
        <f t="shared" si="117"/>
        <v>#N/A</v>
      </c>
      <c r="P1133" t="e">
        <f t="shared" si="118"/>
        <v>#N/A</v>
      </c>
      <c r="Q1133" t="e">
        <f t="shared" si="119"/>
        <v>#N/A</v>
      </c>
      <c r="U1133">
        <f>C1133/Navio!$J$4</f>
        <v>14.958290306065297</v>
      </c>
    </row>
    <row r="1134" spans="1:21" x14ac:dyDescent="0.3">
      <c r="A1134">
        <v>1132</v>
      </c>
      <c r="B1134" s="47">
        <v>461.21902030455703</v>
      </c>
      <c r="C1134" s="46">
        <v>279.38793861048725</v>
      </c>
      <c r="D1134" s="1">
        <v>30</v>
      </c>
      <c r="E1134" s="1">
        <v>33</v>
      </c>
      <c r="F1134" s="1">
        <v>28</v>
      </c>
      <c r="G1134" s="1" t="s">
        <v>50</v>
      </c>
      <c r="H1134" s="1" t="s">
        <v>50</v>
      </c>
      <c r="I1134" s="1" t="s">
        <v>50</v>
      </c>
      <c r="J1134" s="1" t="s">
        <v>50</v>
      </c>
      <c r="K1134" s="1" t="s">
        <v>50</v>
      </c>
      <c r="L1134">
        <f t="shared" si="115"/>
        <v>165.08096849368502</v>
      </c>
      <c r="M1134">
        <f t="shared" si="114"/>
        <v>141.13805181087204</v>
      </c>
      <c r="N1134">
        <f t="shared" si="116"/>
        <v>310</v>
      </c>
      <c r="O1134" t="e">
        <f t="shared" si="117"/>
        <v>#N/A</v>
      </c>
      <c r="P1134" t="e">
        <f t="shared" si="118"/>
        <v>#N/A</v>
      </c>
      <c r="Q1134" t="e">
        <f t="shared" si="119"/>
        <v>#N/A</v>
      </c>
      <c r="U1134">
        <f>C1134/Navio!$J$4</f>
        <v>15.085754858669816</v>
      </c>
    </row>
    <row r="1135" spans="1:21" x14ac:dyDescent="0.3">
      <c r="A1135">
        <v>1133</v>
      </c>
      <c r="B1135" s="47">
        <v>728.25354472372942</v>
      </c>
      <c r="C1135" s="46">
        <v>277.08417416950817</v>
      </c>
      <c r="D1135" s="1">
        <v>31</v>
      </c>
      <c r="E1135" s="1">
        <v>32</v>
      </c>
      <c r="F1135" s="1">
        <v>28</v>
      </c>
      <c r="G1135" s="1" t="s">
        <v>50</v>
      </c>
      <c r="H1135" s="1" t="s">
        <v>50</v>
      </c>
      <c r="I1135" s="1" t="s">
        <v>50</v>
      </c>
      <c r="J1135" s="1" t="s">
        <v>50</v>
      </c>
      <c r="K1135" s="1" t="s">
        <v>50</v>
      </c>
      <c r="L1135">
        <f t="shared" si="115"/>
        <v>100.24730815672166</v>
      </c>
      <c r="M1135">
        <f t="shared" si="114"/>
        <v>473.00623656700782</v>
      </c>
      <c r="N1135">
        <f t="shared" si="116"/>
        <v>310</v>
      </c>
      <c r="O1135" t="e">
        <f t="shared" si="117"/>
        <v>#N/A</v>
      </c>
      <c r="P1135" t="e">
        <f t="shared" si="118"/>
        <v>#N/A</v>
      </c>
      <c r="Q1135" t="e">
        <f t="shared" si="119"/>
        <v>#N/A</v>
      </c>
      <c r="U1135">
        <f>C1135/Navio!$J$4</f>
        <v>14.961361422855882</v>
      </c>
    </row>
    <row r="1136" spans="1:21" x14ac:dyDescent="0.3">
      <c r="A1136">
        <v>1134</v>
      </c>
      <c r="B1136" s="47">
        <v>396.38535996759367</v>
      </c>
      <c r="C1136" s="46">
        <v>279.38790414435152</v>
      </c>
      <c r="D1136" s="1">
        <v>31</v>
      </c>
      <c r="E1136" s="1">
        <v>33</v>
      </c>
      <c r="F1136" s="1">
        <v>28</v>
      </c>
      <c r="G1136" s="1" t="s">
        <v>50</v>
      </c>
      <c r="H1136" s="1" t="s">
        <v>50</v>
      </c>
      <c r="I1136" s="1" t="s">
        <v>50</v>
      </c>
      <c r="J1136" s="1" t="s">
        <v>50</v>
      </c>
      <c r="K1136" s="1" t="s">
        <v>50</v>
      </c>
      <c r="L1136">
        <f t="shared" si="115"/>
        <v>100.24730815672166</v>
      </c>
      <c r="M1136">
        <f t="shared" si="114"/>
        <v>141.13805181087204</v>
      </c>
      <c r="N1136">
        <f t="shared" si="116"/>
        <v>310</v>
      </c>
      <c r="O1136" t="e">
        <f t="shared" si="117"/>
        <v>#N/A</v>
      </c>
      <c r="P1136" t="e">
        <f t="shared" si="118"/>
        <v>#N/A</v>
      </c>
      <c r="Q1136" t="e">
        <f t="shared" si="119"/>
        <v>#N/A</v>
      </c>
      <c r="U1136">
        <f>C1136/Navio!$J$4</f>
        <v>15.085752997645759</v>
      </c>
    </row>
    <row r="1137" spans="1:21" x14ac:dyDescent="0.3">
      <c r="A1137">
        <v>1135</v>
      </c>
      <c r="B1137" s="47">
        <v>769.14428837787989</v>
      </c>
      <c r="C1137" s="46">
        <v>279.76510567712927</v>
      </c>
      <c r="D1137" s="1">
        <v>32</v>
      </c>
      <c r="E1137" s="1">
        <v>33</v>
      </c>
      <c r="F1137" s="1">
        <v>28</v>
      </c>
      <c r="G1137" s="1" t="s">
        <v>50</v>
      </c>
      <c r="H1137" s="1" t="s">
        <v>50</v>
      </c>
      <c r="I1137" s="1" t="s">
        <v>50</v>
      </c>
      <c r="J1137" s="1" t="s">
        <v>50</v>
      </c>
      <c r="K1137" s="1" t="s">
        <v>50</v>
      </c>
      <c r="L1137">
        <f t="shared" si="115"/>
        <v>473.00623656700782</v>
      </c>
      <c r="M1137">
        <f t="shared" si="114"/>
        <v>141.13805181087204</v>
      </c>
      <c r="N1137">
        <f t="shared" si="116"/>
        <v>310</v>
      </c>
      <c r="O1137" t="e">
        <f t="shared" si="117"/>
        <v>#N/A</v>
      </c>
      <c r="P1137" t="e">
        <f t="shared" si="118"/>
        <v>#N/A</v>
      </c>
      <c r="Q1137" t="e">
        <f t="shared" si="119"/>
        <v>#N/A</v>
      </c>
      <c r="U1137">
        <f>C1137/Navio!$J$4</f>
        <v>15.106120268631402</v>
      </c>
    </row>
    <row r="1138" spans="1:21" x14ac:dyDescent="0.3">
      <c r="A1138">
        <v>1136</v>
      </c>
      <c r="B1138" s="47">
        <v>501.83139493391059</v>
      </c>
      <c r="C1138" s="46">
        <v>274.39506979692931</v>
      </c>
      <c r="D1138" s="1">
        <v>30</v>
      </c>
      <c r="E1138" s="1">
        <v>31</v>
      </c>
      <c r="F1138" s="1">
        <v>29</v>
      </c>
      <c r="G1138" s="1" t="s">
        <v>50</v>
      </c>
      <c r="H1138" s="1" t="s">
        <v>50</v>
      </c>
      <c r="I1138" s="1" t="s">
        <v>50</v>
      </c>
      <c r="J1138" s="1" t="s">
        <v>50</v>
      </c>
      <c r="K1138" s="1" t="s">
        <v>50</v>
      </c>
      <c r="L1138">
        <f t="shared" si="115"/>
        <v>165.08096849368502</v>
      </c>
      <c r="M1138">
        <f t="shared" si="114"/>
        <v>100.24730815672166</v>
      </c>
      <c r="N1138">
        <f t="shared" si="116"/>
        <v>473.00623656700782</v>
      </c>
      <c r="O1138" t="e">
        <f t="shared" si="117"/>
        <v>#N/A</v>
      </c>
      <c r="P1138" t="e">
        <f t="shared" si="118"/>
        <v>#N/A</v>
      </c>
      <c r="Q1138" t="e">
        <f t="shared" si="119"/>
        <v>#N/A</v>
      </c>
      <c r="U1138">
        <f>C1138/Navio!$J$4</f>
        <v>14.816161277295341</v>
      </c>
    </row>
    <row r="1139" spans="1:21" x14ac:dyDescent="0.3">
      <c r="A1139">
        <v>1137</v>
      </c>
      <c r="B1139" s="47">
        <v>874.5903233441968</v>
      </c>
      <c r="C1139" s="46">
        <v>277.01397265199131</v>
      </c>
      <c r="D1139" s="1">
        <v>32</v>
      </c>
      <c r="E1139" s="1">
        <v>30</v>
      </c>
      <c r="F1139" s="1">
        <v>29</v>
      </c>
      <c r="G1139" s="1" t="s">
        <v>50</v>
      </c>
      <c r="H1139" s="1" t="s">
        <v>50</v>
      </c>
      <c r="I1139" s="1" t="s">
        <v>50</v>
      </c>
      <c r="J1139" s="1" t="s">
        <v>50</v>
      </c>
      <c r="K1139" s="1" t="s">
        <v>50</v>
      </c>
      <c r="L1139">
        <f t="shared" si="115"/>
        <v>473.00623656700782</v>
      </c>
      <c r="M1139">
        <f t="shared" si="114"/>
        <v>165.08096849368502</v>
      </c>
      <c r="N1139">
        <f t="shared" si="116"/>
        <v>473.00623656700782</v>
      </c>
      <c r="O1139" t="e">
        <f t="shared" si="117"/>
        <v>#N/A</v>
      </c>
      <c r="P1139" t="e">
        <f t="shared" si="118"/>
        <v>#N/A</v>
      </c>
      <c r="Q1139" t="e">
        <f t="shared" si="119"/>
        <v>#N/A</v>
      </c>
      <c r="U1139">
        <f>C1139/Navio!$J$4</f>
        <v>14.957570840881466</v>
      </c>
    </row>
    <row r="1140" spans="1:21" x14ac:dyDescent="0.3">
      <c r="A1140">
        <v>1138</v>
      </c>
      <c r="B1140" s="47">
        <v>542.72213858806094</v>
      </c>
      <c r="C1140" s="46">
        <v>279.36786744440593</v>
      </c>
      <c r="D1140" s="1">
        <v>30</v>
      </c>
      <c r="E1140" s="1">
        <v>33</v>
      </c>
      <c r="F1140" s="1">
        <v>29</v>
      </c>
      <c r="G1140" s="1" t="s">
        <v>50</v>
      </c>
      <c r="H1140" s="1" t="s">
        <v>50</v>
      </c>
      <c r="I1140" s="1" t="s">
        <v>50</v>
      </c>
      <c r="J1140" s="1" t="s">
        <v>50</v>
      </c>
      <c r="K1140" s="1" t="s">
        <v>50</v>
      </c>
      <c r="L1140">
        <f t="shared" si="115"/>
        <v>165.08096849368502</v>
      </c>
      <c r="M1140">
        <f t="shared" si="114"/>
        <v>141.13805181087204</v>
      </c>
      <c r="N1140">
        <f t="shared" si="116"/>
        <v>473.00623656700782</v>
      </c>
      <c r="O1140" t="e">
        <f t="shared" si="117"/>
        <v>#N/A</v>
      </c>
      <c r="P1140" t="e">
        <f t="shared" si="118"/>
        <v>#N/A</v>
      </c>
      <c r="Q1140" t="e">
        <f t="shared" si="119"/>
        <v>#N/A</v>
      </c>
      <c r="U1140">
        <f>C1140/Navio!$J$4</f>
        <v>15.084671101465634</v>
      </c>
    </row>
    <row r="1141" spans="1:21" x14ac:dyDescent="0.3">
      <c r="A1141">
        <v>1139</v>
      </c>
      <c r="B1141" s="47">
        <v>809.75666300723333</v>
      </c>
      <c r="C1141" s="46">
        <v>277.06761466461671</v>
      </c>
      <c r="D1141" s="1">
        <v>32</v>
      </c>
      <c r="E1141" s="1">
        <v>31</v>
      </c>
      <c r="F1141" s="1">
        <v>29</v>
      </c>
      <c r="G1141" s="1" t="s">
        <v>50</v>
      </c>
      <c r="H1141" s="1" t="s">
        <v>50</v>
      </c>
      <c r="I1141" s="1" t="s">
        <v>50</v>
      </c>
      <c r="J1141" s="1" t="s">
        <v>50</v>
      </c>
      <c r="K1141" s="1" t="s">
        <v>50</v>
      </c>
      <c r="L1141">
        <f t="shared" si="115"/>
        <v>473.00623656700782</v>
      </c>
      <c r="M1141">
        <f t="shared" si="114"/>
        <v>100.24730815672166</v>
      </c>
      <c r="N1141">
        <f t="shared" si="116"/>
        <v>473.00623656700782</v>
      </c>
      <c r="O1141" t="e">
        <f t="shared" si="117"/>
        <v>#N/A</v>
      </c>
      <c r="P1141" t="e">
        <f t="shared" si="118"/>
        <v>#N/A</v>
      </c>
      <c r="Q1141" t="e">
        <f t="shared" si="119"/>
        <v>#N/A</v>
      </c>
      <c r="U1141">
        <f>C1141/Navio!$J$4</f>
        <v>14.960467280350604</v>
      </c>
    </row>
    <row r="1142" spans="1:21" x14ac:dyDescent="0.3">
      <c r="A1142">
        <v>1140</v>
      </c>
      <c r="B1142" s="47">
        <v>477.88847825109758</v>
      </c>
      <c r="C1142" s="46">
        <v>279.3678329782702</v>
      </c>
      <c r="D1142" s="1">
        <v>31</v>
      </c>
      <c r="E1142" s="1">
        <v>33</v>
      </c>
      <c r="F1142" s="1">
        <v>29</v>
      </c>
      <c r="G1142" s="1" t="s">
        <v>50</v>
      </c>
      <c r="H1142" s="1" t="s">
        <v>50</v>
      </c>
      <c r="I1142" s="1" t="s">
        <v>50</v>
      </c>
      <c r="J1142" s="1" t="s">
        <v>50</v>
      </c>
      <c r="K1142" s="1" t="s">
        <v>50</v>
      </c>
      <c r="L1142">
        <f t="shared" si="115"/>
        <v>100.24730815672166</v>
      </c>
      <c r="M1142">
        <f t="shared" si="114"/>
        <v>141.13805181087204</v>
      </c>
      <c r="N1142">
        <f t="shared" si="116"/>
        <v>473.00623656700782</v>
      </c>
      <c r="O1142" t="e">
        <f t="shared" si="117"/>
        <v>#N/A</v>
      </c>
      <c r="P1142" t="e">
        <f t="shared" si="118"/>
        <v>#N/A</v>
      </c>
      <c r="Q1142" t="e">
        <f t="shared" si="119"/>
        <v>#N/A</v>
      </c>
      <c r="U1142">
        <f>C1142/Navio!$J$4</f>
        <v>15.084669240441579</v>
      </c>
    </row>
    <row r="1143" spans="1:21" x14ac:dyDescent="0.3">
      <c r="A1143">
        <v>1141</v>
      </c>
      <c r="B1143" s="47">
        <v>850.6474066613838</v>
      </c>
      <c r="C1143" s="46">
        <v>279.74503451104795</v>
      </c>
      <c r="D1143" s="1">
        <v>32</v>
      </c>
      <c r="E1143" s="1">
        <v>33</v>
      </c>
      <c r="F1143" s="1">
        <v>29</v>
      </c>
      <c r="G1143" s="1" t="s">
        <v>50</v>
      </c>
      <c r="H1143" s="1" t="s">
        <v>50</v>
      </c>
      <c r="I1143" s="1" t="s">
        <v>50</v>
      </c>
      <c r="J1143" s="1" t="s">
        <v>50</v>
      </c>
      <c r="K1143" s="1" t="s">
        <v>50</v>
      </c>
      <c r="L1143">
        <f t="shared" si="115"/>
        <v>473.00623656700782</v>
      </c>
      <c r="M1143">
        <f t="shared" si="114"/>
        <v>141.13805181087204</v>
      </c>
      <c r="N1143">
        <f t="shared" si="116"/>
        <v>473.00623656700782</v>
      </c>
      <c r="O1143" t="e">
        <f t="shared" si="117"/>
        <v>#N/A</v>
      </c>
      <c r="P1143" t="e">
        <f t="shared" si="118"/>
        <v>#N/A</v>
      </c>
      <c r="Q1143" t="e">
        <f t="shared" si="119"/>
        <v>#N/A</v>
      </c>
      <c r="U1143">
        <f>C1143/Navio!$J$4</f>
        <v>15.105036511427221</v>
      </c>
    </row>
    <row r="1144" spans="1:21" x14ac:dyDescent="0.3">
      <c r="A1144">
        <v>1142</v>
      </c>
      <c r="B1144" s="47">
        <v>738.3345132174145</v>
      </c>
      <c r="C1144" s="46">
        <v>277.03599238280913</v>
      </c>
      <c r="D1144" s="1">
        <v>32</v>
      </c>
      <c r="E1144" s="1">
        <v>31</v>
      </c>
      <c r="F1144" s="1">
        <v>30</v>
      </c>
      <c r="G1144" s="1" t="s">
        <v>50</v>
      </c>
      <c r="H1144" s="1" t="s">
        <v>50</v>
      </c>
      <c r="I1144" s="1" t="s">
        <v>50</v>
      </c>
      <c r="J1144" s="1" t="s">
        <v>50</v>
      </c>
      <c r="K1144" s="1" t="s">
        <v>50</v>
      </c>
      <c r="L1144">
        <f t="shared" si="115"/>
        <v>473.00623656700782</v>
      </c>
      <c r="M1144">
        <f t="shared" si="114"/>
        <v>100.24730815672166</v>
      </c>
      <c r="N1144">
        <f t="shared" si="116"/>
        <v>165.08096849368502</v>
      </c>
      <c r="O1144" t="e">
        <f t="shared" si="117"/>
        <v>#N/A</v>
      </c>
      <c r="P1144" t="e">
        <f t="shared" si="118"/>
        <v>#N/A</v>
      </c>
      <c r="Q1144" t="e">
        <f t="shared" si="119"/>
        <v>#N/A</v>
      </c>
      <c r="U1144">
        <f>C1144/Navio!$J$4</f>
        <v>14.95875981225519</v>
      </c>
    </row>
    <row r="1145" spans="1:21" x14ac:dyDescent="0.3">
      <c r="A1145">
        <v>1143</v>
      </c>
      <c r="B1145" s="47">
        <v>406.46632846127875</v>
      </c>
      <c r="C1145" s="46">
        <v>279.34488027698694</v>
      </c>
      <c r="D1145" s="1">
        <v>33</v>
      </c>
      <c r="E1145" s="1">
        <v>31</v>
      </c>
      <c r="F1145" s="1">
        <v>30</v>
      </c>
      <c r="G1145" s="1" t="s">
        <v>50</v>
      </c>
      <c r="H1145" s="1" t="s">
        <v>50</v>
      </c>
      <c r="I1145" s="1" t="s">
        <v>50</v>
      </c>
      <c r="J1145" s="1" t="s">
        <v>50</v>
      </c>
      <c r="K1145" s="1" t="s">
        <v>50</v>
      </c>
      <c r="L1145">
        <f t="shared" si="115"/>
        <v>141.13805181087204</v>
      </c>
      <c r="M1145">
        <f t="shared" si="114"/>
        <v>100.24730815672166</v>
      </c>
      <c r="N1145">
        <f t="shared" si="116"/>
        <v>165.08096849368502</v>
      </c>
      <c r="O1145" t="e">
        <f t="shared" si="117"/>
        <v>#N/A</v>
      </c>
      <c r="P1145" t="e">
        <f t="shared" si="118"/>
        <v>#N/A</v>
      </c>
      <c r="Q1145" t="e">
        <f t="shared" si="119"/>
        <v>#N/A</v>
      </c>
      <c r="U1145">
        <f>C1145/Navio!$J$4</f>
        <v>15.08342989264931</v>
      </c>
    </row>
    <row r="1146" spans="1:21" x14ac:dyDescent="0.3">
      <c r="A1146">
        <v>1144</v>
      </c>
      <c r="B1146" s="47">
        <v>779.22525687156485</v>
      </c>
      <c r="C1146" s="46">
        <v>279.88664514105665</v>
      </c>
      <c r="D1146" s="1">
        <v>32</v>
      </c>
      <c r="E1146" s="1">
        <v>33</v>
      </c>
      <c r="F1146" s="1">
        <v>30</v>
      </c>
      <c r="G1146" s="1" t="s">
        <v>50</v>
      </c>
      <c r="H1146" s="1" t="s">
        <v>50</v>
      </c>
      <c r="I1146" s="1" t="s">
        <v>50</v>
      </c>
      <c r="J1146" s="1" t="s">
        <v>50</v>
      </c>
      <c r="K1146" s="1" t="s">
        <v>50</v>
      </c>
      <c r="L1146">
        <f t="shared" si="115"/>
        <v>473.00623656700782</v>
      </c>
      <c r="M1146">
        <f t="shared" si="114"/>
        <v>141.13805181087204</v>
      </c>
      <c r="N1146">
        <f t="shared" si="116"/>
        <v>165.08096849368502</v>
      </c>
      <c r="O1146" t="e">
        <f t="shared" si="117"/>
        <v>#N/A</v>
      </c>
      <c r="P1146" t="e">
        <f t="shared" si="118"/>
        <v>#N/A</v>
      </c>
      <c r="Q1146" t="e">
        <f t="shared" si="119"/>
        <v>#N/A</v>
      </c>
      <c r="U1146">
        <f>C1146/Navio!$J$4</f>
        <v>15.112682880344639</v>
      </c>
    </row>
    <row r="1147" spans="1:21" x14ac:dyDescent="0.3">
      <c r="A1147">
        <v>1145</v>
      </c>
      <c r="B1147" s="47">
        <v>714.39159653460149</v>
      </c>
      <c r="C1147" s="46">
        <v>279.88661067492092</v>
      </c>
      <c r="D1147" s="1">
        <v>32</v>
      </c>
      <c r="E1147" s="1">
        <v>33</v>
      </c>
      <c r="F1147" s="1">
        <v>31</v>
      </c>
      <c r="G1147" s="1" t="s">
        <v>50</v>
      </c>
      <c r="H1147" s="1" t="s">
        <v>50</v>
      </c>
      <c r="I1147" s="1" t="s">
        <v>50</v>
      </c>
      <c r="J1147" s="1" t="s">
        <v>50</v>
      </c>
      <c r="K1147" s="1" t="s">
        <v>50</v>
      </c>
      <c r="L1147">
        <f t="shared" si="115"/>
        <v>473.00623656700782</v>
      </c>
      <c r="M1147">
        <f t="shared" si="114"/>
        <v>141.13805181087204</v>
      </c>
      <c r="N1147">
        <f t="shared" si="116"/>
        <v>100.24730815672166</v>
      </c>
      <c r="O1147" t="e">
        <f t="shared" si="117"/>
        <v>#N/A</v>
      </c>
      <c r="P1147" t="e">
        <f t="shared" si="118"/>
        <v>#N/A</v>
      </c>
      <c r="Q1147" t="e">
        <f t="shared" si="119"/>
        <v>#N/A</v>
      </c>
      <c r="U1147">
        <f>C1147/Navio!$J$4</f>
        <v>15.112681019320584</v>
      </c>
    </row>
    <row r="1148" spans="1:21" x14ac:dyDescent="0.3">
      <c r="A1148">
        <v>1146</v>
      </c>
      <c r="B1148" s="47">
        <v>793.02083333172072</v>
      </c>
      <c r="C1148" s="46">
        <v>275.06511803877447</v>
      </c>
      <c r="D1148" s="1">
        <v>28</v>
      </c>
      <c r="E1148" s="1">
        <v>27</v>
      </c>
      <c r="F1148" s="1">
        <v>26</v>
      </c>
      <c r="G1148" s="1">
        <v>25</v>
      </c>
      <c r="H1148" s="1" t="s">
        <v>50</v>
      </c>
      <c r="I1148" s="1" t="s">
        <v>50</v>
      </c>
      <c r="J1148" s="1" t="s">
        <v>50</v>
      </c>
      <c r="K1148" s="1" t="s">
        <v>50</v>
      </c>
      <c r="L1148">
        <f t="shared" si="115"/>
        <v>310</v>
      </c>
      <c r="M1148">
        <f t="shared" si="114"/>
        <v>259.31323779276431</v>
      </c>
      <c r="N1148">
        <f t="shared" si="116"/>
        <v>220.78480595896349</v>
      </c>
      <c r="O1148">
        <f t="shared" si="117"/>
        <v>157.92278957999292</v>
      </c>
      <c r="P1148" t="e">
        <f t="shared" si="118"/>
        <v>#N/A</v>
      </c>
      <c r="Q1148" t="e">
        <f t="shared" si="119"/>
        <v>#N/A</v>
      </c>
      <c r="U1148">
        <f>C1148/Navio!$J$4</f>
        <v>14.852341019234922</v>
      </c>
    </row>
    <row r="1149" spans="1:21" x14ac:dyDescent="0.3">
      <c r="A1149">
        <v>1147</v>
      </c>
      <c r="B1149" s="47">
        <v>874.52395161522463</v>
      </c>
      <c r="C1149" s="46">
        <v>280.7297367509762</v>
      </c>
      <c r="D1149" s="1">
        <v>29</v>
      </c>
      <c r="E1149" s="1">
        <v>27</v>
      </c>
      <c r="F1149" s="1">
        <v>26</v>
      </c>
      <c r="G1149" s="1">
        <v>25</v>
      </c>
      <c r="H1149" s="1" t="s">
        <v>50</v>
      </c>
      <c r="I1149" s="1" t="s">
        <v>50</v>
      </c>
      <c r="J1149" s="1" t="s">
        <v>50</v>
      </c>
      <c r="K1149" s="1" t="s">
        <v>50</v>
      </c>
      <c r="L1149">
        <f t="shared" si="115"/>
        <v>473.00623656700782</v>
      </c>
      <c r="M1149">
        <f t="shared" si="114"/>
        <v>259.31323779276431</v>
      </c>
      <c r="N1149">
        <f t="shared" si="116"/>
        <v>220.78480595896349</v>
      </c>
      <c r="O1149">
        <f t="shared" si="117"/>
        <v>157.92278957999292</v>
      </c>
      <c r="P1149" t="e">
        <f t="shared" si="118"/>
        <v>#N/A</v>
      </c>
      <c r="Q1149" t="e">
        <f t="shared" si="119"/>
        <v>#N/A</v>
      </c>
      <c r="U1149">
        <f>C1149/Navio!$J$4</f>
        <v>15.158206224744912</v>
      </c>
    </row>
    <row r="1150" spans="1:21" x14ac:dyDescent="0.3">
      <c r="A1150">
        <v>1148</v>
      </c>
      <c r="B1150" s="47">
        <v>803.1018018254058</v>
      </c>
      <c r="C1150" s="46">
        <v>284.71104218978701</v>
      </c>
      <c r="D1150" s="1">
        <v>30</v>
      </c>
      <c r="E1150" s="1">
        <v>27</v>
      </c>
      <c r="F1150" s="1">
        <v>26</v>
      </c>
      <c r="G1150" s="1">
        <v>25</v>
      </c>
      <c r="H1150" s="1" t="s">
        <v>50</v>
      </c>
      <c r="I1150" s="1" t="s">
        <v>50</v>
      </c>
      <c r="J1150" s="1" t="s">
        <v>50</v>
      </c>
      <c r="K1150" s="1" t="s">
        <v>50</v>
      </c>
      <c r="L1150">
        <f t="shared" si="115"/>
        <v>165.08096849368502</v>
      </c>
      <c r="M1150">
        <f t="shared" si="114"/>
        <v>259.31323779276431</v>
      </c>
      <c r="N1150">
        <f t="shared" si="116"/>
        <v>220.78480595896349</v>
      </c>
      <c r="O1150">
        <f t="shared" si="117"/>
        <v>157.92278957999292</v>
      </c>
      <c r="P1150" t="e">
        <f t="shared" si="118"/>
        <v>#N/A</v>
      </c>
      <c r="Q1150" t="e">
        <f t="shared" si="119"/>
        <v>#N/A</v>
      </c>
      <c r="U1150">
        <f>C1150/Navio!$J$4</f>
        <v>15.373179706299259</v>
      </c>
    </row>
    <row r="1151" spans="1:21" x14ac:dyDescent="0.3">
      <c r="A1151">
        <v>1149</v>
      </c>
      <c r="B1151" s="47">
        <v>738.26814148844232</v>
      </c>
      <c r="C1151" s="46">
        <v>284.81340017004715</v>
      </c>
      <c r="D1151" s="1">
        <v>31</v>
      </c>
      <c r="E1151" s="1">
        <v>27</v>
      </c>
      <c r="F1151" s="1">
        <v>26</v>
      </c>
      <c r="G1151" s="1">
        <v>25</v>
      </c>
      <c r="H1151" s="1" t="s">
        <v>50</v>
      </c>
      <c r="I1151" s="1" t="s">
        <v>50</v>
      </c>
      <c r="J1151" s="1" t="s">
        <v>50</v>
      </c>
      <c r="K1151" s="1" t="s">
        <v>50</v>
      </c>
      <c r="L1151">
        <f t="shared" si="115"/>
        <v>100.24730815672166</v>
      </c>
      <c r="M1151">
        <f t="shared" si="114"/>
        <v>259.31323779276431</v>
      </c>
      <c r="N1151">
        <f t="shared" si="116"/>
        <v>220.78480595896349</v>
      </c>
      <c r="O1151">
        <f t="shared" si="117"/>
        <v>157.92278957999292</v>
      </c>
      <c r="P1151" t="e">
        <f t="shared" si="118"/>
        <v>#N/A</v>
      </c>
      <c r="Q1151" t="e">
        <f t="shared" si="119"/>
        <v>#N/A</v>
      </c>
      <c r="U1151">
        <f>C1151/Navio!$J$4</f>
        <v>15.378706599857059</v>
      </c>
    </row>
    <row r="1152" spans="1:21" x14ac:dyDescent="0.3">
      <c r="A1152">
        <v>1150</v>
      </c>
      <c r="B1152" s="47">
        <v>779.15888514259279</v>
      </c>
      <c r="C1152" s="46">
        <v>287.92405896651223</v>
      </c>
      <c r="D1152" s="1">
        <v>33</v>
      </c>
      <c r="E1152" s="1">
        <v>27</v>
      </c>
      <c r="F1152" s="1">
        <v>26</v>
      </c>
      <c r="G1152" s="1">
        <v>25</v>
      </c>
      <c r="H1152" s="1" t="s">
        <v>50</v>
      </c>
      <c r="I1152" s="1" t="s">
        <v>50</v>
      </c>
      <c r="J1152" s="1" t="s">
        <v>50</v>
      </c>
      <c r="K1152" s="1" t="s">
        <v>50</v>
      </c>
      <c r="L1152">
        <f t="shared" si="115"/>
        <v>141.13805181087204</v>
      </c>
      <c r="M1152">
        <f t="shared" si="114"/>
        <v>259.31323779276431</v>
      </c>
      <c r="N1152">
        <f t="shared" si="116"/>
        <v>220.78480595896349</v>
      </c>
      <c r="O1152">
        <f t="shared" si="117"/>
        <v>157.92278957999292</v>
      </c>
      <c r="P1152" t="e">
        <f t="shared" si="118"/>
        <v>#N/A</v>
      </c>
      <c r="Q1152" t="e">
        <f t="shared" si="119"/>
        <v>#N/A</v>
      </c>
      <c r="U1152">
        <f>C1152/Navio!$J$4</f>
        <v>15.546668883002935</v>
      </c>
    </row>
    <row r="1153" spans="1:21" x14ac:dyDescent="0.3">
      <c r="A1153">
        <v>1151</v>
      </c>
      <c r="B1153" s="47">
        <v>770.21071382246032</v>
      </c>
      <c r="C1153" s="46">
        <v>280.95974484006035</v>
      </c>
      <c r="D1153" s="1">
        <v>28</v>
      </c>
      <c r="E1153" s="1">
        <v>29</v>
      </c>
      <c r="F1153" s="1">
        <v>26</v>
      </c>
      <c r="G1153" s="1">
        <v>25</v>
      </c>
      <c r="H1153" s="1" t="s">
        <v>50</v>
      </c>
      <c r="I1153" s="1" t="s">
        <v>50</v>
      </c>
      <c r="J1153" s="1" t="s">
        <v>50</v>
      </c>
      <c r="K1153" s="1" t="s">
        <v>50</v>
      </c>
      <c r="L1153">
        <f t="shared" si="115"/>
        <v>310</v>
      </c>
      <c r="M1153">
        <f t="shared" si="114"/>
        <v>473.00623656700782</v>
      </c>
      <c r="N1153">
        <f t="shared" si="116"/>
        <v>220.78480595896349</v>
      </c>
      <c r="O1153">
        <f t="shared" si="117"/>
        <v>157.92278957999292</v>
      </c>
      <c r="P1153" t="e">
        <f t="shared" si="118"/>
        <v>#N/A</v>
      </c>
      <c r="Q1153" t="e">
        <f t="shared" si="119"/>
        <v>#N/A</v>
      </c>
      <c r="U1153">
        <f>C1153/Navio!$J$4</f>
        <v>15.170625678729547</v>
      </c>
    </row>
    <row r="1154" spans="1:21" x14ac:dyDescent="0.3">
      <c r="A1154">
        <v>1152</v>
      </c>
      <c r="B1154" s="47">
        <v>698.78856403264149</v>
      </c>
      <c r="C1154" s="46">
        <v>284.90927793532745</v>
      </c>
      <c r="D1154" s="1">
        <v>28</v>
      </c>
      <c r="E1154" s="1">
        <v>30</v>
      </c>
      <c r="F1154" s="1">
        <v>26</v>
      </c>
      <c r="G1154" s="1">
        <v>25</v>
      </c>
      <c r="H1154" s="1" t="s">
        <v>50</v>
      </c>
      <c r="I1154" s="1" t="s">
        <v>50</v>
      </c>
      <c r="J1154" s="1" t="s">
        <v>50</v>
      </c>
      <c r="K1154" s="1" t="s">
        <v>50</v>
      </c>
      <c r="L1154">
        <f t="shared" si="115"/>
        <v>310</v>
      </c>
      <c r="M1154">
        <f t="shared" si="114"/>
        <v>165.08096849368502</v>
      </c>
      <c r="N1154">
        <f t="shared" si="116"/>
        <v>220.78480595896349</v>
      </c>
      <c r="O1154">
        <f t="shared" si="117"/>
        <v>157.92278957999292</v>
      </c>
      <c r="P1154" t="e">
        <f t="shared" si="118"/>
        <v>#N/A</v>
      </c>
      <c r="Q1154" t="e">
        <f t="shared" si="119"/>
        <v>#N/A</v>
      </c>
      <c r="U1154">
        <f>C1154/Navio!$J$4</f>
        <v>15.383883589495943</v>
      </c>
    </row>
    <row r="1155" spans="1:21" x14ac:dyDescent="0.3">
      <c r="A1155">
        <v>1153</v>
      </c>
      <c r="B1155" s="47">
        <v>633.95490369567801</v>
      </c>
      <c r="C1155" s="46">
        <v>285.00313604915073</v>
      </c>
      <c r="D1155" s="1">
        <v>28</v>
      </c>
      <c r="E1155" s="1">
        <v>31</v>
      </c>
      <c r="F1155" s="1">
        <v>26</v>
      </c>
      <c r="G1155" s="1">
        <v>25</v>
      </c>
      <c r="H1155" s="1" t="s">
        <v>50</v>
      </c>
      <c r="I1155" s="1" t="s">
        <v>50</v>
      </c>
      <c r="J1155" s="1" t="s">
        <v>50</v>
      </c>
      <c r="K1155" s="1" t="s">
        <v>50</v>
      </c>
      <c r="L1155">
        <f t="shared" si="115"/>
        <v>310</v>
      </c>
      <c r="M1155">
        <f t="shared" ref="M1155:M1218" si="120">VLOOKUP(E1155,$Y$2:$Z$80,2)</f>
        <v>100.24730815672166</v>
      </c>
      <c r="N1155">
        <f t="shared" si="116"/>
        <v>220.78480595896349</v>
      </c>
      <c r="O1155">
        <f t="shared" si="117"/>
        <v>157.92278957999292</v>
      </c>
      <c r="P1155" t="e">
        <f t="shared" si="118"/>
        <v>#N/A</v>
      </c>
      <c r="Q1155" t="e">
        <f t="shared" si="119"/>
        <v>#N/A</v>
      </c>
      <c r="U1155">
        <f>C1155/Navio!$J$4</f>
        <v>15.38895152658613</v>
      </c>
    </row>
    <row r="1156" spans="1:21" x14ac:dyDescent="0.3">
      <c r="A1156">
        <v>1154</v>
      </c>
      <c r="B1156" s="47">
        <v>674.84564734982848</v>
      </c>
      <c r="C1156" s="46">
        <v>287.8344721060804</v>
      </c>
      <c r="D1156" s="1">
        <v>28</v>
      </c>
      <c r="E1156" s="1">
        <v>33</v>
      </c>
      <c r="F1156" s="1">
        <v>26</v>
      </c>
      <c r="G1156" s="1">
        <v>25</v>
      </c>
      <c r="H1156" s="1" t="s">
        <v>50</v>
      </c>
      <c r="I1156" s="1" t="s">
        <v>50</v>
      </c>
      <c r="J1156" s="1" t="s">
        <v>50</v>
      </c>
      <c r="K1156" s="1" t="s">
        <v>50</v>
      </c>
      <c r="L1156">
        <f t="shared" si="115"/>
        <v>310</v>
      </c>
      <c r="M1156">
        <f t="shared" si="120"/>
        <v>141.13805181087204</v>
      </c>
      <c r="N1156">
        <f t="shared" si="116"/>
        <v>220.78480595896349</v>
      </c>
      <c r="O1156">
        <f t="shared" si="117"/>
        <v>157.92278957999292</v>
      </c>
      <c r="P1156" t="e">
        <f t="shared" si="118"/>
        <v>#N/A</v>
      </c>
      <c r="Q1156" t="e">
        <f t="shared" si="119"/>
        <v>#N/A</v>
      </c>
      <c r="U1156">
        <f>C1156/Navio!$J$4</f>
        <v>15.541831575344794</v>
      </c>
    </row>
    <row r="1157" spans="1:21" x14ac:dyDescent="0.3">
      <c r="A1157">
        <v>1155</v>
      </c>
      <c r="B1157" s="47">
        <v>780.2916823161454</v>
      </c>
      <c r="C1157" s="46">
        <v>284.68800911632519</v>
      </c>
      <c r="D1157" s="1">
        <v>29</v>
      </c>
      <c r="E1157" s="1">
        <v>30</v>
      </c>
      <c r="F1157" s="1">
        <v>26</v>
      </c>
      <c r="G1157" s="1">
        <v>25</v>
      </c>
      <c r="H1157" s="1" t="s">
        <v>50</v>
      </c>
      <c r="I1157" s="1" t="s">
        <v>50</v>
      </c>
      <c r="J1157" s="1" t="s">
        <v>50</v>
      </c>
      <c r="K1157" s="1" t="s">
        <v>50</v>
      </c>
      <c r="L1157">
        <f t="shared" si="115"/>
        <v>473.00623656700782</v>
      </c>
      <c r="M1157">
        <f t="shared" si="120"/>
        <v>165.08096849368502</v>
      </c>
      <c r="N1157">
        <f t="shared" si="116"/>
        <v>220.78480595896349</v>
      </c>
      <c r="O1157">
        <f t="shared" si="117"/>
        <v>157.92278957999292</v>
      </c>
      <c r="P1157" t="e">
        <f t="shared" si="118"/>
        <v>#N/A</v>
      </c>
      <c r="Q1157" t="e">
        <f t="shared" si="119"/>
        <v>#N/A</v>
      </c>
      <c r="U1157">
        <f>C1157/Navio!$J$4</f>
        <v>15.371936018752779</v>
      </c>
    </row>
    <row r="1158" spans="1:21" x14ac:dyDescent="0.3">
      <c r="A1158">
        <v>1156</v>
      </c>
      <c r="B1158" s="47">
        <v>715.45802197918192</v>
      </c>
      <c r="C1158" s="46">
        <v>284.78543606238338</v>
      </c>
      <c r="D1158" s="1">
        <v>29</v>
      </c>
      <c r="E1158" s="1">
        <v>31</v>
      </c>
      <c r="F1158" s="1">
        <v>26</v>
      </c>
      <c r="G1158" s="1">
        <v>25</v>
      </c>
      <c r="H1158" s="1" t="s">
        <v>50</v>
      </c>
      <c r="I1158" s="1" t="s">
        <v>50</v>
      </c>
      <c r="J1158" s="1" t="s">
        <v>50</v>
      </c>
      <c r="K1158" s="1" t="s">
        <v>50</v>
      </c>
      <c r="L1158">
        <f t="shared" si="115"/>
        <v>473.00623656700782</v>
      </c>
      <c r="M1158">
        <f t="shared" si="120"/>
        <v>100.24730815672166</v>
      </c>
      <c r="N1158">
        <f t="shared" si="116"/>
        <v>220.78480595896349</v>
      </c>
      <c r="O1158">
        <f t="shared" si="117"/>
        <v>157.92278957999292</v>
      </c>
      <c r="P1158" t="e">
        <f t="shared" si="118"/>
        <v>#N/A</v>
      </c>
      <c r="Q1158" t="e">
        <f t="shared" si="119"/>
        <v>#N/A</v>
      </c>
      <c r="U1158">
        <f>C1158/Navio!$J$4</f>
        <v>15.377196657534011</v>
      </c>
    </row>
    <row r="1159" spans="1:21" x14ac:dyDescent="0.3">
      <c r="A1159">
        <v>1157</v>
      </c>
      <c r="B1159" s="47">
        <v>756.34876563333239</v>
      </c>
      <c r="C1159" s="46">
        <v>287.81440093999908</v>
      </c>
      <c r="D1159" s="1">
        <v>29</v>
      </c>
      <c r="E1159" s="1">
        <v>33</v>
      </c>
      <c r="F1159" s="1">
        <v>26</v>
      </c>
      <c r="G1159" s="1">
        <v>25</v>
      </c>
      <c r="H1159" s="1" t="s">
        <v>50</v>
      </c>
      <c r="I1159" s="1" t="s">
        <v>50</v>
      </c>
      <c r="J1159" s="1" t="s">
        <v>50</v>
      </c>
      <c r="K1159" s="1" t="s">
        <v>50</v>
      </c>
      <c r="L1159">
        <f t="shared" si="115"/>
        <v>473.00623656700782</v>
      </c>
      <c r="M1159">
        <f t="shared" si="120"/>
        <v>141.13805181087204</v>
      </c>
      <c r="N1159">
        <f t="shared" si="116"/>
        <v>220.78480595896349</v>
      </c>
      <c r="O1159">
        <f t="shared" si="117"/>
        <v>157.92278957999292</v>
      </c>
      <c r="P1159" t="e">
        <f t="shared" si="118"/>
        <v>#N/A</v>
      </c>
      <c r="Q1159" t="e">
        <f t="shared" si="119"/>
        <v>#N/A</v>
      </c>
      <c r="U1159">
        <f>C1159/Navio!$J$4</f>
        <v>15.540747818140613</v>
      </c>
    </row>
    <row r="1160" spans="1:21" x14ac:dyDescent="0.3">
      <c r="A1160">
        <v>1158</v>
      </c>
      <c r="B1160" s="47">
        <v>644.03587218936309</v>
      </c>
      <c r="C1160" s="46">
        <v>284.7538137805758</v>
      </c>
      <c r="D1160" s="1">
        <v>30</v>
      </c>
      <c r="E1160" s="1">
        <v>31</v>
      </c>
      <c r="F1160" s="1">
        <v>26</v>
      </c>
      <c r="G1160" s="1">
        <v>25</v>
      </c>
      <c r="H1160" s="1" t="s">
        <v>50</v>
      </c>
      <c r="I1160" s="1" t="s">
        <v>50</v>
      </c>
      <c r="J1160" s="1" t="s">
        <v>50</v>
      </c>
      <c r="K1160" s="1" t="s">
        <v>50</v>
      </c>
      <c r="L1160">
        <f t="shared" si="115"/>
        <v>165.08096849368502</v>
      </c>
      <c r="M1160">
        <f t="shared" si="120"/>
        <v>100.24730815672166</v>
      </c>
      <c r="N1160">
        <f t="shared" si="116"/>
        <v>220.78480595896349</v>
      </c>
      <c r="O1160">
        <f t="shared" si="117"/>
        <v>157.92278957999292</v>
      </c>
      <c r="P1160" t="e">
        <f t="shared" si="118"/>
        <v>#N/A</v>
      </c>
      <c r="Q1160" t="e">
        <f t="shared" si="119"/>
        <v>#N/A</v>
      </c>
      <c r="U1160">
        <f>C1160/Navio!$J$4</f>
        <v>15.375489189438596</v>
      </c>
    </row>
    <row r="1161" spans="1:21" x14ac:dyDescent="0.3">
      <c r="A1161">
        <v>1159</v>
      </c>
      <c r="B1161" s="47">
        <v>684.92661584351345</v>
      </c>
      <c r="C1161" s="46">
        <v>287.95601157000772</v>
      </c>
      <c r="D1161" s="1">
        <v>30</v>
      </c>
      <c r="E1161" s="1">
        <v>33</v>
      </c>
      <c r="F1161" s="1">
        <v>26</v>
      </c>
      <c r="G1161" s="1">
        <v>25</v>
      </c>
      <c r="H1161" s="1" t="s">
        <v>50</v>
      </c>
      <c r="I1161" s="1" t="s">
        <v>50</v>
      </c>
      <c r="J1161" s="1" t="s">
        <v>50</v>
      </c>
      <c r="K1161" s="1" t="s">
        <v>50</v>
      </c>
      <c r="L1161">
        <f t="shared" si="115"/>
        <v>165.08096849368502</v>
      </c>
      <c r="M1161">
        <f t="shared" si="120"/>
        <v>141.13805181087204</v>
      </c>
      <c r="N1161">
        <f t="shared" si="116"/>
        <v>220.78480595896349</v>
      </c>
      <c r="O1161">
        <f t="shared" si="117"/>
        <v>157.92278957999292</v>
      </c>
      <c r="P1161" t="e">
        <f t="shared" si="118"/>
        <v>#N/A</v>
      </c>
      <c r="Q1161" t="e">
        <f t="shared" si="119"/>
        <v>#N/A</v>
      </c>
      <c r="U1161">
        <f>C1161/Navio!$J$4</f>
        <v>15.54839418705803</v>
      </c>
    </row>
    <row r="1162" spans="1:21" x14ac:dyDescent="0.3">
      <c r="A1162">
        <v>1160</v>
      </c>
      <c r="B1162" s="47">
        <v>620.09295550655008</v>
      </c>
      <c r="C1162" s="46">
        <v>287.95597710387199</v>
      </c>
      <c r="D1162" s="1">
        <v>31</v>
      </c>
      <c r="E1162" s="1">
        <v>33</v>
      </c>
      <c r="F1162" s="1">
        <v>26</v>
      </c>
      <c r="G1162" s="1">
        <v>25</v>
      </c>
      <c r="H1162" s="1" t="s">
        <v>50</v>
      </c>
      <c r="I1162" s="1" t="s">
        <v>50</v>
      </c>
      <c r="J1162" s="1" t="s">
        <v>50</v>
      </c>
      <c r="K1162" s="1" t="s">
        <v>50</v>
      </c>
      <c r="L1162">
        <f t="shared" si="115"/>
        <v>100.24730815672166</v>
      </c>
      <c r="M1162">
        <f t="shared" si="120"/>
        <v>141.13805181087204</v>
      </c>
      <c r="N1162">
        <f t="shared" si="116"/>
        <v>220.78480595896349</v>
      </c>
      <c r="O1162">
        <f t="shared" si="117"/>
        <v>157.92278957999292</v>
      </c>
      <c r="P1162" t="e">
        <f t="shared" si="118"/>
        <v>#N/A</v>
      </c>
      <c r="Q1162" t="e">
        <f t="shared" si="119"/>
        <v>#N/A</v>
      </c>
      <c r="U1162">
        <f>C1162/Navio!$J$4</f>
        <v>15.548392326033973</v>
      </c>
    </row>
    <row r="1163" spans="1:21" x14ac:dyDescent="0.3">
      <c r="A1163">
        <v>1161</v>
      </c>
      <c r="B1163" s="47">
        <v>808.73914565626114</v>
      </c>
      <c r="C1163" s="46">
        <v>279.297669838263</v>
      </c>
      <c r="D1163" s="1">
        <v>28</v>
      </c>
      <c r="E1163" s="1">
        <v>29</v>
      </c>
      <c r="F1163" s="1">
        <v>27</v>
      </c>
      <c r="G1163" s="1">
        <v>25</v>
      </c>
      <c r="H1163" s="1" t="s">
        <v>50</v>
      </c>
      <c r="I1163" s="1" t="s">
        <v>50</v>
      </c>
      <c r="J1163" s="1" t="s">
        <v>50</v>
      </c>
      <c r="K1163" s="1" t="s">
        <v>50</v>
      </c>
      <c r="L1163">
        <f t="shared" si="115"/>
        <v>310</v>
      </c>
      <c r="M1163">
        <f t="shared" si="120"/>
        <v>473.00623656700782</v>
      </c>
      <c r="N1163">
        <f t="shared" si="116"/>
        <v>259.31323779276431</v>
      </c>
      <c r="O1163">
        <f t="shared" si="117"/>
        <v>157.92278957999292</v>
      </c>
      <c r="P1163" t="e">
        <f t="shared" si="118"/>
        <v>#N/A</v>
      </c>
      <c r="Q1163" t="e">
        <f t="shared" si="119"/>
        <v>#N/A</v>
      </c>
      <c r="U1163">
        <f>C1163/Navio!$J$4</f>
        <v>15.080880730688698</v>
      </c>
    </row>
    <row r="1164" spans="1:21" x14ac:dyDescent="0.3">
      <c r="A1164">
        <v>1162</v>
      </c>
      <c r="B1164" s="47">
        <v>737.31699586644231</v>
      </c>
      <c r="C1164" s="46">
        <v>283.286250084036</v>
      </c>
      <c r="D1164" s="1">
        <v>28</v>
      </c>
      <c r="E1164" s="1">
        <v>30</v>
      </c>
      <c r="F1164" s="1">
        <v>27</v>
      </c>
      <c r="G1164" s="1">
        <v>25</v>
      </c>
      <c r="H1164" s="1" t="s">
        <v>50</v>
      </c>
      <c r="I1164" s="1" t="s">
        <v>50</v>
      </c>
      <c r="J1164" s="1" t="s">
        <v>50</v>
      </c>
      <c r="K1164" s="1" t="s">
        <v>50</v>
      </c>
      <c r="L1164">
        <f t="shared" si="115"/>
        <v>310</v>
      </c>
      <c r="M1164">
        <f t="shared" si="120"/>
        <v>165.08096849368502</v>
      </c>
      <c r="N1164">
        <f t="shared" si="116"/>
        <v>259.31323779276431</v>
      </c>
      <c r="O1164">
        <f t="shared" si="117"/>
        <v>157.92278957999292</v>
      </c>
      <c r="P1164" t="e">
        <f t="shared" si="118"/>
        <v>#N/A</v>
      </c>
      <c r="Q1164" t="e">
        <f t="shared" si="119"/>
        <v>#N/A</v>
      </c>
      <c r="U1164">
        <f>C1164/Navio!$J$4</f>
        <v>15.296247020733711</v>
      </c>
    </row>
    <row r="1165" spans="1:21" x14ac:dyDescent="0.3">
      <c r="A1165">
        <v>1163</v>
      </c>
      <c r="B1165" s="47">
        <v>672.48333552947884</v>
      </c>
      <c r="C1165" s="46">
        <v>283.38180421086292</v>
      </c>
      <c r="D1165" s="1">
        <v>28</v>
      </c>
      <c r="E1165" s="1">
        <v>31</v>
      </c>
      <c r="F1165" s="1">
        <v>27</v>
      </c>
      <c r="G1165" s="1">
        <v>25</v>
      </c>
      <c r="H1165" s="1" t="s">
        <v>50</v>
      </c>
      <c r="I1165" s="1" t="s">
        <v>50</v>
      </c>
      <c r="J1165" s="1" t="s">
        <v>50</v>
      </c>
      <c r="K1165" s="1" t="s">
        <v>50</v>
      </c>
      <c r="L1165">
        <f t="shared" ref="L1165:L1228" si="121">VLOOKUP(D1165,$Y$2:$Z$80,2)</f>
        <v>310</v>
      </c>
      <c r="M1165">
        <f t="shared" si="120"/>
        <v>100.24730815672166</v>
      </c>
      <c r="N1165">
        <f t="shared" ref="N1165:N1228" si="122">VLOOKUP(F1165,$Y$2:$Z$80,2)</f>
        <v>259.31323779276431</v>
      </c>
      <c r="O1165">
        <f t="shared" ref="O1165:O1228" si="123">VLOOKUP(G1165,$Y$2:$Z$80,2)</f>
        <v>157.92278957999292</v>
      </c>
      <c r="P1165" t="e">
        <f t="shared" ref="P1165:P1228" si="124">VLOOKUP(H1165,$Y$2:$Z$80,2)</f>
        <v>#N/A</v>
      </c>
      <c r="Q1165" t="e">
        <f t="shared" ref="Q1165:Q1228" si="125">VLOOKUP(I1165,$Y$2:$Z$80,2)</f>
        <v>#N/A</v>
      </c>
      <c r="U1165">
        <f>C1165/Navio!$J$4</f>
        <v>15.301406535279021</v>
      </c>
    </row>
    <row r="1166" spans="1:21" x14ac:dyDescent="0.3">
      <c r="A1166">
        <v>1164</v>
      </c>
      <c r="B1166" s="47">
        <v>713.37407918362931</v>
      </c>
      <c r="C1166" s="46">
        <v>286.28616460611767</v>
      </c>
      <c r="D1166" s="1">
        <v>28</v>
      </c>
      <c r="E1166" s="1">
        <v>33</v>
      </c>
      <c r="F1166" s="1">
        <v>27</v>
      </c>
      <c r="G1166" s="1">
        <v>25</v>
      </c>
      <c r="H1166" s="1" t="s">
        <v>50</v>
      </c>
      <c r="I1166" s="1" t="s">
        <v>50</v>
      </c>
      <c r="J1166" s="1" t="s">
        <v>50</v>
      </c>
      <c r="K1166" s="1" t="s">
        <v>50</v>
      </c>
      <c r="L1166">
        <f t="shared" si="121"/>
        <v>310</v>
      </c>
      <c r="M1166">
        <f t="shared" si="120"/>
        <v>141.13805181087204</v>
      </c>
      <c r="N1166">
        <f t="shared" si="122"/>
        <v>259.31323779276431</v>
      </c>
      <c r="O1166">
        <f t="shared" si="123"/>
        <v>157.92278957999292</v>
      </c>
      <c r="P1166" t="e">
        <f t="shared" si="124"/>
        <v>#N/A</v>
      </c>
      <c r="Q1166" t="e">
        <f t="shared" si="125"/>
        <v>#N/A</v>
      </c>
      <c r="U1166">
        <f>C1166/Navio!$J$4</f>
        <v>15.458229586273815</v>
      </c>
    </row>
    <row r="1167" spans="1:21" x14ac:dyDescent="0.3">
      <c r="A1167">
        <v>1165</v>
      </c>
      <c r="B1167" s="47">
        <v>818.82011414994622</v>
      </c>
      <c r="C1167" s="46">
        <v>283.06498126503374</v>
      </c>
      <c r="D1167" s="1">
        <v>29</v>
      </c>
      <c r="E1167" s="1">
        <v>30</v>
      </c>
      <c r="F1167" s="1">
        <v>27</v>
      </c>
      <c r="G1167" s="1">
        <v>25</v>
      </c>
      <c r="H1167" s="1" t="s">
        <v>50</v>
      </c>
      <c r="I1167" s="1" t="s">
        <v>50</v>
      </c>
      <c r="J1167" s="1" t="s">
        <v>50</v>
      </c>
      <c r="K1167" s="1" t="s">
        <v>50</v>
      </c>
      <c r="L1167">
        <f t="shared" si="121"/>
        <v>473.00623656700782</v>
      </c>
      <c r="M1167">
        <f t="shared" si="120"/>
        <v>165.08096849368502</v>
      </c>
      <c r="N1167">
        <f t="shared" si="122"/>
        <v>259.31323779276431</v>
      </c>
      <c r="O1167">
        <f t="shared" si="123"/>
        <v>157.92278957999292</v>
      </c>
      <c r="P1167" t="e">
        <f t="shared" si="124"/>
        <v>#N/A</v>
      </c>
      <c r="Q1167" t="e">
        <f t="shared" si="125"/>
        <v>#N/A</v>
      </c>
      <c r="U1167">
        <f>C1167/Navio!$J$4</f>
        <v>15.284299449990547</v>
      </c>
    </row>
    <row r="1168" spans="1:21" x14ac:dyDescent="0.3">
      <c r="A1168">
        <v>1166</v>
      </c>
      <c r="B1168" s="47">
        <v>753.98645381298275</v>
      </c>
      <c r="C1168" s="46">
        <v>283.16410422409558</v>
      </c>
      <c r="D1168" s="1">
        <v>29</v>
      </c>
      <c r="E1168" s="1">
        <v>31</v>
      </c>
      <c r="F1168" s="1">
        <v>27</v>
      </c>
      <c r="G1168" s="1">
        <v>25</v>
      </c>
      <c r="H1168" s="1" t="s">
        <v>50</v>
      </c>
      <c r="I1168" s="1" t="s">
        <v>50</v>
      </c>
      <c r="J1168" s="1" t="s">
        <v>50</v>
      </c>
      <c r="K1168" s="1" t="s">
        <v>50</v>
      </c>
      <c r="L1168">
        <f t="shared" si="121"/>
        <v>473.00623656700782</v>
      </c>
      <c r="M1168">
        <f t="shared" si="120"/>
        <v>100.24730815672166</v>
      </c>
      <c r="N1168">
        <f t="shared" si="122"/>
        <v>259.31323779276431</v>
      </c>
      <c r="O1168">
        <f t="shared" si="123"/>
        <v>157.92278957999292</v>
      </c>
      <c r="P1168" t="e">
        <f t="shared" si="124"/>
        <v>#N/A</v>
      </c>
      <c r="Q1168" t="e">
        <f t="shared" si="125"/>
        <v>#N/A</v>
      </c>
      <c r="U1168">
        <f>C1168/Navio!$J$4</f>
        <v>15.289651666226902</v>
      </c>
    </row>
    <row r="1169" spans="1:21" x14ac:dyDescent="0.3">
      <c r="A1169">
        <v>1167</v>
      </c>
      <c r="B1169" s="47">
        <v>794.87719746713321</v>
      </c>
      <c r="C1169" s="46">
        <v>286.2660934400364</v>
      </c>
      <c r="D1169" s="1">
        <v>29</v>
      </c>
      <c r="E1169" s="1">
        <v>33</v>
      </c>
      <c r="F1169" s="1">
        <v>27</v>
      </c>
      <c r="G1169" s="1">
        <v>25</v>
      </c>
      <c r="H1169" s="1" t="s">
        <v>50</v>
      </c>
      <c r="I1169" s="1" t="s">
        <v>50</v>
      </c>
      <c r="J1169" s="1" t="s">
        <v>50</v>
      </c>
      <c r="K1169" s="1" t="s">
        <v>50</v>
      </c>
      <c r="L1169">
        <f t="shared" si="121"/>
        <v>473.00623656700782</v>
      </c>
      <c r="M1169">
        <f t="shared" si="120"/>
        <v>141.13805181087204</v>
      </c>
      <c r="N1169">
        <f t="shared" si="122"/>
        <v>259.31323779276431</v>
      </c>
      <c r="O1169">
        <f t="shared" si="123"/>
        <v>157.92278957999292</v>
      </c>
      <c r="P1169" t="e">
        <f t="shared" si="124"/>
        <v>#N/A</v>
      </c>
      <c r="Q1169" t="e">
        <f t="shared" si="125"/>
        <v>#N/A</v>
      </c>
      <c r="U1169">
        <f>C1169/Navio!$J$4</f>
        <v>15.457145829069635</v>
      </c>
    </row>
    <row r="1170" spans="1:21" x14ac:dyDescent="0.3">
      <c r="A1170">
        <v>1168</v>
      </c>
      <c r="B1170" s="47">
        <v>682.56430402316391</v>
      </c>
      <c r="C1170" s="46">
        <v>283.132481942288</v>
      </c>
      <c r="D1170" s="1">
        <v>30</v>
      </c>
      <c r="E1170" s="1">
        <v>31</v>
      </c>
      <c r="F1170" s="1">
        <v>27</v>
      </c>
      <c r="G1170" s="1">
        <v>25</v>
      </c>
      <c r="H1170" s="1" t="s">
        <v>50</v>
      </c>
      <c r="I1170" s="1" t="s">
        <v>50</v>
      </c>
      <c r="J1170" s="1" t="s">
        <v>50</v>
      </c>
      <c r="K1170" s="1" t="s">
        <v>50</v>
      </c>
      <c r="L1170">
        <f t="shared" si="121"/>
        <v>165.08096849368502</v>
      </c>
      <c r="M1170">
        <f t="shared" si="120"/>
        <v>100.24730815672166</v>
      </c>
      <c r="N1170">
        <f t="shared" si="122"/>
        <v>259.31323779276431</v>
      </c>
      <c r="O1170">
        <f t="shared" si="123"/>
        <v>157.92278957999292</v>
      </c>
      <c r="P1170" t="e">
        <f t="shared" si="124"/>
        <v>#N/A</v>
      </c>
      <c r="Q1170" t="e">
        <f t="shared" si="125"/>
        <v>#N/A</v>
      </c>
      <c r="U1170">
        <f>C1170/Navio!$J$4</f>
        <v>15.287944198131488</v>
      </c>
    </row>
    <row r="1171" spans="1:21" x14ac:dyDescent="0.3">
      <c r="A1171">
        <v>1169</v>
      </c>
      <c r="B1171" s="47">
        <v>723.45504767731427</v>
      </c>
      <c r="C1171" s="46">
        <v>286.40770407004504</v>
      </c>
      <c r="D1171" s="1">
        <v>30</v>
      </c>
      <c r="E1171" s="1">
        <v>33</v>
      </c>
      <c r="F1171" s="1">
        <v>27</v>
      </c>
      <c r="G1171" s="1">
        <v>25</v>
      </c>
      <c r="H1171" s="1" t="s">
        <v>50</v>
      </c>
      <c r="I1171" s="1" t="s">
        <v>50</v>
      </c>
      <c r="J1171" s="1" t="s">
        <v>50</v>
      </c>
      <c r="K1171" s="1" t="s">
        <v>50</v>
      </c>
      <c r="L1171">
        <f t="shared" si="121"/>
        <v>165.08096849368502</v>
      </c>
      <c r="M1171">
        <f t="shared" si="120"/>
        <v>141.13805181087204</v>
      </c>
      <c r="N1171">
        <f t="shared" si="122"/>
        <v>259.31323779276431</v>
      </c>
      <c r="O1171">
        <f t="shared" si="123"/>
        <v>157.92278957999292</v>
      </c>
      <c r="P1171" t="e">
        <f t="shared" si="124"/>
        <v>#N/A</v>
      </c>
      <c r="Q1171" t="e">
        <f t="shared" si="125"/>
        <v>#N/A</v>
      </c>
      <c r="U1171">
        <f>C1171/Navio!$J$4</f>
        <v>15.464792197987052</v>
      </c>
    </row>
    <row r="1172" spans="1:21" x14ac:dyDescent="0.3">
      <c r="A1172">
        <v>1170</v>
      </c>
      <c r="B1172" s="47">
        <v>658.62138734035091</v>
      </c>
      <c r="C1172" s="46">
        <v>286.40766960390931</v>
      </c>
      <c r="D1172" s="1">
        <v>31</v>
      </c>
      <c r="E1172" s="1">
        <v>33</v>
      </c>
      <c r="F1172" s="1">
        <v>27</v>
      </c>
      <c r="G1172" s="1">
        <v>25</v>
      </c>
      <c r="H1172" s="1" t="s">
        <v>50</v>
      </c>
      <c r="I1172" s="1" t="s">
        <v>50</v>
      </c>
      <c r="J1172" s="1" t="s">
        <v>50</v>
      </c>
      <c r="K1172" s="1" t="s">
        <v>50</v>
      </c>
      <c r="L1172">
        <f t="shared" si="121"/>
        <v>100.24730815672166</v>
      </c>
      <c r="M1172">
        <f t="shared" si="120"/>
        <v>141.13805181087204</v>
      </c>
      <c r="N1172">
        <f t="shared" si="122"/>
        <v>259.31323779276431</v>
      </c>
      <c r="O1172">
        <f t="shared" si="123"/>
        <v>157.92278957999292</v>
      </c>
      <c r="P1172" t="e">
        <f t="shared" si="124"/>
        <v>#N/A</v>
      </c>
      <c r="Q1172" t="e">
        <f t="shared" si="125"/>
        <v>#N/A</v>
      </c>
      <c r="U1172">
        <f>C1172/Navio!$J$4</f>
        <v>15.464790336962997</v>
      </c>
    </row>
    <row r="1173" spans="1:21" x14ac:dyDescent="0.3">
      <c r="A1173">
        <v>1171</v>
      </c>
      <c r="B1173" s="47">
        <v>714.50687635718191</v>
      </c>
      <c r="C1173" s="46">
        <v>277.16061752473365</v>
      </c>
      <c r="D1173" s="1">
        <v>30</v>
      </c>
      <c r="E1173" s="1">
        <v>29</v>
      </c>
      <c r="F1173" s="1">
        <v>28</v>
      </c>
      <c r="G1173" s="1">
        <v>25</v>
      </c>
      <c r="H1173" s="1" t="s">
        <v>50</v>
      </c>
      <c r="I1173" s="1" t="s">
        <v>50</v>
      </c>
      <c r="J1173" s="1" t="s">
        <v>50</v>
      </c>
      <c r="K1173" s="1" t="s">
        <v>50</v>
      </c>
      <c r="L1173">
        <f t="shared" si="121"/>
        <v>165.08096849368502</v>
      </c>
      <c r="M1173">
        <f t="shared" si="120"/>
        <v>473.00623656700782</v>
      </c>
      <c r="N1173">
        <f t="shared" si="122"/>
        <v>310</v>
      </c>
      <c r="O1173">
        <f t="shared" si="123"/>
        <v>157.92278957999292</v>
      </c>
      <c r="P1173" t="e">
        <f t="shared" si="124"/>
        <v>#N/A</v>
      </c>
      <c r="Q1173" t="e">
        <f t="shared" si="125"/>
        <v>#N/A</v>
      </c>
      <c r="U1173">
        <f>C1173/Navio!$J$4</f>
        <v>14.965489037395153</v>
      </c>
    </row>
    <row r="1174" spans="1:21" x14ac:dyDescent="0.3">
      <c r="A1174">
        <v>1172</v>
      </c>
      <c r="B1174" s="47">
        <v>649.67321602021843</v>
      </c>
      <c r="C1174" s="46">
        <v>277.30588549489363</v>
      </c>
      <c r="D1174" s="1">
        <v>31</v>
      </c>
      <c r="E1174" s="1">
        <v>29</v>
      </c>
      <c r="F1174" s="1">
        <v>28</v>
      </c>
      <c r="G1174" s="1">
        <v>25</v>
      </c>
      <c r="H1174" s="1" t="s">
        <v>50</v>
      </c>
      <c r="I1174" s="1" t="s">
        <v>50</v>
      </c>
      <c r="J1174" s="1" t="s">
        <v>50</v>
      </c>
      <c r="K1174" s="1" t="s">
        <v>50</v>
      </c>
      <c r="L1174">
        <f t="shared" si="121"/>
        <v>100.24730815672166</v>
      </c>
      <c r="M1174">
        <f t="shared" si="120"/>
        <v>473.00623656700782</v>
      </c>
      <c r="N1174">
        <f t="shared" si="122"/>
        <v>310</v>
      </c>
      <c r="O1174">
        <f t="shared" si="123"/>
        <v>157.92278957999292</v>
      </c>
      <c r="P1174" t="e">
        <f t="shared" si="124"/>
        <v>#N/A</v>
      </c>
      <c r="Q1174" t="e">
        <f t="shared" si="125"/>
        <v>#N/A</v>
      </c>
      <c r="U1174">
        <f>C1174/Navio!$J$4</f>
        <v>14.973332887052905</v>
      </c>
    </row>
    <row r="1175" spans="1:21" x14ac:dyDescent="0.3">
      <c r="A1175">
        <v>1173</v>
      </c>
      <c r="B1175" s="47">
        <v>690.5639596743689</v>
      </c>
      <c r="C1175" s="46">
        <v>281.60811885546127</v>
      </c>
      <c r="D1175" s="1">
        <v>28</v>
      </c>
      <c r="E1175" s="1">
        <v>29</v>
      </c>
      <c r="F1175" s="1">
        <v>33</v>
      </c>
      <c r="G1175" s="1">
        <v>25</v>
      </c>
      <c r="H1175" s="1" t="s">
        <v>50</v>
      </c>
      <c r="I1175" s="1" t="s">
        <v>50</v>
      </c>
      <c r="J1175" s="1" t="s">
        <v>50</v>
      </c>
      <c r="K1175" s="1" t="s">
        <v>50</v>
      </c>
      <c r="L1175">
        <f t="shared" si="121"/>
        <v>310</v>
      </c>
      <c r="M1175">
        <f t="shared" si="120"/>
        <v>473.00623656700782</v>
      </c>
      <c r="N1175">
        <f t="shared" si="122"/>
        <v>141.13805181087204</v>
      </c>
      <c r="O1175">
        <f t="shared" si="123"/>
        <v>157.92278957999292</v>
      </c>
      <c r="P1175" t="e">
        <f t="shared" si="124"/>
        <v>#N/A</v>
      </c>
      <c r="Q1175" t="e">
        <f t="shared" si="125"/>
        <v>#N/A</v>
      </c>
      <c r="U1175">
        <f>C1175/Navio!$J$4</f>
        <v>15.205635105055235</v>
      </c>
    </row>
    <row r="1176" spans="1:21" x14ac:dyDescent="0.3">
      <c r="A1176">
        <v>1174</v>
      </c>
      <c r="B1176" s="47">
        <v>578.2510662303996</v>
      </c>
      <c r="C1176" s="46">
        <v>277.27473416661508</v>
      </c>
      <c r="D1176" s="1">
        <v>30</v>
      </c>
      <c r="E1176" s="1">
        <v>31</v>
      </c>
      <c r="F1176" s="1">
        <v>28</v>
      </c>
      <c r="G1176" s="1">
        <v>25</v>
      </c>
      <c r="H1176" s="1" t="s">
        <v>50</v>
      </c>
      <c r="I1176" s="1" t="s">
        <v>50</v>
      </c>
      <c r="J1176" s="1" t="s">
        <v>50</v>
      </c>
      <c r="K1176" s="1" t="s">
        <v>50</v>
      </c>
      <c r="L1176">
        <f t="shared" si="121"/>
        <v>165.08096849368502</v>
      </c>
      <c r="M1176">
        <f t="shared" si="120"/>
        <v>100.24730815672166</v>
      </c>
      <c r="N1176">
        <f t="shared" si="122"/>
        <v>310</v>
      </c>
      <c r="O1176">
        <f t="shared" si="123"/>
        <v>157.92278957999292</v>
      </c>
      <c r="P1176" t="e">
        <f t="shared" si="124"/>
        <v>#N/A</v>
      </c>
      <c r="Q1176" t="e">
        <f t="shared" si="125"/>
        <v>#N/A</v>
      </c>
      <c r="U1176">
        <f>C1176/Navio!$J$4</f>
        <v>14.971650848435672</v>
      </c>
    </row>
    <row r="1177" spans="1:21" x14ac:dyDescent="0.3">
      <c r="A1177">
        <v>1175</v>
      </c>
      <c r="B1177" s="47">
        <v>619.14180988454996</v>
      </c>
      <c r="C1177" s="46">
        <v>281.75700429243216</v>
      </c>
      <c r="D1177" s="1">
        <v>28</v>
      </c>
      <c r="E1177" s="1">
        <v>30</v>
      </c>
      <c r="F1177" s="1">
        <v>33</v>
      </c>
      <c r="G1177" s="1">
        <v>25</v>
      </c>
      <c r="H1177" s="1" t="s">
        <v>50</v>
      </c>
      <c r="I1177" s="1" t="s">
        <v>50</v>
      </c>
      <c r="J1177" s="1" t="s">
        <v>50</v>
      </c>
      <c r="K1177" s="1" t="s">
        <v>50</v>
      </c>
      <c r="L1177">
        <f t="shared" si="121"/>
        <v>310</v>
      </c>
      <c r="M1177">
        <f t="shared" si="120"/>
        <v>165.08096849368502</v>
      </c>
      <c r="N1177">
        <f t="shared" si="122"/>
        <v>141.13805181087204</v>
      </c>
      <c r="O1177">
        <f t="shared" si="123"/>
        <v>157.92278957999292</v>
      </c>
      <c r="P1177" t="e">
        <f t="shared" si="124"/>
        <v>#N/A</v>
      </c>
      <c r="Q1177" t="e">
        <f t="shared" si="125"/>
        <v>#N/A</v>
      </c>
      <c r="U1177">
        <f>C1177/Navio!$J$4</f>
        <v>15.21367428246332</v>
      </c>
    </row>
    <row r="1178" spans="1:21" x14ac:dyDescent="0.3">
      <c r="A1178">
        <v>1176</v>
      </c>
      <c r="B1178" s="47">
        <v>886.17633430372234</v>
      </c>
      <c r="C1178" s="46">
        <v>278.98081051838273</v>
      </c>
      <c r="D1178" s="1">
        <v>28</v>
      </c>
      <c r="E1178" s="1">
        <v>31</v>
      </c>
      <c r="F1178" s="1">
        <v>32</v>
      </c>
      <c r="G1178" s="1">
        <v>25</v>
      </c>
      <c r="H1178" s="1" t="s">
        <v>50</v>
      </c>
      <c r="I1178" s="1" t="s">
        <v>50</v>
      </c>
      <c r="J1178" s="1" t="s">
        <v>50</v>
      </c>
      <c r="K1178" s="1" t="s">
        <v>50</v>
      </c>
      <c r="L1178">
        <f t="shared" si="121"/>
        <v>310</v>
      </c>
      <c r="M1178">
        <f t="shared" si="120"/>
        <v>100.24730815672166</v>
      </c>
      <c r="N1178">
        <f t="shared" si="122"/>
        <v>473.00623656700782</v>
      </c>
      <c r="O1178">
        <f t="shared" si="123"/>
        <v>157.92278957999292</v>
      </c>
      <c r="P1178" t="e">
        <f t="shared" si="124"/>
        <v>#N/A</v>
      </c>
      <c r="Q1178" t="e">
        <f t="shared" si="125"/>
        <v>#N/A</v>
      </c>
      <c r="U1178">
        <f>C1178/Navio!$J$4</f>
        <v>15.06377168135689</v>
      </c>
    </row>
    <row r="1179" spans="1:21" x14ac:dyDescent="0.3">
      <c r="A1179">
        <v>1177</v>
      </c>
      <c r="B1179" s="47">
        <v>554.30814954758659</v>
      </c>
      <c r="C1179" s="46">
        <v>281.75016597286321</v>
      </c>
      <c r="D1179" s="1">
        <v>28</v>
      </c>
      <c r="E1179" s="1">
        <v>31</v>
      </c>
      <c r="F1179" s="1">
        <v>33</v>
      </c>
      <c r="G1179" s="1">
        <v>25</v>
      </c>
      <c r="H1179" s="1" t="s">
        <v>50</v>
      </c>
      <c r="I1179" s="1" t="s">
        <v>50</v>
      </c>
      <c r="J1179" s="1" t="s">
        <v>50</v>
      </c>
      <c r="K1179" s="1" t="s">
        <v>50</v>
      </c>
      <c r="L1179">
        <f t="shared" si="121"/>
        <v>310</v>
      </c>
      <c r="M1179">
        <f t="shared" si="120"/>
        <v>100.24730815672166</v>
      </c>
      <c r="N1179">
        <f t="shared" si="122"/>
        <v>141.13805181087204</v>
      </c>
      <c r="O1179">
        <f t="shared" si="123"/>
        <v>157.92278957999292</v>
      </c>
      <c r="P1179" t="e">
        <f t="shared" si="124"/>
        <v>#N/A</v>
      </c>
      <c r="Q1179" t="e">
        <f t="shared" si="125"/>
        <v>#N/A</v>
      </c>
      <c r="U1179">
        <f>C1179/Navio!$J$4</f>
        <v>15.213305042426775</v>
      </c>
    </row>
    <row r="1180" spans="1:21" x14ac:dyDescent="0.3">
      <c r="A1180">
        <v>1178</v>
      </c>
      <c r="B1180" s="47">
        <v>659.75418451390351</v>
      </c>
      <c r="C1180" s="46">
        <v>277.15808379761665</v>
      </c>
      <c r="D1180" s="1">
        <v>29</v>
      </c>
      <c r="E1180" s="1">
        <v>30</v>
      </c>
      <c r="F1180" s="1">
        <v>31</v>
      </c>
      <c r="G1180" s="1">
        <v>25</v>
      </c>
      <c r="H1180" s="1" t="s">
        <v>50</v>
      </c>
      <c r="I1180" s="1" t="s">
        <v>50</v>
      </c>
      <c r="J1180" s="1" t="s">
        <v>50</v>
      </c>
      <c r="K1180" s="1" t="s">
        <v>50</v>
      </c>
      <c r="L1180">
        <f t="shared" si="121"/>
        <v>473.00623656700782</v>
      </c>
      <c r="M1180">
        <f t="shared" si="120"/>
        <v>165.08096849368502</v>
      </c>
      <c r="N1180">
        <f t="shared" si="122"/>
        <v>100.24730815672166</v>
      </c>
      <c r="O1180">
        <f t="shared" si="123"/>
        <v>157.92278957999292</v>
      </c>
      <c r="P1180" t="e">
        <f t="shared" si="124"/>
        <v>#N/A</v>
      </c>
      <c r="Q1180" t="e">
        <f t="shared" si="125"/>
        <v>#N/A</v>
      </c>
      <c r="U1180">
        <f>C1180/Navio!$J$4</f>
        <v>14.965352226957465</v>
      </c>
    </row>
    <row r="1181" spans="1:21" x14ac:dyDescent="0.3">
      <c r="A1181">
        <v>1179</v>
      </c>
      <c r="B1181" s="47">
        <v>700.64492816805387</v>
      </c>
      <c r="C1181" s="46">
        <v>281.5357354734299</v>
      </c>
      <c r="D1181" s="1">
        <v>29</v>
      </c>
      <c r="E1181" s="1">
        <v>30</v>
      </c>
      <c r="F1181" s="1">
        <v>33</v>
      </c>
      <c r="G1181" s="1">
        <v>25</v>
      </c>
      <c r="H1181" s="1" t="s">
        <v>50</v>
      </c>
      <c r="I1181" s="1" t="s">
        <v>50</v>
      </c>
      <c r="J1181" s="1" t="s">
        <v>50</v>
      </c>
      <c r="K1181" s="1" t="s">
        <v>50</v>
      </c>
      <c r="L1181">
        <f t="shared" si="121"/>
        <v>473.00623656700782</v>
      </c>
      <c r="M1181">
        <f t="shared" si="120"/>
        <v>165.08096849368502</v>
      </c>
      <c r="N1181">
        <f t="shared" si="122"/>
        <v>141.13805181087204</v>
      </c>
      <c r="O1181">
        <f t="shared" si="123"/>
        <v>157.92278957999292</v>
      </c>
      <c r="P1181" t="e">
        <f t="shared" si="124"/>
        <v>#N/A</v>
      </c>
      <c r="Q1181" t="e">
        <f t="shared" si="125"/>
        <v>#N/A</v>
      </c>
      <c r="U1181">
        <f>C1181/Navio!$J$4</f>
        <v>15.201726711720156</v>
      </c>
    </row>
    <row r="1182" spans="1:21" x14ac:dyDescent="0.3">
      <c r="A1182">
        <v>1180</v>
      </c>
      <c r="B1182" s="47">
        <v>635.8112678310905</v>
      </c>
      <c r="C1182" s="46">
        <v>281.53246598609587</v>
      </c>
      <c r="D1182" s="1">
        <v>29</v>
      </c>
      <c r="E1182" s="1">
        <v>31</v>
      </c>
      <c r="F1182" s="1">
        <v>33</v>
      </c>
      <c r="G1182" s="1">
        <v>25</v>
      </c>
      <c r="H1182" s="1" t="s">
        <v>50</v>
      </c>
      <c r="I1182" s="1" t="s">
        <v>50</v>
      </c>
      <c r="J1182" s="1" t="s">
        <v>50</v>
      </c>
      <c r="K1182" s="1" t="s">
        <v>50</v>
      </c>
      <c r="L1182">
        <f t="shared" si="121"/>
        <v>473.00623656700782</v>
      </c>
      <c r="M1182">
        <f t="shared" si="120"/>
        <v>100.24730815672166</v>
      </c>
      <c r="N1182">
        <f t="shared" si="122"/>
        <v>141.13805181087204</v>
      </c>
      <c r="O1182">
        <f t="shared" si="123"/>
        <v>157.92278957999292</v>
      </c>
      <c r="P1182" t="e">
        <f t="shared" si="124"/>
        <v>#N/A</v>
      </c>
      <c r="Q1182" t="e">
        <f t="shared" si="125"/>
        <v>#N/A</v>
      </c>
      <c r="U1182">
        <f>C1182/Navio!$J$4</f>
        <v>15.201550173374656</v>
      </c>
    </row>
    <row r="1183" spans="1:21" x14ac:dyDescent="0.3">
      <c r="A1183">
        <v>1181</v>
      </c>
      <c r="B1183" s="47">
        <v>896.25730279740742</v>
      </c>
      <c r="C1183" s="46">
        <v>278.7314882498078</v>
      </c>
      <c r="D1183" s="1">
        <v>30</v>
      </c>
      <c r="E1183" s="1">
        <v>31</v>
      </c>
      <c r="F1183" s="1">
        <v>32</v>
      </c>
      <c r="G1183" s="1">
        <v>25</v>
      </c>
      <c r="H1183" s="1" t="s">
        <v>50</v>
      </c>
      <c r="I1183" s="1" t="s">
        <v>50</v>
      </c>
      <c r="J1183" s="1" t="s">
        <v>50</v>
      </c>
      <c r="K1183" s="1" t="s">
        <v>50</v>
      </c>
      <c r="L1183">
        <f t="shared" si="121"/>
        <v>165.08096849368502</v>
      </c>
      <c r="M1183">
        <f t="shared" si="120"/>
        <v>100.24730815672166</v>
      </c>
      <c r="N1183">
        <f t="shared" si="122"/>
        <v>473.00623656700782</v>
      </c>
      <c r="O1183">
        <f t="shared" si="123"/>
        <v>157.92278957999292</v>
      </c>
      <c r="P1183" t="e">
        <f t="shared" si="124"/>
        <v>#N/A</v>
      </c>
      <c r="Q1183" t="e">
        <f t="shared" si="125"/>
        <v>#N/A</v>
      </c>
      <c r="U1183">
        <f>C1183/Navio!$J$4</f>
        <v>15.050309344209357</v>
      </c>
    </row>
    <row r="1184" spans="1:21" x14ac:dyDescent="0.3">
      <c r="A1184">
        <v>1182</v>
      </c>
      <c r="B1184" s="47">
        <v>564.38911804127167</v>
      </c>
      <c r="C1184" s="46">
        <v>281.50084370428829</v>
      </c>
      <c r="D1184" s="1">
        <v>30</v>
      </c>
      <c r="E1184" s="1">
        <v>31</v>
      </c>
      <c r="F1184" s="1">
        <v>33</v>
      </c>
      <c r="G1184" s="1">
        <v>25</v>
      </c>
      <c r="H1184" s="1" t="s">
        <v>50</v>
      </c>
      <c r="I1184" s="1" t="s">
        <v>50</v>
      </c>
      <c r="J1184" s="1" t="s">
        <v>50</v>
      </c>
      <c r="K1184" s="1" t="s">
        <v>50</v>
      </c>
      <c r="L1184">
        <f t="shared" si="121"/>
        <v>165.08096849368502</v>
      </c>
      <c r="M1184">
        <f t="shared" si="120"/>
        <v>100.24730815672166</v>
      </c>
      <c r="N1184">
        <f t="shared" si="122"/>
        <v>141.13805181087204</v>
      </c>
      <c r="O1184">
        <f t="shared" si="123"/>
        <v>157.92278957999292</v>
      </c>
      <c r="P1184" t="e">
        <f t="shared" si="124"/>
        <v>#N/A</v>
      </c>
      <c r="Q1184" t="e">
        <f t="shared" si="125"/>
        <v>#N/A</v>
      </c>
      <c r="U1184">
        <f>C1184/Navio!$J$4</f>
        <v>15.199842705279242</v>
      </c>
    </row>
    <row r="1185" spans="1:21" x14ac:dyDescent="0.3">
      <c r="A1185">
        <v>1183</v>
      </c>
      <c r="B1185" s="47">
        <v>872.31438611459441</v>
      </c>
      <c r="C1185" s="46">
        <v>281.58210654191953</v>
      </c>
      <c r="D1185" s="1">
        <v>31</v>
      </c>
      <c r="E1185" s="1">
        <v>33</v>
      </c>
      <c r="F1185" s="1">
        <v>32</v>
      </c>
      <c r="G1185" s="1">
        <v>25</v>
      </c>
      <c r="H1185" s="1" t="s">
        <v>50</v>
      </c>
      <c r="I1185" s="1" t="s">
        <v>50</v>
      </c>
      <c r="J1185" s="1" t="s">
        <v>50</v>
      </c>
      <c r="K1185" s="1" t="s">
        <v>50</v>
      </c>
      <c r="L1185">
        <f t="shared" si="121"/>
        <v>100.24730815672166</v>
      </c>
      <c r="M1185">
        <f t="shared" si="120"/>
        <v>141.13805181087204</v>
      </c>
      <c r="N1185">
        <f t="shared" si="122"/>
        <v>473.00623656700782</v>
      </c>
      <c r="O1185">
        <f t="shared" si="123"/>
        <v>157.92278957999292</v>
      </c>
      <c r="P1185" t="e">
        <f t="shared" si="124"/>
        <v>#N/A</v>
      </c>
      <c r="Q1185" t="e">
        <f t="shared" si="125"/>
        <v>#N/A</v>
      </c>
      <c r="U1185">
        <f>C1185/Navio!$J$4</f>
        <v>15.204230551274748</v>
      </c>
    </row>
    <row r="1186" spans="1:21" x14ac:dyDescent="0.3">
      <c r="A1186">
        <v>1184</v>
      </c>
      <c r="B1186" s="47">
        <v>871.60116203523171</v>
      </c>
      <c r="C1186" s="46">
        <v>280.1035608308527</v>
      </c>
      <c r="D1186" s="1">
        <v>28</v>
      </c>
      <c r="E1186" s="1">
        <v>29</v>
      </c>
      <c r="F1186" s="1">
        <v>27</v>
      </c>
      <c r="G1186" s="1">
        <v>26</v>
      </c>
      <c r="H1186" s="1" t="s">
        <v>50</v>
      </c>
      <c r="I1186" s="1" t="s">
        <v>50</v>
      </c>
      <c r="J1186" s="1" t="s">
        <v>50</v>
      </c>
      <c r="K1186" s="1" t="s">
        <v>50</v>
      </c>
      <c r="L1186">
        <f t="shared" si="121"/>
        <v>310</v>
      </c>
      <c r="M1186">
        <f t="shared" si="120"/>
        <v>473.00623656700782</v>
      </c>
      <c r="N1186">
        <f t="shared" si="122"/>
        <v>259.31323779276431</v>
      </c>
      <c r="O1186">
        <f t="shared" si="123"/>
        <v>220.78480595896349</v>
      </c>
      <c r="P1186" t="e">
        <f t="shared" si="124"/>
        <v>#N/A</v>
      </c>
      <c r="Q1186" t="e">
        <f t="shared" si="125"/>
        <v>#N/A</v>
      </c>
      <c r="U1186">
        <f>C1186/Navio!$J$4</f>
        <v>15.124395400711615</v>
      </c>
    </row>
    <row r="1187" spans="1:21" x14ac:dyDescent="0.3">
      <c r="A1187">
        <v>1185</v>
      </c>
      <c r="B1187" s="47">
        <v>800.17901224541288</v>
      </c>
      <c r="C1187" s="46">
        <v>284.09214107662569</v>
      </c>
      <c r="D1187" s="1">
        <v>28</v>
      </c>
      <c r="E1187" s="1">
        <v>30</v>
      </c>
      <c r="F1187" s="1">
        <v>27</v>
      </c>
      <c r="G1187" s="1">
        <v>26</v>
      </c>
      <c r="H1187" s="1" t="s">
        <v>50</v>
      </c>
      <c r="I1187" s="1" t="s">
        <v>50</v>
      </c>
      <c r="J1187" s="1" t="s">
        <v>50</v>
      </c>
      <c r="K1187" s="1" t="s">
        <v>50</v>
      </c>
      <c r="L1187">
        <f t="shared" si="121"/>
        <v>310</v>
      </c>
      <c r="M1187">
        <f t="shared" si="120"/>
        <v>165.08096849368502</v>
      </c>
      <c r="N1187">
        <f t="shared" si="122"/>
        <v>259.31323779276431</v>
      </c>
      <c r="O1187">
        <f t="shared" si="123"/>
        <v>220.78480595896349</v>
      </c>
      <c r="P1187" t="e">
        <f t="shared" si="124"/>
        <v>#N/A</v>
      </c>
      <c r="Q1187" t="e">
        <f t="shared" si="125"/>
        <v>#N/A</v>
      </c>
      <c r="U1187">
        <f>C1187/Navio!$J$4</f>
        <v>15.339761690756626</v>
      </c>
    </row>
    <row r="1188" spans="1:21" x14ac:dyDescent="0.3">
      <c r="A1188">
        <v>1186</v>
      </c>
      <c r="B1188" s="47">
        <v>735.3453519084494</v>
      </c>
      <c r="C1188" s="46">
        <v>284.18769520345268</v>
      </c>
      <c r="D1188" s="1">
        <v>28</v>
      </c>
      <c r="E1188" s="1">
        <v>31</v>
      </c>
      <c r="F1188" s="1">
        <v>27</v>
      </c>
      <c r="G1188" s="1">
        <v>26</v>
      </c>
      <c r="H1188" s="1" t="s">
        <v>50</v>
      </c>
      <c r="I1188" s="1" t="s">
        <v>50</v>
      </c>
      <c r="J1188" s="1" t="s">
        <v>50</v>
      </c>
      <c r="K1188" s="1" t="s">
        <v>50</v>
      </c>
      <c r="L1188">
        <f t="shared" si="121"/>
        <v>310</v>
      </c>
      <c r="M1188">
        <f t="shared" si="120"/>
        <v>100.24730815672166</v>
      </c>
      <c r="N1188">
        <f t="shared" si="122"/>
        <v>259.31323779276431</v>
      </c>
      <c r="O1188">
        <f t="shared" si="123"/>
        <v>220.78480595896349</v>
      </c>
      <c r="P1188" t="e">
        <f t="shared" si="124"/>
        <v>#N/A</v>
      </c>
      <c r="Q1188" t="e">
        <f t="shared" si="125"/>
        <v>#N/A</v>
      </c>
      <c r="U1188">
        <f>C1188/Navio!$J$4</f>
        <v>15.34492120530194</v>
      </c>
    </row>
    <row r="1189" spans="1:21" x14ac:dyDescent="0.3">
      <c r="A1189">
        <v>1187</v>
      </c>
      <c r="B1189" s="47">
        <v>776.23609556259987</v>
      </c>
      <c r="C1189" s="46">
        <v>287.09205559870736</v>
      </c>
      <c r="D1189" s="1">
        <v>28</v>
      </c>
      <c r="E1189" s="1">
        <v>33</v>
      </c>
      <c r="F1189" s="1">
        <v>27</v>
      </c>
      <c r="G1189" s="1">
        <v>26</v>
      </c>
      <c r="H1189" s="1" t="s">
        <v>50</v>
      </c>
      <c r="I1189" s="1" t="s">
        <v>50</v>
      </c>
      <c r="J1189" s="1" t="s">
        <v>50</v>
      </c>
      <c r="K1189" s="1" t="s">
        <v>50</v>
      </c>
      <c r="L1189">
        <f t="shared" si="121"/>
        <v>310</v>
      </c>
      <c r="M1189">
        <f t="shared" si="120"/>
        <v>141.13805181087204</v>
      </c>
      <c r="N1189">
        <f t="shared" si="122"/>
        <v>259.31323779276431</v>
      </c>
      <c r="O1189">
        <f t="shared" si="123"/>
        <v>220.78480595896349</v>
      </c>
      <c r="P1189" t="e">
        <f t="shared" si="124"/>
        <v>#N/A</v>
      </c>
      <c r="Q1189" t="e">
        <f t="shared" si="125"/>
        <v>#N/A</v>
      </c>
      <c r="U1189">
        <f>C1189/Navio!$J$4</f>
        <v>15.50174425629673</v>
      </c>
    </row>
    <row r="1190" spans="1:21" x14ac:dyDescent="0.3">
      <c r="A1190">
        <v>1188</v>
      </c>
      <c r="B1190" s="47">
        <v>881.68213052891679</v>
      </c>
      <c r="C1190" s="46">
        <v>283.87087225762343</v>
      </c>
      <c r="D1190" s="1">
        <v>29</v>
      </c>
      <c r="E1190" s="1">
        <v>30</v>
      </c>
      <c r="F1190" s="1">
        <v>27</v>
      </c>
      <c r="G1190" s="1">
        <v>26</v>
      </c>
      <c r="H1190" s="1" t="s">
        <v>50</v>
      </c>
      <c r="I1190" s="1" t="s">
        <v>50</v>
      </c>
      <c r="J1190" s="1" t="s">
        <v>50</v>
      </c>
      <c r="K1190" s="1" t="s">
        <v>50</v>
      </c>
      <c r="L1190">
        <f t="shared" si="121"/>
        <v>473.00623656700782</v>
      </c>
      <c r="M1190">
        <f t="shared" si="120"/>
        <v>165.08096849368502</v>
      </c>
      <c r="N1190">
        <f t="shared" si="122"/>
        <v>259.31323779276431</v>
      </c>
      <c r="O1190">
        <f t="shared" si="123"/>
        <v>220.78480595896349</v>
      </c>
      <c r="P1190" t="e">
        <f t="shared" si="124"/>
        <v>#N/A</v>
      </c>
      <c r="Q1190" t="e">
        <f t="shared" si="125"/>
        <v>#N/A</v>
      </c>
      <c r="U1190">
        <f>C1190/Navio!$J$4</f>
        <v>15.327814120013464</v>
      </c>
    </row>
    <row r="1191" spans="1:21" x14ac:dyDescent="0.3">
      <c r="A1191">
        <v>1189</v>
      </c>
      <c r="B1191" s="47">
        <v>816.84847019195331</v>
      </c>
      <c r="C1191" s="46">
        <v>283.96999521668533</v>
      </c>
      <c r="D1191" s="1">
        <v>29</v>
      </c>
      <c r="E1191" s="1">
        <v>31</v>
      </c>
      <c r="F1191" s="1">
        <v>27</v>
      </c>
      <c r="G1191" s="1">
        <v>26</v>
      </c>
      <c r="H1191" s="1" t="s">
        <v>50</v>
      </c>
      <c r="I1191" s="1" t="s">
        <v>50</v>
      </c>
      <c r="J1191" s="1" t="s">
        <v>50</v>
      </c>
      <c r="K1191" s="1" t="s">
        <v>50</v>
      </c>
      <c r="L1191">
        <f t="shared" si="121"/>
        <v>473.00623656700782</v>
      </c>
      <c r="M1191">
        <f t="shared" si="120"/>
        <v>100.24730815672166</v>
      </c>
      <c r="N1191">
        <f t="shared" si="122"/>
        <v>259.31323779276431</v>
      </c>
      <c r="O1191">
        <f t="shared" si="123"/>
        <v>220.78480595896349</v>
      </c>
      <c r="P1191" t="e">
        <f t="shared" si="124"/>
        <v>#N/A</v>
      </c>
      <c r="Q1191" t="e">
        <f t="shared" si="125"/>
        <v>#N/A</v>
      </c>
      <c r="U1191">
        <f>C1191/Navio!$J$4</f>
        <v>15.333166336249821</v>
      </c>
    </row>
    <row r="1192" spans="1:21" x14ac:dyDescent="0.3">
      <c r="A1192">
        <v>1190</v>
      </c>
      <c r="B1192" s="47">
        <v>857.73921384610378</v>
      </c>
      <c r="C1192" s="46">
        <v>287.0719844326261</v>
      </c>
      <c r="D1192" s="1">
        <v>29</v>
      </c>
      <c r="E1192" s="1">
        <v>33</v>
      </c>
      <c r="F1192" s="1">
        <v>27</v>
      </c>
      <c r="G1192" s="1">
        <v>26</v>
      </c>
      <c r="H1192" s="1" t="s">
        <v>50</v>
      </c>
      <c r="I1192" s="1" t="s">
        <v>50</v>
      </c>
      <c r="J1192" s="1" t="s">
        <v>50</v>
      </c>
      <c r="K1192" s="1" t="s">
        <v>50</v>
      </c>
      <c r="L1192">
        <f t="shared" si="121"/>
        <v>473.00623656700782</v>
      </c>
      <c r="M1192">
        <f t="shared" si="120"/>
        <v>141.13805181087204</v>
      </c>
      <c r="N1192">
        <f t="shared" si="122"/>
        <v>259.31323779276431</v>
      </c>
      <c r="O1192">
        <f t="shared" si="123"/>
        <v>220.78480595896349</v>
      </c>
      <c r="P1192" t="e">
        <f t="shared" si="124"/>
        <v>#N/A</v>
      </c>
      <c r="Q1192" t="e">
        <f t="shared" si="125"/>
        <v>#N/A</v>
      </c>
      <c r="U1192">
        <f>C1192/Navio!$J$4</f>
        <v>15.500660499092552</v>
      </c>
    </row>
    <row r="1193" spans="1:21" x14ac:dyDescent="0.3">
      <c r="A1193">
        <v>1191</v>
      </c>
      <c r="B1193" s="47">
        <v>745.42632040213448</v>
      </c>
      <c r="C1193" s="46">
        <v>283.93837293487775</v>
      </c>
      <c r="D1193" s="1">
        <v>30</v>
      </c>
      <c r="E1193" s="1">
        <v>31</v>
      </c>
      <c r="F1193" s="1">
        <v>27</v>
      </c>
      <c r="G1193" s="1">
        <v>26</v>
      </c>
      <c r="H1193" s="1" t="s">
        <v>50</v>
      </c>
      <c r="I1193" s="1" t="s">
        <v>50</v>
      </c>
      <c r="J1193" s="1" t="s">
        <v>50</v>
      </c>
      <c r="K1193" s="1" t="s">
        <v>50</v>
      </c>
      <c r="L1193">
        <f t="shared" si="121"/>
        <v>165.08096849368502</v>
      </c>
      <c r="M1193">
        <f t="shared" si="120"/>
        <v>100.24730815672166</v>
      </c>
      <c r="N1193">
        <f t="shared" si="122"/>
        <v>259.31323779276431</v>
      </c>
      <c r="O1193">
        <f t="shared" si="123"/>
        <v>220.78480595896349</v>
      </c>
      <c r="P1193" t="e">
        <f t="shared" si="124"/>
        <v>#N/A</v>
      </c>
      <c r="Q1193" t="e">
        <f t="shared" si="125"/>
        <v>#N/A</v>
      </c>
      <c r="U1193">
        <f>C1193/Navio!$J$4</f>
        <v>15.331458868154407</v>
      </c>
    </row>
    <row r="1194" spans="1:21" x14ac:dyDescent="0.3">
      <c r="A1194">
        <v>1192</v>
      </c>
      <c r="B1194" s="47">
        <v>786.31706405628483</v>
      </c>
      <c r="C1194" s="46">
        <v>287.21359506263474</v>
      </c>
      <c r="D1194" s="1">
        <v>30</v>
      </c>
      <c r="E1194" s="1">
        <v>33</v>
      </c>
      <c r="F1194" s="1">
        <v>27</v>
      </c>
      <c r="G1194" s="1">
        <v>26</v>
      </c>
      <c r="H1194" s="1" t="s">
        <v>50</v>
      </c>
      <c r="I1194" s="1" t="s">
        <v>50</v>
      </c>
      <c r="J1194" s="1" t="s">
        <v>50</v>
      </c>
      <c r="K1194" s="1" t="s">
        <v>50</v>
      </c>
      <c r="L1194">
        <f t="shared" si="121"/>
        <v>165.08096849368502</v>
      </c>
      <c r="M1194">
        <f t="shared" si="120"/>
        <v>141.13805181087204</v>
      </c>
      <c r="N1194">
        <f t="shared" si="122"/>
        <v>259.31323779276431</v>
      </c>
      <c r="O1194">
        <f t="shared" si="123"/>
        <v>220.78480595896349</v>
      </c>
      <c r="P1194" t="e">
        <f t="shared" si="124"/>
        <v>#N/A</v>
      </c>
      <c r="Q1194" t="e">
        <f t="shared" si="125"/>
        <v>#N/A</v>
      </c>
      <c r="U1194">
        <f>C1194/Navio!$J$4</f>
        <v>15.508306868009969</v>
      </c>
    </row>
    <row r="1195" spans="1:21" x14ac:dyDescent="0.3">
      <c r="A1195">
        <v>1193</v>
      </c>
      <c r="B1195" s="47">
        <v>721.48340371932147</v>
      </c>
      <c r="C1195" s="46">
        <v>287.21356059649901</v>
      </c>
      <c r="D1195" s="1">
        <v>31</v>
      </c>
      <c r="E1195" s="1">
        <v>33</v>
      </c>
      <c r="F1195" s="1">
        <v>27</v>
      </c>
      <c r="G1195" s="1">
        <v>26</v>
      </c>
      <c r="H1195" s="1" t="s">
        <v>50</v>
      </c>
      <c r="I1195" s="1" t="s">
        <v>50</v>
      </c>
      <c r="J1195" s="1" t="s">
        <v>50</v>
      </c>
      <c r="K1195" s="1" t="s">
        <v>50</v>
      </c>
      <c r="L1195">
        <f t="shared" si="121"/>
        <v>100.24730815672166</v>
      </c>
      <c r="M1195">
        <f t="shared" si="120"/>
        <v>141.13805181087204</v>
      </c>
      <c r="N1195">
        <f t="shared" si="122"/>
        <v>259.31323779276431</v>
      </c>
      <c r="O1195">
        <f t="shared" si="123"/>
        <v>220.78480595896349</v>
      </c>
      <c r="P1195" t="e">
        <f t="shared" si="124"/>
        <v>#N/A</v>
      </c>
      <c r="Q1195" t="e">
        <f t="shared" si="125"/>
        <v>#N/A</v>
      </c>
      <c r="U1195">
        <f>C1195/Navio!$J$4</f>
        <v>15.508305006985912</v>
      </c>
    </row>
    <row r="1196" spans="1:21" x14ac:dyDescent="0.3">
      <c r="A1196">
        <v>1194</v>
      </c>
      <c r="B1196" s="47">
        <v>777.36889273615247</v>
      </c>
      <c r="C1196" s="46">
        <v>284.06183319620169</v>
      </c>
      <c r="D1196" s="1">
        <v>28</v>
      </c>
      <c r="E1196" s="1">
        <v>29</v>
      </c>
      <c r="F1196" s="1">
        <v>30</v>
      </c>
      <c r="G1196" s="1">
        <v>26</v>
      </c>
      <c r="H1196" s="1" t="s">
        <v>50</v>
      </c>
      <c r="I1196" s="1" t="s">
        <v>50</v>
      </c>
      <c r="J1196" s="1" t="s">
        <v>50</v>
      </c>
      <c r="K1196" s="1" t="s">
        <v>50</v>
      </c>
      <c r="L1196">
        <f t="shared" si="121"/>
        <v>310</v>
      </c>
      <c r="M1196">
        <f t="shared" si="120"/>
        <v>473.00623656700782</v>
      </c>
      <c r="N1196">
        <f t="shared" si="122"/>
        <v>165.08096849368502</v>
      </c>
      <c r="O1196">
        <f t="shared" si="123"/>
        <v>220.78480595896349</v>
      </c>
      <c r="P1196" t="e">
        <f t="shared" si="124"/>
        <v>#N/A</v>
      </c>
      <c r="Q1196" t="e">
        <f t="shared" si="125"/>
        <v>#N/A</v>
      </c>
      <c r="U1196">
        <f>C1196/Navio!$J$4</f>
        <v>15.338125194719481</v>
      </c>
    </row>
    <row r="1197" spans="1:21" x14ac:dyDescent="0.3">
      <c r="A1197">
        <v>1195</v>
      </c>
      <c r="B1197" s="47">
        <v>712.535232399189</v>
      </c>
      <c r="C1197" s="46">
        <v>284.15926014225988</v>
      </c>
      <c r="D1197" s="1">
        <v>28</v>
      </c>
      <c r="E1197" s="1">
        <v>29</v>
      </c>
      <c r="F1197" s="1">
        <v>31</v>
      </c>
      <c r="G1197" s="1">
        <v>26</v>
      </c>
      <c r="H1197" s="1" t="s">
        <v>50</v>
      </c>
      <c r="I1197" s="1" t="s">
        <v>50</v>
      </c>
      <c r="J1197" s="1" t="s">
        <v>50</v>
      </c>
      <c r="K1197" s="1" t="s">
        <v>50</v>
      </c>
      <c r="L1197">
        <f t="shared" si="121"/>
        <v>310</v>
      </c>
      <c r="M1197">
        <f t="shared" si="120"/>
        <v>473.00623656700782</v>
      </c>
      <c r="N1197">
        <f t="shared" si="122"/>
        <v>100.24730815672166</v>
      </c>
      <c r="O1197">
        <f t="shared" si="123"/>
        <v>220.78480595896349</v>
      </c>
      <c r="P1197" t="e">
        <f t="shared" si="124"/>
        <v>#N/A</v>
      </c>
      <c r="Q1197" t="e">
        <f t="shared" si="125"/>
        <v>#N/A</v>
      </c>
      <c r="U1197">
        <f>C1197/Navio!$J$4</f>
        <v>15.343385833500713</v>
      </c>
    </row>
    <row r="1198" spans="1:21" x14ac:dyDescent="0.3">
      <c r="A1198">
        <v>1196</v>
      </c>
      <c r="B1198" s="47">
        <v>753.42597605333947</v>
      </c>
      <c r="C1198" s="46">
        <v>287.18822501987557</v>
      </c>
      <c r="D1198" s="1">
        <v>28</v>
      </c>
      <c r="E1198" s="1">
        <v>29</v>
      </c>
      <c r="F1198" s="1">
        <v>33</v>
      </c>
      <c r="G1198" s="1">
        <v>26</v>
      </c>
      <c r="H1198" s="1" t="s">
        <v>50</v>
      </c>
      <c r="I1198" s="1" t="s">
        <v>50</v>
      </c>
      <c r="J1198" s="1" t="s">
        <v>50</v>
      </c>
      <c r="K1198" s="1" t="s">
        <v>50</v>
      </c>
      <c r="L1198">
        <f t="shared" si="121"/>
        <v>310</v>
      </c>
      <c r="M1198">
        <f t="shared" si="120"/>
        <v>473.00623656700782</v>
      </c>
      <c r="N1198">
        <f t="shared" si="122"/>
        <v>141.13805181087204</v>
      </c>
      <c r="O1198">
        <f t="shared" si="123"/>
        <v>220.78480595896349</v>
      </c>
      <c r="P1198" t="e">
        <f t="shared" si="124"/>
        <v>#N/A</v>
      </c>
      <c r="Q1198" t="e">
        <f t="shared" si="125"/>
        <v>#N/A</v>
      </c>
      <c r="U1198">
        <f>C1198/Navio!$J$4</f>
        <v>15.506936994107315</v>
      </c>
    </row>
    <row r="1199" spans="1:21" x14ac:dyDescent="0.3">
      <c r="A1199">
        <v>1197</v>
      </c>
      <c r="B1199" s="47">
        <v>641.11308260937017</v>
      </c>
      <c r="C1199" s="46">
        <v>284.13491266741448</v>
      </c>
      <c r="D1199" s="1">
        <v>28</v>
      </c>
      <c r="E1199" s="1">
        <v>30</v>
      </c>
      <c r="F1199" s="1">
        <v>31</v>
      </c>
      <c r="G1199" s="1">
        <v>26</v>
      </c>
      <c r="H1199" s="1" t="s">
        <v>50</v>
      </c>
      <c r="I1199" s="1" t="s">
        <v>50</v>
      </c>
      <c r="J1199" s="1" t="s">
        <v>50</v>
      </c>
      <c r="K1199" s="1" t="s">
        <v>50</v>
      </c>
      <c r="L1199">
        <f t="shared" si="121"/>
        <v>310</v>
      </c>
      <c r="M1199">
        <f t="shared" si="120"/>
        <v>165.08096849368502</v>
      </c>
      <c r="N1199">
        <f t="shared" si="122"/>
        <v>100.24730815672166</v>
      </c>
      <c r="O1199">
        <f t="shared" si="123"/>
        <v>220.78480595896349</v>
      </c>
      <c r="P1199" t="e">
        <f t="shared" si="124"/>
        <v>#N/A</v>
      </c>
      <c r="Q1199" t="e">
        <f t="shared" si="125"/>
        <v>#N/A</v>
      </c>
      <c r="U1199">
        <f>C1199/Navio!$J$4</f>
        <v>15.342071173895963</v>
      </c>
    </row>
    <row r="1200" spans="1:21" x14ac:dyDescent="0.3">
      <c r="A1200">
        <v>1198</v>
      </c>
      <c r="B1200" s="47">
        <v>682.00382626352052</v>
      </c>
      <c r="C1200" s="46">
        <v>287.3371104568464</v>
      </c>
      <c r="D1200" s="1">
        <v>28</v>
      </c>
      <c r="E1200" s="1">
        <v>30</v>
      </c>
      <c r="F1200" s="1">
        <v>33</v>
      </c>
      <c r="G1200" s="1">
        <v>26</v>
      </c>
      <c r="H1200" s="1" t="s">
        <v>50</v>
      </c>
      <c r="I1200" s="1" t="s">
        <v>50</v>
      </c>
      <c r="J1200" s="1" t="s">
        <v>50</v>
      </c>
      <c r="K1200" s="1" t="s">
        <v>50</v>
      </c>
      <c r="L1200">
        <f t="shared" si="121"/>
        <v>310</v>
      </c>
      <c r="M1200">
        <f t="shared" si="120"/>
        <v>165.08096849368502</v>
      </c>
      <c r="N1200">
        <f t="shared" si="122"/>
        <v>141.13805181087204</v>
      </c>
      <c r="O1200">
        <f t="shared" si="123"/>
        <v>220.78480595896349</v>
      </c>
      <c r="P1200" t="e">
        <f t="shared" si="124"/>
        <v>#N/A</v>
      </c>
      <c r="Q1200" t="e">
        <f t="shared" si="125"/>
        <v>#N/A</v>
      </c>
      <c r="U1200">
        <f>C1200/Navio!$J$4</f>
        <v>15.514976171515396</v>
      </c>
    </row>
    <row r="1201" spans="1:21" x14ac:dyDescent="0.3">
      <c r="A1201">
        <v>1199</v>
      </c>
      <c r="B1201" s="47">
        <v>617.17016592655716</v>
      </c>
      <c r="C1201" s="46">
        <v>287.33027213727752</v>
      </c>
      <c r="D1201" s="1">
        <v>28</v>
      </c>
      <c r="E1201" s="1">
        <v>31</v>
      </c>
      <c r="F1201" s="1">
        <v>33</v>
      </c>
      <c r="G1201" s="1">
        <v>26</v>
      </c>
      <c r="H1201" s="1" t="s">
        <v>50</v>
      </c>
      <c r="I1201" s="1" t="s">
        <v>50</v>
      </c>
      <c r="J1201" s="1" t="s">
        <v>50</v>
      </c>
      <c r="K1201" s="1" t="s">
        <v>50</v>
      </c>
      <c r="L1201">
        <f t="shared" si="121"/>
        <v>310</v>
      </c>
      <c r="M1201">
        <f t="shared" si="120"/>
        <v>100.24730815672166</v>
      </c>
      <c r="N1201">
        <f t="shared" si="122"/>
        <v>141.13805181087204</v>
      </c>
      <c r="O1201">
        <f t="shared" si="123"/>
        <v>220.78480595896349</v>
      </c>
      <c r="P1201" t="e">
        <f t="shared" si="124"/>
        <v>#N/A</v>
      </c>
      <c r="Q1201" t="e">
        <f t="shared" si="125"/>
        <v>#N/A</v>
      </c>
      <c r="U1201">
        <f>C1201/Navio!$J$4</f>
        <v>15.514606931478856</v>
      </c>
    </row>
    <row r="1202" spans="1:21" x14ac:dyDescent="0.3">
      <c r="A1202">
        <v>1200</v>
      </c>
      <c r="B1202" s="47">
        <v>722.61620089287408</v>
      </c>
      <c r="C1202" s="46">
        <v>283.91364384841222</v>
      </c>
      <c r="D1202" s="1">
        <v>29</v>
      </c>
      <c r="E1202" s="1">
        <v>30</v>
      </c>
      <c r="F1202" s="1">
        <v>31</v>
      </c>
      <c r="G1202" s="1">
        <v>26</v>
      </c>
      <c r="H1202" s="1" t="s">
        <v>50</v>
      </c>
      <c r="I1202" s="1" t="s">
        <v>50</v>
      </c>
      <c r="J1202" s="1" t="s">
        <v>50</v>
      </c>
      <c r="K1202" s="1" t="s">
        <v>50</v>
      </c>
      <c r="L1202">
        <f t="shared" si="121"/>
        <v>473.00623656700782</v>
      </c>
      <c r="M1202">
        <f t="shared" si="120"/>
        <v>165.08096849368502</v>
      </c>
      <c r="N1202">
        <f t="shared" si="122"/>
        <v>100.24730815672166</v>
      </c>
      <c r="O1202">
        <f t="shared" si="123"/>
        <v>220.78480595896349</v>
      </c>
      <c r="P1202" t="e">
        <f t="shared" si="124"/>
        <v>#N/A</v>
      </c>
      <c r="Q1202" t="e">
        <f t="shared" si="125"/>
        <v>#N/A</v>
      </c>
      <c r="U1202">
        <f>C1202/Navio!$J$4</f>
        <v>15.330123603152799</v>
      </c>
    </row>
    <row r="1203" spans="1:21" x14ac:dyDescent="0.3">
      <c r="A1203">
        <v>1201</v>
      </c>
      <c r="B1203" s="47">
        <v>763.50694454702443</v>
      </c>
      <c r="C1203" s="46">
        <v>287.11584163784414</v>
      </c>
      <c r="D1203" s="1">
        <v>29</v>
      </c>
      <c r="E1203" s="1">
        <v>30</v>
      </c>
      <c r="F1203" s="1">
        <v>33</v>
      </c>
      <c r="G1203" s="1">
        <v>26</v>
      </c>
      <c r="H1203" s="1" t="s">
        <v>50</v>
      </c>
      <c r="I1203" s="1" t="s">
        <v>50</v>
      </c>
      <c r="J1203" s="1" t="s">
        <v>50</v>
      </c>
      <c r="K1203" s="1" t="s">
        <v>50</v>
      </c>
      <c r="L1203">
        <f t="shared" si="121"/>
        <v>473.00623656700782</v>
      </c>
      <c r="M1203">
        <f t="shared" si="120"/>
        <v>165.08096849368502</v>
      </c>
      <c r="N1203">
        <f t="shared" si="122"/>
        <v>141.13805181087204</v>
      </c>
      <c r="O1203">
        <f t="shared" si="123"/>
        <v>220.78480595896349</v>
      </c>
      <c r="P1203" t="e">
        <f t="shared" si="124"/>
        <v>#N/A</v>
      </c>
      <c r="Q1203" t="e">
        <f t="shared" si="125"/>
        <v>#N/A</v>
      </c>
      <c r="U1203">
        <f>C1203/Navio!$J$4</f>
        <v>15.503028600772232</v>
      </c>
    </row>
    <row r="1204" spans="1:21" x14ac:dyDescent="0.3">
      <c r="A1204">
        <v>1202</v>
      </c>
      <c r="B1204" s="47">
        <v>698.67328421006107</v>
      </c>
      <c r="C1204" s="46">
        <v>287.11257215051018</v>
      </c>
      <c r="D1204" s="1">
        <v>29</v>
      </c>
      <c r="E1204" s="1">
        <v>31</v>
      </c>
      <c r="F1204" s="1">
        <v>33</v>
      </c>
      <c r="G1204" s="1">
        <v>26</v>
      </c>
      <c r="H1204" s="1" t="s">
        <v>50</v>
      </c>
      <c r="I1204" s="1" t="s">
        <v>50</v>
      </c>
      <c r="J1204" s="1" t="s">
        <v>50</v>
      </c>
      <c r="K1204" s="1" t="s">
        <v>50</v>
      </c>
      <c r="L1204">
        <f t="shared" si="121"/>
        <v>473.00623656700782</v>
      </c>
      <c r="M1204">
        <f t="shared" si="120"/>
        <v>100.24730815672166</v>
      </c>
      <c r="N1204">
        <f t="shared" si="122"/>
        <v>141.13805181087204</v>
      </c>
      <c r="O1204">
        <f t="shared" si="123"/>
        <v>220.78480595896349</v>
      </c>
      <c r="P1204" t="e">
        <f t="shared" si="124"/>
        <v>#N/A</v>
      </c>
      <c r="Q1204" t="e">
        <f t="shared" si="125"/>
        <v>#N/A</v>
      </c>
      <c r="U1204">
        <f>C1204/Navio!$J$4</f>
        <v>15.502852062426737</v>
      </c>
    </row>
    <row r="1205" spans="1:21" x14ac:dyDescent="0.3">
      <c r="A1205">
        <v>1203</v>
      </c>
      <c r="B1205" s="47">
        <v>627.25113442024224</v>
      </c>
      <c r="C1205" s="46">
        <v>287.08094986870259</v>
      </c>
      <c r="D1205" s="1">
        <v>30</v>
      </c>
      <c r="E1205" s="1">
        <v>31</v>
      </c>
      <c r="F1205" s="1">
        <v>33</v>
      </c>
      <c r="G1205" s="1">
        <v>26</v>
      </c>
      <c r="H1205" s="1" t="s">
        <v>50</v>
      </c>
      <c r="I1205" s="1" t="s">
        <v>50</v>
      </c>
      <c r="J1205" s="1" t="s">
        <v>50</v>
      </c>
      <c r="K1205" s="1" t="s">
        <v>50</v>
      </c>
      <c r="L1205">
        <f t="shared" si="121"/>
        <v>165.08096849368502</v>
      </c>
      <c r="M1205">
        <f t="shared" si="120"/>
        <v>100.24730815672166</v>
      </c>
      <c r="N1205">
        <f t="shared" si="122"/>
        <v>141.13805181087204</v>
      </c>
      <c r="O1205">
        <f t="shared" si="123"/>
        <v>220.78480595896349</v>
      </c>
      <c r="P1205" t="e">
        <f t="shared" si="124"/>
        <v>#N/A</v>
      </c>
      <c r="Q1205" t="e">
        <f t="shared" si="125"/>
        <v>#N/A</v>
      </c>
      <c r="U1205">
        <f>C1205/Navio!$J$4</f>
        <v>15.501144594331322</v>
      </c>
    </row>
    <row r="1206" spans="1:21" x14ac:dyDescent="0.3">
      <c r="A1206">
        <v>1204</v>
      </c>
      <c r="B1206" s="47">
        <v>815.8973245699533</v>
      </c>
      <c r="C1206" s="46">
        <v>282.89648603814709</v>
      </c>
      <c r="D1206" s="1">
        <v>28</v>
      </c>
      <c r="E1206" s="1">
        <v>29</v>
      </c>
      <c r="F1206" s="1">
        <v>30</v>
      </c>
      <c r="G1206" s="1">
        <v>27</v>
      </c>
      <c r="H1206" s="1" t="s">
        <v>50</v>
      </c>
      <c r="I1206" s="1" t="s">
        <v>50</v>
      </c>
      <c r="J1206" s="1" t="s">
        <v>50</v>
      </c>
      <c r="K1206" s="1" t="s">
        <v>50</v>
      </c>
      <c r="L1206">
        <f t="shared" si="121"/>
        <v>310</v>
      </c>
      <c r="M1206">
        <f t="shared" si="120"/>
        <v>473.00623656700782</v>
      </c>
      <c r="N1206">
        <f t="shared" si="122"/>
        <v>165.08096849368502</v>
      </c>
      <c r="O1206">
        <f t="shared" si="123"/>
        <v>259.31323779276431</v>
      </c>
      <c r="P1206" t="e">
        <f t="shared" si="124"/>
        <v>#N/A</v>
      </c>
      <c r="Q1206" t="e">
        <f t="shared" si="125"/>
        <v>#N/A</v>
      </c>
      <c r="U1206">
        <f>C1206/Navio!$J$4</f>
        <v>15.275201427719757</v>
      </c>
    </row>
    <row r="1207" spans="1:21" x14ac:dyDescent="0.3">
      <c r="A1207">
        <v>1205</v>
      </c>
      <c r="B1207" s="47">
        <v>751.06366423298982</v>
      </c>
      <c r="C1207" s="46">
        <v>282.99560899720893</v>
      </c>
      <c r="D1207" s="1">
        <v>28</v>
      </c>
      <c r="E1207" s="1">
        <v>29</v>
      </c>
      <c r="F1207" s="1">
        <v>31</v>
      </c>
      <c r="G1207" s="1">
        <v>27</v>
      </c>
      <c r="H1207" s="1" t="s">
        <v>50</v>
      </c>
      <c r="I1207" s="1" t="s">
        <v>50</v>
      </c>
      <c r="J1207" s="1" t="s">
        <v>50</v>
      </c>
      <c r="K1207" s="1" t="s">
        <v>50</v>
      </c>
      <c r="L1207">
        <f t="shared" si="121"/>
        <v>310</v>
      </c>
      <c r="M1207">
        <f t="shared" si="120"/>
        <v>473.00623656700782</v>
      </c>
      <c r="N1207">
        <f t="shared" si="122"/>
        <v>100.24730815672166</v>
      </c>
      <c r="O1207">
        <f t="shared" si="123"/>
        <v>259.31323779276431</v>
      </c>
      <c r="P1207" t="e">
        <f t="shared" si="124"/>
        <v>#N/A</v>
      </c>
      <c r="Q1207" t="e">
        <f t="shared" si="125"/>
        <v>#N/A</v>
      </c>
      <c r="U1207">
        <f>C1207/Navio!$J$4</f>
        <v>15.280553643956113</v>
      </c>
    </row>
    <row r="1208" spans="1:21" x14ac:dyDescent="0.3">
      <c r="A1208">
        <v>1206</v>
      </c>
      <c r="B1208" s="47">
        <v>791.95440788714029</v>
      </c>
      <c r="C1208" s="46">
        <v>286.09759821314969</v>
      </c>
      <c r="D1208" s="1">
        <v>28</v>
      </c>
      <c r="E1208" s="1">
        <v>29</v>
      </c>
      <c r="F1208" s="1">
        <v>33</v>
      </c>
      <c r="G1208" s="1">
        <v>27</v>
      </c>
      <c r="H1208" s="1" t="s">
        <v>50</v>
      </c>
      <c r="I1208" s="1" t="s">
        <v>50</v>
      </c>
      <c r="J1208" s="1" t="s">
        <v>50</v>
      </c>
      <c r="K1208" s="1" t="s">
        <v>50</v>
      </c>
      <c r="L1208">
        <f t="shared" si="121"/>
        <v>310</v>
      </c>
      <c r="M1208">
        <f t="shared" si="120"/>
        <v>473.00623656700782</v>
      </c>
      <c r="N1208">
        <f t="shared" si="122"/>
        <v>141.13805181087204</v>
      </c>
      <c r="O1208">
        <f t="shared" si="123"/>
        <v>259.31323779276431</v>
      </c>
      <c r="P1208" t="e">
        <f t="shared" si="124"/>
        <v>#N/A</v>
      </c>
      <c r="Q1208" t="e">
        <f t="shared" si="125"/>
        <v>#N/A</v>
      </c>
      <c r="U1208">
        <f>C1208/Navio!$J$4</f>
        <v>15.448047806798844</v>
      </c>
    </row>
    <row r="1209" spans="1:21" x14ac:dyDescent="0.3">
      <c r="A1209">
        <v>1207</v>
      </c>
      <c r="B1209" s="47">
        <v>679.64151444317099</v>
      </c>
      <c r="C1209" s="46">
        <v>282.97126152236353</v>
      </c>
      <c r="D1209" s="1">
        <v>28</v>
      </c>
      <c r="E1209" s="1">
        <v>30</v>
      </c>
      <c r="F1209" s="1">
        <v>31</v>
      </c>
      <c r="G1209" s="1">
        <v>27</v>
      </c>
      <c r="H1209" s="1" t="s">
        <v>50</v>
      </c>
      <c r="I1209" s="1" t="s">
        <v>50</v>
      </c>
      <c r="J1209" s="1" t="s">
        <v>50</v>
      </c>
      <c r="K1209" s="1" t="s">
        <v>50</v>
      </c>
      <c r="L1209">
        <f t="shared" si="121"/>
        <v>310</v>
      </c>
      <c r="M1209">
        <f t="shared" si="120"/>
        <v>165.08096849368502</v>
      </c>
      <c r="N1209">
        <f t="shared" si="122"/>
        <v>100.24730815672166</v>
      </c>
      <c r="O1209">
        <f t="shared" si="123"/>
        <v>259.31323779276431</v>
      </c>
      <c r="P1209" t="e">
        <f t="shared" si="124"/>
        <v>#N/A</v>
      </c>
      <c r="Q1209" t="e">
        <f t="shared" si="125"/>
        <v>#N/A</v>
      </c>
      <c r="U1209">
        <f>C1209/Navio!$J$4</f>
        <v>15.279238984351364</v>
      </c>
    </row>
    <row r="1210" spans="1:21" x14ac:dyDescent="0.3">
      <c r="A1210">
        <v>1208</v>
      </c>
      <c r="B1210" s="47">
        <v>720.53225809732135</v>
      </c>
      <c r="C1210" s="46">
        <v>286.24648365012058</v>
      </c>
      <c r="D1210" s="1">
        <v>28</v>
      </c>
      <c r="E1210" s="1">
        <v>30</v>
      </c>
      <c r="F1210" s="1">
        <v>33</v>
      </c>
      <c r="G1210" s="1">
        <v>27</v>
      </c>
      <c r="H1210" s="1" t="s">
        <v>50</v>
      </c>
      <c r="I1210" s="1" t="s">
        <v>50</v>
      </c>
      <c r="J1210" s="1" t="s">
        <v>50</v>
      </c>
      <c r="K1210" s="1" t="s">
        <v>50</v>
      </c>
      <c r="L1210">
        <f t="shared" si="121"/>
        <v>310</v>
      </c>
      <c r="M1210">
        <f t="shared" si="120"/>
        <v>165.08096849368502</v>
      </c>
      <c r="N1210">
        <f t="shared" si="122"/>
        <v>141.13805181087204</v>
      </c>
      <c r="O1210">
        <f t="shared" si="123"/>
        <v>259.31323779276431</v>
      </c>
      <c r="P1210" t="e">
        <f t="shared" si="124"/>
        <v>#N/A</v>
      </c>
      <c r="Q1210" t="e">
        <f t="shared" si="125"/>
        <v>#N/A</v>
      </c>
      <c r="U1210">
        <f>C1210/Navio!$J$4</f>
        <v>15.456086984206928</v>
      </c>
    </row>
    <row r="1211" spans="1:21" x14ac:dyDescent="0.3">
      <c r="A1211">
        <v>1209</v>
      </c>
      <c r="B1211" s="47">
        <v>655.69859776035798</v>
      </c>
      <c r="C1211" s="46">
        <v>286.23964533055164</v>
      </c>
      <c r="D1211" s="1">
        <v>28</v>
      </c>
      <c r="E1211" s="1">
        <v>31</v>
      </c>
      <c r="F1211" s="1">
        <v>33</v>
      </c>
      <c r="G1211" s="1">
        <v>27</v>
      </c>
      <c r="H1211" s="1" t="s">
        <v>50</v>
      </c>
      <c r="I1211" s="1" t="s">
        <v>50</v>
      </c>
      <c r="J1211" s="1" t="s">
        <v>50</v>
      </c>
      <c r="K1211" s="1" t="s">
        <v>50</v>
      </c>
      <c r="L1211">
        <f t="shared" si="121"/>
        <v>310</v>
      </c>
      <c r="M1211">
        <f t="shared" si="120"/>
        <v>100.24730815672166</v>
      </c>
      <c r="N1211">
        <f t="shared" si="122"/>
        <v>141.13805181087204</v>
      </c>
      <c r="O1211">
        <f t="shared" si="123"/>
        <v>259.31323779276431</v>
      </c>
      <c r="P1211" t="e">
        <f t="shared" si="124"/>
        <v>#N/A</v>
      </c>
      <c r="Q1211" t="e">
        <f t="shared" si="125"/>
        <v>#N/A</v>
      </c>
      <c r="U1211">
        <f>C1211/Navio!$J$4</f>
        <v>15.455717744170386</v>
      </c>
    </row>
    <row r="1212" spans="1:21" x14ac:dyDescent="0.3">
      <c r="A1212">
        <v>1210</v>
      </c>
      <c r="B1212" s="47">
        <v>761.1446327266749</v>
      </c>
      <c r="C1212" s="46">
        <v>282.74999270336127</v>
      </c>
      <c r="D1212" s="1">
        <v>29</v>
      </c>
      <c r="E1212" s="1">
        <v>30</v>
      </c>
      <c r="F1212" s="1">
        <v>31</v>
      </c>
      <c r="G1212" s="1">
        <v>27</v>
      </c>
      <c r="H1212" s="1" t="s">
        <v>50</v>
      </c>
      <c r="I1212" s="1" t="s">
        <v>50</v>
      </c>
      <c r="J1212" s="1" t="s">
        <v>50</v>
      </c>
      <c r="K1212" s="1" t="s">
        <v>50</v>
      </c>
      <c r="L1212">
        <f t="shared" si="121"/>
        <v>473.00623656700782</v>
      </c>
      <c r="M1212">
        <f t="shared" si="120"/>
        <v>165.08096849368502</v>
      </c>
      <c r="N1212">
        <f t="shared" si="122"/>
        <v>100.24730815672166</v>
      </c>
      <c r="O1212">
        <f t="shared" si="123"/>
        <v>259.31323779276431</v>
      </c>
      <c r="P1212" t="e">
        <f t="shared" si="124"/>
        <v>#N/A</v>
      </c>
      <c r="Q1212" t="e">
        <f t="shared" si="125"/>
        <v>#N/A</v>
      </c>
      <c r="U1212">
        <f>C1212/Navio!$J$4</f>
        <v>15.2672914136082</v>
      </c>
    </row>
    <row r="1213" spans="1:21" x14ac:dyDescent="0.3">
      <c r="A1213">
        <v>1211</v>
      </c>
      <c r="B1213" s="47">
        <v>802.03537638082526</v>
      </c>
      <c r="C1213" s="46">
        <v>286.02521483111832</v>
      </c>
      <c r="D1213" s="1">
        <v>29</v>
      </c>
      <c r="E1213" s="1">
        <v>30</v>
      </c>
      <c r="F1213" s="1">
        <v>33</v>
      </c>
      <c r="G1213" s="1">
        <v>27</v>
      </c>
      <c r="H1213" s="1" t="s">
        <v>50</v>
      </c>
      <c r="I1213" s="1" t="s">
        <v>50</v>
      </c>
      <c r="J1213" s="1" t="s">
        <v>50</v>
      </c>
      <c r="K1213" s="1" t="s">
        <v>50</v>
      </c>
      <c r="L1213">
        <f t="shared" si="121"/>
        <v>473.00623656700782</v>
      </c>
      <c r="M1213">
        <f t="shared" si="120"/>
        <v>165.08096849368502</v>
      </c>
      <c r="N1213">
        <f t="shared" si="122"/>
        <v>141.13805181087204</v>
      </c>
      <c r="O1213">
        <f t="shared" si="123"/>
        <v>259.31323779276431</v>
      </c>
      <c r="P1213" t="e">
        <f t="shared" si="124"/>
        <v>#N/A</v>
      </c>
      <c r="Q1213" t="e">
        <f t="shared" si="125"/>
        <v>#N/A</v>
      </c>
      <c r="U1213">
        <f>C1213/Navio!$J$4</f>
        <v>15.444139413463764</v>
      </c>
    </row>
    <row r="1214" spans="1:21" x14ac:dyDescent="0.3">
      <c r="A1214">
        <v>1212</v>
      </c>
      <c r="B1214" s="47">
        <v>737.20171604386189</v>
      </c>
      <c r="C1214" s="46">
        <v>286.0219453437843</v>
      </c>
      <c r="D1214" s="1">
        <v>29</v>
      </c>
      <c r="E1214" s="1">
        <v>31</v>
      </c>
      <c r="F1214" s="1">
        <v>33</v>
      </c>
      <c r="G1214" s="1">
        <v>27</v>
      </c>
      <c r="H1214" s="1" t="s">
        <v>50</v>
      </c>
      <c r="I1214" s="1" t="s">
        <v>50</v>
      </c>
      <c r="J1214" s="1" t="s">
        <v>50</v>
      </c>
      <c r="K1214" s="1" t="s">
        <v>50</v>
      </c>
      <c r="L1214">
        <f t="shared" si="121"/>
        <v>473.00623656700782</v>
      </c>
      <c r="M1214">
        <f t="shared" si="120"/>
        <v>100.24730815672166</v>
      </c>
      <c r="N1214">
        <f t="shared" si="122"/>
        <v>141.13805181087204</v>
      </c>
      <c r="O1214">
        <f t="shared" si="123"/>
        <v>259.31323779276431</v>
      </c>
      <c r="P1214" t="e">
        <f t="shared" si="124"/>
        <v>#N/A</v>
      </c>
      <c r="Q1214" t="e">
        <f t="shared" si="125"/>
        <v>#N/A</v>
      </c>
      <c r="U1214">
        <f>C1214/Navio!$J$4</f>
        <v>15.443962875118267</v>
      </c>
    </row>
    <row r="1215" spans="1:21" x14ac:dyDescent="0.3">
      <c r="A1215">
        <v>1213</v>
      </c>
      <c r="B1215" s="47">
        <v>665.77956625404306</v>
      </c>
      <c r="C1215" s="46">
        <v>285.99032306197671</v>
      </c>
      <c r="D1215" s="1">
        <v>30</v>
      </c>
      <c r="E1215" s="1">
        <v>31</v>
      </c>
      <c r="F1215" s="1">
        <v>33</v>
      </c>
      <c r="G1215" s="1">
        <v>27</v>
      </c>
      <c r="H1215" s="1" t="s">
        <v>50</v>
      </c>
      <c r="I1215" s="1" t="s">
        <v>50</v>
      </c>
      <c r="J1215" s="1" t="s">
        <v>50</v>
      </c>
      <c r="K1215" s="1" t="s">
        <v>50</v>
      </c>
      <c r="L1215">
        <f t="shared" si="121"/>
        <v>165.08096849368502</v>
      </c>
      <c r="M1215">
        <f t="shared" si="120"/>
        <v>100.24730815672166</v>
      </c>
      <c r="N1215">
        <f t="shared" si="122"/>
        <v>141.13805181087204</v>
      </c>
      <c r="O1215">
        <f t="shared" si="123"/>
        <v>259.31323779276431</v>
      </c>
      <c r="P1215" t="e">
        <f t="shared" si="124"/>
        <v>#N/A</v>
      </c>
      <c r="Q1215" t="e">
        <f t="shared" si="125"/>
        <v>#N/A</v>
      </c>
      <c r="U1215">
        <f>C1215/Navio!$J$4</f>
        <v>15.442255407022852</v>
      </c>
    </row>
    <row r="1216" spans="1:21" x14ac:dyDescent="0.3">
      <c r="A1216">
        <v>1214</v>
      </c>
      <c r="B1216" s="47">
        <v>656.83139493391059</v>
      </c>
      <c r="C1216" s="46">
        <v>274.64516893585142</v>
      </c>
      <c r="D1216" s="1">
        <v>30</v>
      </c>
      <c r="E1216" s="1">
        <v>31</v>
      </c>
      <c r="F1216" s="1">
        <v>29</v>
      </c>
      <c r="G1216" s="1">
        <v>28</v>
      </c>
      <c r="H1216" s="1" t="s">
        <v>50</v>
      </c>
      <c r="I1216" s="1" t="s">
        <v>50</v>
      </c>
      <c r="J1216" s="1" t="s">
        <v>50</v>
      </c>
      <c r="K1216" s="1" t="s">
        <v>50</v>
      </c>
      <c r="L1216">
        <f t="shared" si="121"/>
        <v>165.08096849368502</v>
      </c>
      <c r="M1216">
        <f t="shared" si="120"/>
        <v>100.24730815672166</v>
      </c>
      <c r="N1216">
        <f t="shared" si="122"/>
        <v>473.00623656700782</v>
      </c>
      <c r="O1216">
        <f t="shared" si="123"/>
        <v>310</v>
      </c>
      <c r="P1216" t="e">
        <f t="shared" si="124"/>
        <v>#N/A</v>
      </c>
      <c r="Q1216" t="e">
        <f t="shared" si="125"/>
        <v>#N/A</v>
      </c>
      <c r="U1216">
        <f>C1216/Navio!$J$4</f>
        <v>14.829665562122052</v>
      </c>
    </row>
    <row r="1217" spans="1:21" x14ac:dyDescent="0.3">
      <c r="A1217">
        <v>1215</v>
      </c>
      <c r="B1217" s="47">
        <v>697.72213858806094</v>
      </c>
      <c r="C1217" s="46">
        <v>279.42404373736929</v>
      </c>
      <c r="D1217" s="1">
        <v>29</v>
      </c>
      <c r="E1217" s="1">
        <v>30</v>
      </c>
      <c r="F1217" s="1">
        <v>33</v>
      </c>
      <c r="G1217" s="1">
        <v>28</v>
      </c>
      <c r="H1217" s="1" t="s">
        <v>50</v>
      </c>
      <c r="I1217" s="1" t="s">
        <v>50</v>
      </c>
      <c r="J1217" s="1" t="s">
        <v>50</v>
      </c>
      <c r="K1217" s="1" t="s">
        <v>50</v>
      </c>
      <c r="L1217">
        <f t="shared" si="121"/>
        <v>473.00623656700782</v>
      </c>
      <c r="M1217">
        <f t="shared" si="120"/>
        <v>165.08096849368502</v>
      </c>
      <c r="N1217">
        <f t="shared" si="122"/>
        <v>141.13805181087204</v>
      </c>
      <c r="O1217">
        <f t="shared" si="123"/>
        <v>310</v>
      </c>
      <c r="P1217" t="e">
        <f t="shared" si="124"/>
        <v>#N/A</v>
      </c>
      <c r="Q1217" t="e">
        <f t="shared" si="125"/>
        <v>#N/A</v>
      </c>
      <c r="U1217">
        <f>C1217/Navio!$J$4</f>
        <v>15.087704381244027</v>
      </c>
    </row>
    <row r="1218" spans="1:21" x14ac:dyDescent="0.3">
      <c r="A1218">
        <v>1216</v>
      </c>
      <c r="B1218" s="47">
        <v>632.88847825109758</v>
      </c>
      <c r="C1218" s="46">
        <v>279.42077425003532</v>
      </c>
      <c r="D1218" s="1">
        <v>29</v>
      </c>
      <c r="E1218" s="1">
        <v>31</v>
      </c>
      <c r="F1218" s="1">
        <v>33</v>
      </c>
      <c r="G1218" s="1">
        <v>28</v>
      </c>
      <c r="H1218" s="1" t="s">
        <v>50</v>
      </c>
      <c r="I1218" s="1" t="s">
        <v>50</v>
      </c>
      <c r="J1218" s="1" t="s">
        <v>50</v>
      </c>
      <c r="K1218" s="1" t="s">
        <v>50</v>
      </c>
      <c r="L1218">
        <f t="shared" si="121"/>
        <v>473.00623656700782</v>
      </c>
      <c r="M1218">
        <f t="shared" si="120"/>
        <v>100.24730815672166</v>
      </c>
      <c r="N1218">
        <f t="shared" si="122"/>
        <v>141.13805181087204</v>
      </c>
      <c r="O1218">
        <f t="shared" si="123"/>
        <v>310</v>
      </c>
      <c r="P1218" t="e">
        <f t="shared" si="124"/>
        <v>#N/A</v>
      </c>
      <c r="Q1218" t="e">
        <f t="shared" si="125"/>
        <v>#N/A</v>
      </c>
      <c r="U1218">
        <f>C1218/Navio!$J$4</f>
        <v>15.087527842898531</v>
      </c>
    </row>
    <row r="1219" spans="1:21" x14ac:dyDescent="0.3">
      <c r="A1219">
        <v>1217</v>
      </c>
      <c r="B1219" s="47">
        <v>893.3345132174145</v>
      </c>
      <c r="C1219" s="46">
        <v>277.08542199338439</v>
      </c>
      <c r="D1219" s="1">
        <v>30</v>
      </c>
      <c r="E1219" s="1">
        <v>31</v>
      </c>
      <c r="F1219" s="1">
        <v>32</v>
      </c>
      <c r="G1219" s="1">
        <v>28</v>
      </c>
      <c r="H1219" s="1" t="s">
        <v>50</v>
      </c>
      <c r="I1219" s="1" t="s">
        <v>50</v>
      </c>
      <c r="J1219" s="1" t="s">
        <v>50</v>
      </c>
      <c r="K1219" s="1" t="s">
        <v>50</v>
      </c>
      <c r="L1219">
        <f t="shared" si="121"/>
        <v>165.08096849368502</v>
      </c>
      <c r="M1219">
        <f t="shared" ref="M1219:M1282" si="126">VLOOKUP(E1219,$Y$2:$Z$80,2)</f>
        <v>100.24730815672166</v>
      </c>
      <c r="N1219">
        <f t="shared" si="122"/>
        <v>473.00623656700782</v>
      </c>
      <c r="O1219">
        <f t="shared" si="123"/>
        <v>310</v>
      </c>
      <c r="P1219" t="e">
        <f t="shared" si="124"/>
        <v>#N/A</v>
      </c>
      <c r="Q1219" t="e">
        <f t="shared" si="125"/>
        <v>#N/A</v>
      </c>
      <c r="U1219">
        <f>C1219/Navio!$J$4</f>
        <v>14.961428800013238</v>
      </c>
    </row>
    <row r="1220" spans="1:21" x14ac:dyDescent="0.3">
      <c r="A1220">
        <v>1218</v>
      </c>
      <c r="B1220" s="47">
        <v>561.46632846127875</v>
      </c>
      <c r="C1220" s="46">
        <v>279.38915196822774</v>
      </c>
      <c r="D1220" s="1">
        <v>30</v>
      </c>
      <c r="E1220" s="1">
        <v>31</v>
      </c>
      <c r="F1220" s="1">
        <v>33</v>
      </c>
      <c r="G1220" s="1">
        <v>28</v>
      </c>
      <c r="H1220" s="1" t="s">
        <v>50</v>
      </c>
      <c r="I1220" s="1" t="s">
        <v>50</v>
      </c>
      <c r="J1220" s="1" t="s">
        <v>50</v>
      </c>
      <c r="K1220" s="1" t="s">
        <v>50</v>
      </c>
      <c r="L1220">
        <f t="shared" si="121"/>
        <v>165.08096849368502</v>
      </c>
      <c r="M1220">
        <f t="shared" si="126"/>
        <v>100.24730815672166</v>
      </c>
      <c r="N1220">
        <f t="shared" si="122"/>
        <v>141.13805181087204</v>
      </c>
      <c r="O1220">
        <f t="shared" si="123"/>
        <v>310</v>
      </c>
      <c r="P1220" t="e">
        <f t="shared" si="124"/>
        <v>#N/A</v>
      </c>
      <c r="Q1220" t="e">
        <f t="shared" si="125"/>
        <v>#N/A</v>
      </c>
      <c r="U1220">
        <f>C1220/Navio!$J$4</f>
        <v>15.085820374803117</v>
      </c>
    </row>
    <row r="1221" spans="1:21" x14ac:dyDescent="0.3">
      <c r="A1221">
        <v>1219</v>
      </c>
      <c r="B1221" s="47">
        <v>869.39159653460149</v>
      </c>
      <c r="C1221" s="46">
        <v>279.93604028549612</v>
      </c>
      <c r="D1221" s="1">
        <v>31</v>
      </c>
      <c r="E1221" s="1">
        <v>33</v>
      </c>
      <c r="F1221" s="1">
        <v>32</v>
      </c>
      <c r="G1221" s="1">
        <v>28</v>
      </c>
      <c r="H1221" s="1" t="s">
        <v>50</v>
      </c>
      <c r="I1221" s="1" t="s">
        <v>50</v>
      </c>
      <c r="J1221" s="1" t="s">
        <v>50</v>
      </c>
      <c r="K1221" s="1" t="s">
        <v>50</v>
      </c>
      <c r="L1221">
        <f t="shared" si="121"/>
        <v>100.24730815672166</v>
      </c>
      <c r="M1221">
        <f t="shared" si="126"/>
        <v>141.13805181087204</v>
      </c>
      <c r="N1221">
        <f t="shared" si="122"/>
        <v>473.00623656700782</v>
      </c>
      <c r="O1221">
        <f t="shared" si="123"/>
        <v>310</v>
      </c>
      <c r="P1221" t="e">
        <f t="shared" si="124"/>
        <v>#N/A</v>
      </c>
      <c r="Q1221" t="e">
        <f t="shared" si="125"/>
        <v>#N/A</v>
      </c>
      <c r="U1221">
        <f>C1221/Navio!$J$4</f>
        <v>15.11535000707863</v>
      </c>
    </row>
    <row r="1222" spans="1:21" x14ac:dyDescent="0.3">
      <c r="A1222">
        <v>1220</v>
      </c>
      <c r="B1222" s="47">
        <v>642.96944674478266</v>
      </c>
      <c r="C1222" s="46">
        <v>279.36908080214641</v>
      </c>
      <c r="D1222" s="1">
        <v>30</v>
      </c>
      <c r="E1222" s="1">
        <v>31</v>
      </c>
      <c r="F1222" s="1">
        <v>33</v>
      </c>
      <c r="G1222" s="1">
        <v>29</v>
      </c>
      <c r="H1222" s="1" t="s">
        <v>50</v>
      </c>
      <c r="I1222" s="1" t="s">
        <v>50</v>
      </c>
      <c r="J1222" s="1" t="s">
        <v>50</v>
      </c>
      <c r="K1222" s="1" t="s">
        <v>50</v>
      </c>
      <c r="L1222">
        <f t="shared" si="121"/>
        <v>165.08096849368502</v>
      </c>
      <c r="M1222">
        <f t="shared" si="126"/>
        <v>100.24730815672166</v>
      </c>
      <c r="N1222">
        <f t="shared" si="122"/>
        <v>141.13805181087204</v>
      </c>
      <c r="O1222">
        <f t="shared" si="123"/>
        <v>473.00623656700782</v>
      </c>
      <c r="P1222" t="e">
        <f t="shared" si="124"/>
        <v>#N/A</v>
      </c>
      <c r="Q1222" t="e">
        <f t="shared" si="125"/>
        <v>#N/A</v>
      </c>
      <c r="U1222">
        <f>C1222/Navio!$J$4</f>
        <v>15.084736617598935</v>
      </c>
    </row>
    <row r="1223" spans="1:21" x14ac:dyDescent="0.3">
      <c r="A1223">
        <v>1221</v>
      </c>
      <c r="B1223" s="47">
        <v>879.47256502828657</v>
      </c>
      <c r="C1223" s="46">
        <v>279.88785849879713</v>
      </c>
      <c r="D1223" s="1">
        <v>32</v>
      </c>
      <c r="E1223" s="1">
        <v>33</v>
      </c>
      <c r="F1223" s="1">
        <v>31</v>
      </c>
      <c r="G1223" s="1">
        <v>30</v>
      </c>
      <c r="H1223" s="1" t="s">
        <v>50</v>
      </c>
      <c r="I1223" s="1" t="s">
        <v>50</v>
      </c>
      <c r="J1223" s="1" t="s">
        <v>50</v>
      </c>
      <c r="K1223" s="1" t="s">
        <v>50</v>
      </c>
      <c r="L1223">
        <f t="shared" si="121"/>
        <v>473.00623656700782</v>
      </c>
      <c r="M1223">
        <f t="shared" si="126"/>
        <v>141.13805181087204</v>
      </c>
      <c r="N1223">
        <f t="shared" si="122"/>
        <v>100.24730815672166</v>
      </c>
      <c r="O1223">
        <f t="shared" si="123"/>
        <v>165.08096849368502</v>
      </c>
      <c r="P1223" t="e">
        <f t="shared" si="124"/>
        <v>#N/A</v>
      </c>
      <c r="Q1223" t="e">
        <f t="shared" si="125"/>
        <v>#N/A</v>
      </c>
      <c r="U1223">
        <f>C1223/Navio!$J$4</f>
        <v>15.11274839647794</v>
      </c>
    </row>
    <row r="1224" spans="1:21" x14ac:dyDescent="0.3">
      <c r="A1224">
        <v>1222</v>
      </c>
      <c r="B1224" s="47">
        <v>893.26814148844232</v>
      </c>
      <c r="C1224" s="46">
        <v>285.06397026249829</v>
      </c>
      <c r="D1224" s="1">
        <v>28</v>
      </c>
      <c r="E1224" s="1">
        <v>31</v>
      </c>
      <c r="F1224" s="1">
        <v>27</v>
      </c>
      <c r="G1224" s="1">
        <v>26</v>
      </c>
      <c r="H1224" s="1">
        <v>25</v>
      </c>
      <c r="I1224" s="1" t="s">
        <v>50</v>
      </c>
      <c r="J1224" s="1" t="s">
        <v>50</v>
      </c>
      <c r="K1224" s="1" t="s">
        <v>50</v>
      </c>
      <c r="L1224">
        <f t="shared" si="121"/>
        <v>310</v>
      </c>
      <c r="M1224">
        <f t="shared" si="126"/>
        <v>100.24730815672166</v>
      </c>
      <c r="N1224">
        <f t="shared" si="122"/>
        <v>259.31323779276431</v>
      </c>
      <c r="O1224">
        <f t="shared" si="123"/>
        <v>220.78480595896349</v>
      </c>
      <c r="P1224">
        <f t="shared" si="124"/>
        <v>157.92278957999292</v>
      </c>
      <c r="Q1224" t="e">
        <f t="shared" si="125"/>
        <v>#N/A</v>
      </c>
      <c r="U1224">
        <f>C1224/Navio!$J$4</f>
        <v>15.392236314161948</v>
      </c>
    </row>
    <row r="1225" spans="1:21" x14ac:dyDescent="0.3">
      <c r="A1225">
        <v>1223</v>
      </c>
      <c r="B1225" s="47">
        <v>879.4061932993144</v>
      </c>
      <c r="C1225" s="46">
        <v>288.08983565554468</v>
      </c>
      <c r="D1225" s="1">
        <v>31</v>
      </c>
      <c r="E1225" s="1">
        <v>33</v>
      </c>
      <c r="F1225" s="1">
        <v>27</v>
      </c>
      <c r="G1225" s="1">
        <v>26</v>
      </c>
      <c r="H1225" s="1">
        <v>25</v>
      </c>
      <c r="I1225" s="1" t="s">
        <v>50</v>
      </c>
      <c r="J1225" s="1" t="s">
        <v>50</v>
      </c>
      <c r="K1225" s="1" t="s">
        <v>50</v>
      </c>
      <c r="L1225">
        <f t="shared" si="121"/>
        <v>100.24730815672166</v>
      </c>
      <c r="M1225">
        <f t="shared" si="126"/>
        <v>141.13805181087204</v>
      </c>
      <c r="N1225">
        <f t="shared" si="122"/>
        <v>259.31323779276431</v>
      </c>
      <c r="O1225">
        <f t="shared" si="123"/>
        <v>220.78480595896349</v>
      </c>
      <c r="P1225">
        <f t="shared" si="124"/>
        <v>157.92278957999292</v>
      </c>
      <c r="Q1225" t="e">
        <f t="shared" si="125"/>
        <v>#N/A</v>
      </c>
      <c r="U1225">
        <f>C1225/Navio!$J$4</f>
        <v>15.555620115845924</v>
      </c>
    </row>
    <row r="1226" spans="1:21" x14ac:dyDescent="0.3">
      <c r="A1226">
        <v>1224</v>
      </c>
      <c r="B1226" s="47">
        <v>870.45802197918192</v>
      </c>
      <c r="C1226" s="46">
        <v>285.03553520130555</v>
      </c>
      <c r="D1226" s="1">
        <v>28</v>
      </c>
      <c r="E1226" s="1">
        <v>29</v>
      </c>
      <c r="F1226" s="1">
        <v>31</v>
      </c>
      <c r="G1226" s="1">
        <v>26</v>
      </c>
      <c r="H1226" s="1">
        <v>25</v>
      </c>
      <c r="I1226" s="1" t="s">
        <v>50</v>
      </c>
      <c r="J1226" s="1" t="s">
        <v>50</v>
      </c>
      <c r="K1226" s="1" t="s">
        <v>50</v>
      </c>
      <c r="L1226">
        <f t="shared" si="121"/>
        <v>310</v>
      </c>
      <c r="M1226">
        <f t="shared" si="126"/>
        <v>473.00623656700782</v>
      </c>
      <c r="N1226">
        <f t="shared" si="122"/>
        <v>100.24730815672166</v>
      </c>
      <c r="O1226">
        <f t="shared" si="123"/>
        <v>220.78480595896349</v>
      </c>
      <c r="P1226">
        <f t="shared" si="124"/>
        <v>157.92278957999292</v>
      </c>
      <c r="Q1226" t="e">
        <f t="shared" si="125"/>
        <v>#N/A</v>
      </c>
      <c r="U1226">
        <f>C1226/Navio!$J$4</f>
        <v>15.390700942360724</v>
      </c>
    </row>
    <row r="1227" spans="1:21" x14ac:dyDescent="0.3">
      <c r="A1227">
        <v>1225</v>
      </c>
      <c r="B1227" s="47">
        <v>799.03587218936309</v>
      </c>
      <c r="C1227" s="46">
        <v>285.01118772646015</v>
      </c>
      <c r="D1227" s="1">
        <v>28</v>
      </c>
      <c r="E1227" s="1">
        <v>30</v>
      </c>
      <c r="F1227" s="1">
        <v>31</v>
      </c>
      <c r="G1227" s="1">
        <v>26</v>
      </c>
      <c r="H1227" s="1">
        <v>25</v>
      </c>
      <c r="I1227" s="1" t="s">
        <v>50</v>
      </c>
      <c r="J1227" s="1" t="s">
        <v>50</v>
      </c>
      <c r="K1227" s="1" t="s">
        <v>50</v>
      </c>
      <c r="L1227">
        <f t="shared" si="121"/>
        <v>310</v>
      </c>
      <c r="M1227">
        <f t="shared" si="126"/>
        <v>165.08096849368502</v>
      </c>
      <c r="N1227">
        <f t="shared" si="122"/>
        <v>100.24730815672166</v>
      </c>
      <c r="O1227">
        <f t="shared" si="123"/>
        <v>220.78480595896349</v>
      </c>
      <c r="P1227">
        <f t="shared" si="124"/>
        <v>157.92278957999292</v>
      </c>
      <c r="Q1227" t="e">
        <f t="shared" si="125"/>
        <v>#N/A</v>
      </c>
      <c r="U1227">
        <f>C1227/Navio!$J$4</f>
        <v>15.389386282755975</v>
      </c>
    </row>
    <row r="1228" spans="1:21" x14ac:dyDescent="0.3">
      <c r="A1228">
        <v>1226</v>
      </c>
      <c r="B1228" s="47">
        <v>839.92661584351345</v>
      </c>
      <c r="C1228" s="46">
        <v>288.21338551589207</v>
      </c>
      <c r="D1228" s="1">
        <v>28</v>
      </c>
      <c r="E1228" s="1">
        <v>30</v>
      </c>
      <c r="F1228" s="1">
        <v>33</v>
      </c>
      <c r="G1228" s="1">
        <v>26</v>
      </c>
      <c r="H1228" s="1">
        <v>25</v>
      </c>
      <c r="I1228" s="1" t="s">
        <v>50</v>
      </c>
      <c r="J1228" s="1" t="s">
        <v>50</v>
      </c>
      <c r="K1228" s="1" t="s">
        <v>50</v>
      </c>
      <c r="L1228">
        <f t="shared" si="121"/>
        <v>310</v>
      </c>
      <c r="M1228">
        <f t="shared" si="126"/>
        <v>165.08096849368502</v>
      </c>
      <c r="N1228">
        <f t="shared" si="122"/>
        <v>141.13805181087204</v>
      </c>
      <c r="O1228">
        <f t="shared" si="123"/>
        <v>220.78480595896349</v>
      </c>
      <c r="P1228">
        <f t="shared" si="124"/>
        <v>157.92278957999292</v>
      </c>
      <c r="Q1228" t="e">
        <f t="shared" si="125"/>
        <v>#N/A</v>
      </c>
      <c r="U1228">
        <f>C1228/Navio!$J$4</f>
        <v>15.562291280375407</v>
      </c>
    </row>
    <row r="1229" spans="1:21" x14ac:dyDescent="0.3">
      <c r="A1229">
        <v>1227</v>
      </c>
      <c r="B1229" s="47">
        <v>775.09295550655008</v>
      </c>
      <c r="C1229" s="46">
        <v>288.20654719632319</v>
      </c>
      <c r="D1229" s="1">
        <v>28</v>
      </c>
      <c r="E1229" s="1">
        <v>31</v>
      </c>
      <c r="F1229" s="1">
        <v>33</v>
      </c>
      <c r="G1229" s="1">
        <v>26</v>
      </c>
      <c r="H1229" s="1">
        <v>25</v>
      </c>
      <c r="I1229" s="1" t="s">
        <v>50</v>
      </c>
      <c r="J1229" s="1" t="s">
        <v>50</v>
      </c>
      <c r="K1229" s="1" t="s">
        <v>50</v>
      </c>
      <c r="L1229">
        <f t="shared" ref="L1229:L1292" si="127">VLOOKUP(D1229,$Y$2:$Z$80,2)</f>
        <v>310</v>
      </c>
      <c r="M1229">
        <f t="shared" si="126"/>
        <v>100.24730815672166</v>
      </c>
      <c r="N1229">
        <f t="shared" ref="N1229:N1292" si="128">VLOOKUP(F1229,$Y$2:$Z$80,2)</f>
        <v>141.13805181087204</v>
      </c>
      <c r="O1229">
        <f t="shared" ref="O1229:O1292" si="129">VLOOKUP(G1229,$Y$2:$Z$80,2)</f>
        <v>220.78480595896349</v>
      </c>
      <c r="P1229">
        <f t="shared" ref="P1229:P1292" si="130">VLOOKUP(H1229,$Y$2:$Z$80,2)</f>
        <v>157.92278957999292</v>
      </c>
      <c r="Q1229" t="e">
        <f t="shared" ref="Q1229:Q1292" si="131">VLOOKUP(I1229,$Y$2:$Z$80,2)</f>
        <v>#N/A</v>
      </c>
      <c r="U1229">
        <f>C1229/Navio!$J$4</f>
        <v>15.561922040338867</v>
      </c>
    </row>
    <row r="1230" spans="1:21" x14ac:dyDescent="0.3">
      <c r="A1230">
        <v>1228</v>
      </c>
      <c r="B1230" s="47">
        <v>880.538990472867</v>
      </c>
      <c r="C1230" s="46">
        <v>284.78991890745789</v>
      </c>
      <c r="D1230" s="1">
        <v>29</v>
      </c>
      <c r="E1230" s="1">
        <v>30</v>
      </c>
      <c r="F1230" s="1">
        <v>31</v>
      </c>
      <c r="G1230" s="1">
        <v>26</v>
      </c>
      <c r="H1230" s="1">
        <v>25</v>
      </c>
      <c r="I1230" s="1" t="s">
        <v>50</v>
      </c>
      <c r="J1230" s="1" t="s">
        <v>50</v>
      </c>
      <c r="K1230" s="1" t="s">
        <v>50</v>
      </c>
      <c r="L1230">
        <f t="shared" si="127"/>
        <v>473.00623656700782</v>
      </c>
      <c r="M1230">
        <f t="shared" si="126"/>
        <v>165.08096849368502</v>
      </c>
      <c r="N1230">
        <f t="shared" si="128"/>
        <v>100.24730815672166</v>
      </c>
      <c r="O1230">
        <f t="shared" si="129"/>
        <v>220.78480595896349</v>
      </c>
      <c r="P1230">
        <f t="shared" si="130"/>
        <v>157.92278957999292</v>
      </c>
      <c r="Q1230" t="e">
        <f t="shared" si="131"/>
        <v>#N/A</v>
      </c>
      <c r="U1230">
        <f>C1230/Navio!$J$4</f>
        <v>15.377438712012811</v>
      </c>
    </row>
    <row r="1231" spans="1:21" x14ac:dyDescent="0.3">
      <c r="A1231">
        <v>1229</v>
      </c>
      <c r="B1231" s="47">
        <v>856.59607379005399</v>
      </c>
      <c r="C1231" s="46">
        <v>287.98884720955584</v>
      </c>
      <c r="D1231" s="1">
        <v>29</v>
      </c>
      <c r="E1231" s="1">
        <v>31</v>
      </c>
      <c r="F1231" s="1">
        <v>33</v>
      </c>
      <c r="G1231" s="1">
        <v>26</v>
      </c>
      <c r="H1231" s="1">
        <v>25</v>
      </c>
      <c r="I1231" s="1" t="s">
        <v>50</v>
      </c>
      <c r="J1231" s="1" t="s">
        <v>50</v>
      </c>
      <c r="K1231" s="1" t="s">
        <v>50</v>
      </c>
      <c r="L1231">
        <f t="shared" si="127"/>
        <v>473.00623656700782</v>
      </c>
      <c r="M1231">
        <f t="shared" si="126"/>
        <v>100.24730815672166</v>
      </c>
      <c r="N1231">
        <f t="shared" si="128"/>
        <v>141.13805181087204</v>
      </c>
      <c r="O1231">
        <f t="shared" si="129"/>
        <v>220.78480595896349</v>
      </c>
      <c r="P1231">
        <f t="shared" si="130"/>
        <v>157.92278957999292</v>
      </c>
      <c r="Q1231" t="e">
        <f t="shared" si="131"/>
        <v>#N/A</v>
      </c>
      <c r="U1231">
        <f>C1231/Navio!$J$4</f>
        <v>15.550167171286748</v>
      </c>
    </row>
    <row r="1232" spans="1:21" x14ac:dyDescent="0.3">
      <c r="A1232">
        <v>1230</v>
      </c>
      <c r="B1232" s="47">
        <v>785.17392400023516</v>
      </c>
      <c r="C1232" s="46">
        <v>287.95722492774826</v>
      </c>
      <c r="D1232" s="1">
        <v>30</v>
      </c>
      <c r="E1232" s="1">
        <v>31</v>
      </c>
      <c r="F1232" s="1">
        <v>33</v>
      </c>
      <c r="G1232" s="1">
        <v>26</v>
      </c>
      <c r="H1232" s="1">
        <v>25</v>
      </c>
      <c r="I1232" s="1" t="s">
        <v>50</v>
      </c>
      <c r="J1232" s="1" t="s">
        <v>50</v>
      </c>
      <c r="K1232" s="1" t="s">
        <v>50</v>
      </c>
      <c r="L1232">
        <f t="shared" si="127"/>
        <v>165.08096849368502</v>
      </c>
      <c r="M1232">
        <f t="shared" si="126"/>
        <v>100.24730815672166</v>
      </c>
      <c r="N1232">
        <f t="shared" si="128"/>
        <v>141.13805181087204</v>
      </c>
      <c r="O1232">
        <f t="shared" si="129"/>
        <v>220.78480595896349</v>
      </c>
      <c r="P1232">
        <f t="shared" si="130"/>
        <v>157.92278957999292</v>
      </c>
      <c r="Q1232" t="e">
        <f t="shared" si="131"/>
        <v>#N/A</v>
      </c>
      <c r="U1232">
        <f>C1232/Navio!$J$4</f>
        <v>15.548459703191334</v>
      </c>
    </row>
    <row r="1233" spans="1:21" x14ac:dyDescent="0.3">
      <c r="A1233">
        <v>1231</v>
      </c>
      <c r="B1233" s="47">
        <v>837.56430402316391</v>
      </c>
      <c r="C1233" s="46">
        <v>283.38985588817235</v>
      </c>
      <c r="D1233" s="1">
        <v>28</v>
      </c>
      <c r="E1233" s="1">
        <v>30</v>
      </c>
      <c r="F1233" s="1">
        <v>31</v>
      </c>
      <c r="G1233" s="1">
        <v>27</v>
      </c>
      <c r="H1233" s="1">
        <v>25</v>
      </c>
      <c r="I1233" s="1" t="s">
        <v>50</v>
      </c>
      <c r="J1233" s="1" t="s">
        <v>50</v>
      </c>
      <c r="K1233" s="1" t="s">
        <v>50</v>
      </c>
      <c r="L1233">
        <f t="shared" si="127"/>
        <v>310</v>
      </c>
      <c r="M1233">
        <f t="shared" si="126"/>
        <v>165.08096849368502</v>
      </c>
      <c r="N1233">
        <f t="shared" si="128"/>
        <v>100.24730815672166</v>
      </c>
      <c r="O1233">
        <f t="shared" si="129"/>
        <v>259.31323779276431</v>
      </c>
      <c r="P1233">
        <f t="shared" si="130"/>
        <v>157.92278957999292</v>
      </c>
      <c r="Q1233" t="e">
        <f t="shared" si="131"/>
        <v>#N/A</v>
      </c>
      <c r="U1233">
        <f>C1233/Navio!$J$4</f>
        <v>15.301841291448866</v>
      </c>
    </row>
    <row r="1234" spans="1:21" x14ac:dyDescent="0.3">
      <c r="A1234">
        <v>1232</v>
      </c>
      <c r="B1234" s="47">
        <v>878.45504767731427</v>
      </c>
      <c r="C1234" s="46">
        <v>286.6650780159294</v>
      </c>
      <c r="D1234" s="1">
        <v>28</v>
      </c>
      <c r="E1234" s="1">
        <v>30</v>
      </c>
      <c r="F1234" s="1">
        <v>33</v>
      </c>
      <c r="G1234" s="1">
        <v>27</v>
      </c>
      <c r="H1234" s="1">
        <v>25</v>
      </c>
      <c r="I1234" s="1" t="s">
        <v>50</v>
      </c>
      <c r="J1234" s="1" t="s">
        <v>50</v>
      </c>
      <c r="K1234" s="1" t="s">
        <v>50</v>
      </c>
      <c r="L1234">
        <f t="shared" si="127"/>
        <v>310</v>
      </c>
      <c r="M1234">
        <f t="shared" si="126"/>
        <v>165.08096849368502</v>
      </c>
      <c r="N1234">
        <f t="shared" si="128"/>
        <v>141.13805181087204</v>
      </c>
      <c r="O1234">
        <f t="shared" si="129"/>
        <v>259.31323779276431</v>
      </c>
      <c r="P1234">
        <f t="shared" si="130"/>
        <v>157.92278957999292</v>
      </c>
      <c r="Q1234" t="e">
        <f t="shared" si="131"/>
        <v>#N/A</v>
      </c>
      <c r="U1234">
        <f>C1234/Navio!$J$4</f>
        <v>15.47868929130443</v>
      </c>
    </row>
    <row r="1235" spans="1:21" x14ac:dyDescent="0.3">
      <c r="A1235">
        <v>1233</v>
      </c>
      <c r="B1235" s="47">
        <v>813.62138734035091</v>
      </c>
      <c r="C1235" s="46">
        <v>286.65823969636045</v>
      </c>
      <c r="D1235" s="1">
        <v>28</v>
      </c>
      <c r="E1235" s="1">
        <v>31</v>
      </c>
      <c r="F1235" s="1">
        <v>33</v>
      </c>
      <c r="G1235" s="1">
        <v>27</v>
      </c>
      <c r="H1235" s="1">
        <v>25</v>
      </c>
      <c r="I1235" s="1" t="s">
        <v>50</v>
      </c>
      <c r="J1235" s="1" t="s">
        <v>50</v>
      </c>
      <c r="K1235" s="1" t="s">
        <v>50</v>
      </c>
      <c r="L1235">
        <f t="shared" si="127"/>
        <v>310</v>
      </c>
      <c r="M1235">
        <f t="shared" si="126"/>
        <v>100.24730815672166</v>
      </c>
      <c r="N1235">
        <f t="shared" si="128"/>
        <v>141.13805181087204</v>
      </c>
      <c r="O1235">
        <f t="shared" si="129"/>
        <v>259.31323779276431</v>
      </c>
      <c r="P1235">
        <f t="shared" si="130"/>
        <v>157.92278957999292</v>
      </c>
      <c r="Q1235" t="e">
        <f t="shared" si="131"/>
        <v>#N/A</v>
      </c>
      <c r="U1235">
        <f>C1235/Navio!$J$4</f>
        <v>15.478320051267886</v>
      </c>
    </row>
    <row r="1236" spans="1:21" x14ac:dyDescent="0.3">
      <c r="A1236">
        <v>1234</v>
      </c>
      <c r="B1236" s="47">
        <v>895.12450562385482</v>
      </c>
      <c r="C1236" s="46">
        <v>286.44053970959311</v>
      </c>
      <c r="D1236" s="1">
        <v>29</v>
      </c>
      <c r="E1236" s="1">
        <v>31</v>
      </c>
      <c r="F1236" s="1">
        <v>33</v>
      </c>
      <c r="G1236" s="1">
        <v>27</v>
      </c>
      <c r="H1236" s="1">
        <v>25</v>
      </c>
      <c r="I1236" s="1" t="s">
        <v>50</v>
      </c>
      <c r="J1236" s="1" t="s">
        <v>50</v>
      </c>
      <c r="K1236" s="1" t="s">
        <v>50</v>
      </c>
      <c r="L1236">
        <f t="shared" si="127"/>
        <v>473.00623656700782</v>
      </c>
      <c r="M1236">
        <f t="shared" si="126"/>
        <v>100.24730815672166</v>
      </c>
      <c r="N1236">
        <f t="shared" si="128"/>
        <v>141.13805181087204</v>
      </c>
      <c r="O1236">
        <f t="shared" si="129"/>
        <v>259.31323779276431</v>
      </c>
      <c r="P1236">
        <f t="shared" si="130"/>
        <v>157.92278957999292</v>
      </c>
      <c r="Q1236" t="e">
        <f t="shared" si="131"/>
        <v>#N/A</v>
      </c>
      <c r="U1236">
        <f>C1236/Navio!$J$4</f>
        <v>15.466565182215767</v>
      </c>
    </row>
    <row r="1237" spans="1:21" x14ac:dyDescent="0.3">
      <c r="A1237">
        <v>1235</v>
      </c>
      <c r="B1237" s="47">
        <v>823.70235583403598</v>
      </c>
      <c r="C1237" s="46">
        <v>286.40891742778552</v>
      </c>
      <c r="D1237" s="1">
        <v>30</v>
      </c>
      <c r="E1237" s="1">
        <v>31</v>
      </c>
      <c r="F1237" s="1">
        <v>33</v>
      </c>
      <c r="G1237" s="1">
        <v>27</v>
      </c>
      <c r="H1237" s="1">
        <v>25</v>
      </c>
      <c r="I1237" s="1" t="s">
        <v>50</v>
      </c>
      <c r="J1237" s="1" t="s">
        <v>50</v>
      </c>
      <c r="K1237" s="1" t="s">
        <v>50</v>
      </c>
      <c r="L1237">
        <f t="shared" si="127"/>
        <v>165.08096849368502</v>
      </c>
      <c r="M1237">
        <f t="shared" si="126"/>
        <v>100.24730815672166</v>
      </c>
      <c r="N1237">
        <f t="shared" si="128"/>
        <v>141.13805181087204</v>
      </c>
      <c r="O1237">
        <f t="shared" si="129"/>
        <v>259.31323779276431</v>
      </c>
      <c r="P1237">
        <f t="shared" si="130"/>
        <v>157.92278957999292</v>
      </c>
      <c r="Q1237" t="e">
        <f t="shared" si="131"/>
        <v>#N/A</v>
      </c>
      <c r="U1237">
        <f>C1237/Navio!$J$4</f>
        <v>15.464857714120352</v>
      </c>
    </row>
    <row r="1238" spans="1:21" x14ac:dyDescent="0.3">
      <c r="A1238">
        <v>1236</v>
      </c>
      <c r="B1238" s="47">
        <v>814.75418451390351</v>
      </c>
      <c r="C1238" s="46">
        <v>277.3071333187699</v>
      </c>
      <c r="D1238" s="1">
        <v>30</v>
      </c>
      <c r="E1238" s="1">
        <v>31</v>
      </c>
      <c r="F1238" s="1">
        <v>29</v>
      </c>
      <c r="G1238" s="1">
        <v>28</v>
      </c>
      <c r="H1238" s="1">
        <v>25</v>
      </c>
      <c r="I1238" s="1" t="s">
        <v>50</v>
      </c>
      <c r="J1238" s="1" t="s">
        <v>50</v>
      </c>
      <c r="K1238" s="1" t="s">
        <v>50</v>
      </c>
      <c r="L1238">
        <f t="shared" si="127"/>
        <v>165.08096849368502</v>
      </c>
      <c r="M1238">
        <f t="shared" si="126"/>
        <v>100.24730815672166</v>
      </c>
      <c r="N1238">
        <f t="shared" si="128"/>
        <v>473.00623656700782</v>
      </c>
      <c r="O1238">
        <f t="shared" si="129"/>
        <v>310</v>
      </c>
      <c r="P1238">
        <f t="shared" si="130"/>
        <v>157.92278957999292</v>
      </c>
      <c r="Q1238" t="e">
        <f t="shared" si="131"/>
        <v>#N/A</v>
      </c>
      <c r="U1238">
        <f>C1238/Navio!$J$4</f>
        <v>14.973400264210266</v>
      </c>
    </row>
    <row r="1239" spans="1:21" x14ac:dyDescent="0.3">
      <c r="A1239">
        <v>1237</v>
      </c>
      <c r="B1239" s="47">
        <v>855.64492816805387</v>
      </c>
      <c r="C1239" s="46">
        <v>281.78583461235201</v>
      </c>
      <c r="D1239" s="1">
        <v>28</v>
      </c>
      <c r="E1239" s="1">
        <v>29</v>
      </c>
      <c r="F1239" s="1">
        <v>30</v>
      </c>
      <c r="G1239" s="1">
        <v>33</v>
      </c>
      <c r="H1239" s="1">
        <v>25</v>
      </c>
      <c r="I1239" s="1" t="s">
        <v>50</v>
      </c>
      <c r="J1239" s="1" t="s">
        <v>50</v>
      </c>
      <c r="K1239" s="1" t="s">
        <v>50</v>
      </c>
      <c r="L1239">
        <f t="shared" si="127"/>
        <v>310</v>
      </c>
      <c r="M1239">
        <f t="shared" si="126"/>
        <v>473.00623656700782</v>
      </c>
      <c r="N1239">
        <f t="shared" si="128"/>
        <v>165.08096849368502</v>
      </c>
      <c r="O1239">
        <f t="shared" si="129"/>
        <v>141.13805181087204</v>
      </c>
      <c r="P1239">
        <f t="shared" si="130"/>
        <v>157.92278957999292</v>
      </c>
      <c r="Q1239" t="e">
        <f t="shared" si="131"/>
        <v>#N/A</v>
      </c>
      <c r="U1239">
        <f>C1239/Navio!$J$4</f>
        <v>15.215230996546865</v>
      </c>
    </row>
    <row r="1240" spans="1:21" x14ac:dyDescent="0.3">
      <c r="A1240">
        <v>1238</v>
      </c>
      <c r="B1240" s="47">
        <v>790.8112678310905</v>
      </c>
      <c r="C1240" s="46">
        <v>281.78256512501804</v>
      </c>
      <c r="D1240" s="1">
        <v>28</v>
      </c>
      <c r="E1240" s="1">
        <v>29</v>
      </c>
      <c r="F1240" s="1">
        <v>31</v>
      </c>
      <c r="G1240" s="1">
        <v>33</v>
      </c>
      <c r="H1240" s="1">
        <v>25</v>
      </c>
      <c r="I1240" s="1" t="s">
        <v>50</v>
      </c>
      <c r="J1240" s="1" t="s">
        <v>50</v>
      </c>
      <c r="K1240" s="1" t="s">
        <v>50</v>
      </c>
      <c r="L1240">
        <f t="shared" si="127"/>
        <v>310</v>
      </c>
      <c r="M1240">
        <f t="shared" si="126"/>
        <v>473.00623656700782</v>
      </c>
      <c r="N1240">
        <f t="shared" si="128"/>
        <v>100.24730815672166</v>
      </c>
      <c r="O1240">
        <f t="shared" si="129"/>
        <v>141.13805181087204</v>
      </c>
      <c r="P1240">
        <f t="shared" si="130"/>
        <v>157.92278957999292</v>
      </c>
      <c r="Q1240" t="e">
        <f t="shared" si="131"/>
        <v>#N/A</v>
      </c>
      <c r="U1240">
        <f>C1240/Navio!$J$4</f>
        <v>15.215054458201369</v>
      </c>
    </row>
    <row r="1241" spans="1:21" x14ac:dyDescent="0.3">
      <c r="A1241">
        <v>1239</v>
      </c>
      <c r="B1241" s="47">
        <v>719.38911804127167</v>
      </c>
      <c r="C1241" s="46">
        <v>281.75821765017264</v>
      </c>
      <c r="D1241" s="1">
        <v>28</v>
      </c>
      <c r="E1241" s="1">
        <v>30</v>
      </c>
      <c r="F1241" s="1">
        <v>31</v>
      </c>
      <c r="G1241" s="1">
        <v>33</v>
      </c>
      <c r="H1241" s="1">
        <v>25</v>
      </c>
      <c r="I1241" s="1" t="s">
        <v>50</v>
      </c>
      <c r="J1241" s="1" t="s">
        <v>50</v>
      </c>
      <c r="K1241" s="1" t="s">
        <v>50</v>
      </c>
      <c r="L1241">
        <f t="shared" si="127"/>
        <v>310</v>
      </c>
      <c r="M1241">
        <f t="shared" si="126"/>
        <v>165.08096849368502</v>
      </c>
      <c r="N1241">
        <f t="shared" si="128"/>
        <v>100.24730815672166</v>
      </c>
      <c r="O1241">
        <f t="shared" si="129"/>
        <v>141.13805181087204</v>
      </c>
      <c r="P1241">
        <f t="shared" si="130"/>
        <v>157.92278957999292</v>
      </c>
      <c r="Q1241" t="e">
        <f t="shared" si="131"/>
        <v>#N/A</v>
      </c>
      <c r="U1241">
        <f>C1241/Navio!$J$4</f>
        <v>15.21373979859662</v>
      </c>
    </row>
    <row r="1242" spans="1:21" x14ac:dyDescent="0.3">
      <c r="A1242">
        <v>1240</v>
      </c>
      <c r="B1242" s="47">
        <v>800.89223632477558</v>
      </c>
      <c r="C1242" s="46">
        <v>281.53694883117038</v>
      </c>
      <c r="D1242" s="1">
        <v>29</v>
      </c>
      <c r="E1242" s="1">
        <v>30</v>
      </c>
      <c r="F1242" s="1">
        <v>31</v>
      </c>
      <c r="G1242" s="1">
        <v>33</v>
      </c>
      <c r="H1242" s="1">
        <v>25</v>
      </c>
      <c r="I1242" s="1" t="s">
        <v>50</v>
      </c>
      <c r="J1242" s="1" t="s">
        <v>50</v>
      </c>
      <c r="K1242" s="1" t="s">
        <v>50</v>
      </c>
      <c r="L1242">
        <f t="shared" si="127"/>
        <v>473.00623656700782</v>
      </c>
      <c r="M1242">
        <f t="shared" si="126"/>
        <v>165.08096849368502</v>
      </c>
      <c r="N1242">
        <f t="shared" si="128"/>
        <v>100.24730815672166</v>
      </c>
      <c r="O1242">
        <f t="shared" si="129"/>
        <v>141.13805181087204</v>
      </c>
      <c r="P1242">
        <f t="shared" si="130"/>
        <v>157.92278957999292</v>
      </c>
      <c r="Q1242" t="e">
        <f t="shared" si="131"/>
        <v>#N/A</v>
      </c>
      <c r="U1242">
        <f>C1242/Navio!$J$4</f>
        <v>15.201792227853456</v>
      </c>
    </row>
    <row r="1243" spans="1:21" x14ac:dyDescent="0.3">
      <c r="A1243">
        <v>1241</v>
      </c>
      <c r="B1243" s="47">
        <v>876.48340371932147</v>
      </c>
      <c r="C1243" s="46">
        <v>287.46413068895015</v>
      </c>
      <c r="D1243" s="1">
        <v>28</v>
      </c>
      <c r="E1243" s="1">
        <v>31</v>
      </c>
      <c r="F1243" s="1">
        <v>33</v>
      </c>
      <c r="G1243" s="1">
        <v>27</v>
      </c>
      <c r="H1243" s="1">
        <v>26</v>
      </c>
      <c r="I1243" s="1" t="s">
        <v>50</v>
      </c>
      <c r="J1243" s="1" t="s">
        <v>50</v>
      </c>
      <c r="K1243" s="1" t="s">
        <v>50</v>
      </c>
      <c r="L1243">
        <f t="shared" si="127"/>
        <v>310</v>
      </c>
      <c r="M1243">
        <f t="shared" si="126"/>
        <v>100.24730815672166</v>
      </c>
      <c r="N1243">
        <f t="shared" si="128"/>
        <v>141.13805181087204</v>
      </c>
      <c r="O1243">
        <f t="shared" si="129"/>
        <v>259.31323779276431</v>
      </c>
      <c r="P1243">
        <f t="shared" si="130"/>
        <v>220.78480595896349</v>
      </c>
      <c r="Q1243" t="e">
        <f t="shared" si="131"/>
        <v>#N/A</v>
      </c>
      <c r="U1243">
        <f>C1243/Navio!$J$4</f>
        <v>15.521834721290803</v>
      </c>
    </row>
    <row r="1244" spans="1:21" x14ac:dyDescent="0.3">
      <c r="A1244">
        <v>1242</v>
      </c>
      <c r="B1244" s="47">
        <v>886.56437221300655</v>
      </c>
      <c r="C1244" s="46">
        <v>287.21480842037522</v>
      </c>
      <c r="D1244" s="1">
        <v>30</v>
      </c>
      <c r="E1244" s="1">
        <v>31</v>
      </c>
      <c r="F1244" s="1">
        <v>33</v>
      </c>
      <c r="G1244" s="1">
        <v>27</v>
      </c>
      <c r="H1244" s="1">
        <v>26</v>
      </c>
      <c r="I1244" s="1" t="s">
        <v>50</v>
      </c>
      <c r="J1244" s="1" t="s">
        <v>50</v>
      </c>
      <c r="K1244" s="1" t="s">
        <v>50</v>
      </c>
      <c r="L1244">
        <f t="shared" si="127"/>
        <v>165.08096849368502</v>
      </c>
      <c r="M1244">
        <f t="shared" si="126"/>
        <v>100.24730815672166</v>
      </c>
      <c r="N1244">
        <f t="shared" si="128"/>
        <v>141.13805181087204</v>
      </c>
      <c r="O1244">
        <f t="shared" si="129"/>
        <v>259.31323779276431</v>
      </c>
      <c r="P1244">
        <f t="shared" si="130"/>
        <v>220.78480595896349</v>
      </c>
      <c r="Q1244" t="e">
        <f t="shared" si="131"/>
        <v>#N/A</v>
      </c>
      <c r="U1244">
        <f>C1244/Navio!$J$4</f>
        <v>15.50837238414327</v>
      </c>
    </row>
    <row r="1245" spans="1:21" x14ac:dyDescent="0.3">
      <c r="A1245">
        <v>1243</v>
      </c>
      <c r="B1245" s="47">
        <v>877.61620089287408</v>
      </c>
      <c r="C1245" s="46">
        <v>284.16374298733439</v>
      </c>
      <c r="D1245" s="1">
        <v>28</v>
      </c>
      <c r="E1245" s="1">
        <v>29</v>
      </c>
      <c r="F1245" s="1">
        <v>30</v>
      </c>
      <c r="G1245" s="1">
        <v>31</v>
      </c>
      <c r="H1245" s="1">
        <v>26</v>
      </c>
      <c r="I1245" s="1" t="s">
        <v>50</v>
      </c>
      <c r="J1245" s="1" t="s">
        <v>50</v>
      </c>
      <c r="K1245" s="1" t="s">
        <v>50</v>
      </c>
      <c r="L1245">
        <f t="shared" si="127"/>
        <v>310</v>
      </c>
      <c r="M1245">
        <f t="shared" si="126"/>
        <v>473.00623656700782</v>
      </c>
      <c r="N1245">
        <f t="shared" si="128"/>
        <v>165.08096849368502</v>
      </c>
      <c r="O1245">
        <f t="shared" si="129"/>
        <v>100.24730815672166</v>
      </c>
      <c r="P1245">
        <f t="shared" si="130"/>
        <v>220.78480595896349</v>
      </c>
      <c r="Q1245" t="e">
        <f t="shared" si="131"/>
        <v>#N/A</v>
      </c>
      <c r="U1245">
        <f>C1245/Navio!$J$4</f>
        <v>15.343627887979514</v>
      </c>
    </row>
    <row r="1246" spans="1:21" x14ac:dyDescent="0.3">
      <c r="A1246">
        <v>1244</v>
      </c>
      <c r="B1246" s="47">
        <v>853.67328421006107</v>
      </c>
      <c r="C1246" s="46">
        <v>287.36267128943234</v>
      </c>
      <c r="D1246" s="1">
        <v>28</v>
      </c>
      <c r="E1246" s="1">
        <v>29</v>
      </c>
      <c r="F1246" s="1">
        <v>31</v>
      </c>
      <c r="G1246" s="1">
        <v>33</v>
      </c>
      <c r="H1246" s="1">
        <v>26</v>
      </c>
      <c r="I1246" s="1" t="s">
        <v>50</v>
      </c>
      <c r="J1246" s="1" t="s">
        <v>50</v>
      </c>
      <c r="K1246" s="1" t="s">
        <v>50</v>
      </c>
      <c r="L1246">
        <f t="shared" si="127"/>
        <v>310</v>
      </c>
      <c r="M1246">
        <f t="shared" si="126"/>
        <v>473.00623656700782</v>
      </c>
      <c r="N1246">
        <f t="shared" si="128"/>
        <v>100.24730815672166</v>
      </c>
      <c r="O1246">
        <f t="shared" si="129"/>
        <v>141.13805181087204</v>
      </c>
      <c r="P1246">
        <f t="shared" si="130"/>
        <v>220.78480595896349</v>
      </c>
      <c r="Q1246" t="e">
        <f t="shared" si="131"/>
        <v>#N/A</v>
      </c>
      <c r="U1246">
        <f>C1246/Navio!$J$4</f>
        <v>15.516356347253449</v>
      </c>
    </row>
    <row r="1247" spans="1:21" x14ac:dyDescent="0.3">
      <c r="A1247">
        <v>1245</v>
      </c>
      <c r="B1247" s="47">
        <v>782.25113442024224</v>
      </c>
      <c r="C1247" s="46">
        <v>287.33832381458694</v>
      </c>
      <c r="D1247" s="1">
        <v>28</v>
      </c>
      <c r="E1247" s="1">
        <v>30</v>
      </c>
      <c r="F1247" s="1">
        <v>31</v>
      </c>
      <c r="G1247" s="1">
        <v>33</v>
      </c>
      <c r="H1247" s="1">
        <v>26</v>
      </c>
      <c r="I1247" s="1" t="s">
        <v>50</v>
      </c>
      <c r="J1247" s="1" t="s">
        <v>50</v>
      </c>
      <c r="K1247" s="1" t="s">
        <v>50</v>
      </c>
      <c r="L1247">
        <f t="shared" si="127"/>
        <v>310</v>
      </c>
      <c r="M1247">
        <f t="shared" si="126"/>
        <v>165.08096849368502</v>
      </c>
      <c r="N1247">
        <f t="shared" si="128"/>
        <v>100.24730815672166</v>
      </c>
      <c r="O1247">
        <f t="shared" si="129"/>
        <v>141.13805181087204</v>
      </c>
      <c r="P1247">
        <f t="shared" si="130"/>
        <v>220.78480595896349</v>
      </c>
      <c r="Q1247" t="e">
        <f t="shared" si="131"/>
        <v>#N/A</v>
      </c>
      <c r="U1247">
        <f>C1247/Navio!$J$4</f>
        <v>15.515041687648701</v>
      </c>
    </row>
    <row r="1248" spans="1:21" x14ac:dyDescent="0.3">
      <c r="A1248">
        <v>1246</v>
      </c>
      <c r="B1248" s="47">
        <v>863.75425270374615</v>
      </c>
      <c r="C1248" s="46">
        <v>287.11705499558468</v>
      </c>
      <c r="D1248" s="1">
        <v>29</v>
      </c>
      <c r="E1248" s="1">
        <v>30</v>
      </c>
      <c r="F1248" s="1">
        <v>31</v>
      </c>
      <c r="G1248" s="1">
        <v>33</v>
      </c>
      <c r="H1248" s="1">
        <v>26</v>
      </c>
      <c r="I1248" s="1" t="s">
        <v>50</v>
      </c>
      <c r="J1248" s="1" t="s">
        <v>50</v>
      </c>
      <c r="K1248" s="1" t="s">
        <v>50</v>
      </c>
      <c r="L1248">
        <f t="shared" si="127"/>
        <v>473.00623656700782</v>
      </c>
      <c r="M1248">
        <f t="shared" si="126"/>
        <v>165.08096849368502</v>
      </c>
      <c r="N1248">
        <f t="shared" si="128"/>
        <v>100.24730815672166</v>
      </c>
      <c r="O1248">
        <f t="shared" si="129"/>
        <v>141.13805181087204</v>
      </c>
      <c r="P1248">
        <f t="shared" si="130"/>
        <v>220.78480595896349</v>
      </c>
      <c r="Q1248" t="e">
        <f t="shared" si="131"/>
        <v>#N/A</v>
      </c>
      <c r="U1248">
        <f>C1248/Navio!$J$4</f>
        <v>15.503094116905537</v>
      </c>
    </row>
    <row r="1249" spans="1:21" x14ac:dyDescent="0.3">
      <c r="A1249">
        <v>1247</v>
      </c>
      <c r="B1249" s="47">
        <v>892.20171604386189</v>
      </c>
      <c r="C1249" s="46">
        <v>286.27204448270646</v>
      </c>
      <c r="D1249" s="1">
        <v>28</v>
      </c>
      <c r="E1249" s="1">
        <v>29</v>
      </c>
      <c r="F1249" s="1">
        <v>31</v>
      </c>
      <c r="G1249" s="1">
        <v>33</v>
      </c>
      <c r="H1249" s="1">
        <v>27</v>
      </c>
      <c r="I1249" s="1" t="s">
        <v>50</v>
      </c>
      <c r="J1249" s="1" t="s">
        <v>50</v>
      </c>
      <c r="K1249" s="1" t="s">
        <v>50</v>
      </c>
      <c r="L1249">
        <f t="shared" si="127"/>
        <v>310</v>
      </c>
      <c r="M1249">
        <f t="shared" si="126"/>
        <v>473.00623656700782</v>
      </c>
      <c r="N1249">
        <f t="shared" si="128"/>
        <v>100.24730815672166</v>
      </c>
      <c r="O1249">
        <f t="shared" si="129"/>
        <v>141.13805181087204</v>
      </c>
      <c r="P1249">
        <f t="shared" si="130"/>
        <v>259.31323779276431</v>
      </c>
      <c r="Q1249" t="e">
        <f t="shared" si="131"/>
        <v>#N/A</v>
      </c>
      <c r="U1249">
        <f>C1249/Navio!$J$4</f>
        <v>15.457467159944979</v>
      </c>
    </row>
    <row r="1250" spans="1:21" x14ac:dyDescent="0.3">
      <c r="A1250">
        <v>1248</v>
      </c>
      <c r="B1250" s="47">
        <v>820.77956625404306</v>
      </c>
      <c r="C1250" s="46">
        <v>286.24769700786112</v>
      </c>
      <c r="D1250" s="1">
        <v>28</v>
      </c>
      <c r="E1250" s="1">
        <v>30</v>
      </c>
      <c r="F1250" s="1">
        <v>31</v>
      </c>
      <c r="G1250" s="1">
        <v>33</v>
      </c>
      <c r="H1250" s="1">
        <v>27</v>
      </c>
      <c r="I1250" s="1" t="s">
        <v>50</v>
      </c>
      <c r="J1250" s="1" t="s">
        <v>50</v>
      </c>
      <c r="K1250" s="1" t="s">
        <v>50</v>
      </c>
      <c r="L1250">
        <f t="shared" si="127"/>
        <v>310</v>
      </c>
      <c r="M1250">
        <f t="shared" si="126"/>
        <v>165.08096849368502</v>
      </c>
      <c r="N1250">
        <f t="shared" si="128"/>
        <v>100.24730815672166</v>
      </c>
      <c r="O1250">
        <f t="shared" si="129"/>
        <v>141.13805181087204</v>
      </c>
      <c r="P1250">
        <f t="shared" si="130"/>
        <v>259.31323779276431</v>
      </c>
      <c r="Q1250" t="e">
        <f t="shared" si="131"/>
        <v>#N/A</v>
      </c>
      <c r="U1250">
        <f>C1250/Navio!$J$4</f>
        <v>15.456152500340233</v>
      </c>
    </row>
    <row r="1251" spans="1:21" x14ac:dyDescent="0.3">
      <c r="A1251">
        <v>1249</v>
      </c>
      <c r="B1251" s="47">
        <v>797.96944674478266</v>
      </c>
      <c r="C1251" s="46">
        <v>279.42525709510983</v>
      </c>
      <c r="D1251" s="1">
        <v>29</v>
      </c>
      <c r="E1251" s="1">
        <v>30</v>
      </c>
      <c r="F1251" s="1">
        <v>31</v>
      </c>
      <c r="G1251" s="1">
        <v>33</v>
      </c>
      <c r="H1251" s="1">
        <v>28</v>
      </c>
      <c r="I1251" s="1" t="s">
        <v>50</v>
      </c>
      <c r="J1251" s="1" t="s">
        <v>50</v>
      </c>
      <c r="K1251" s="1" t="s">
        <v>50</v>
      </c>
      <c r="L1251">
        <f t="shared" si="127"/>
        <v>473.00623656700782</v>
      </c>
      <c r="M1251">
        <f t="shared" si="126"/>
        <v>165.08096849368502</v>
      </c>
      <c r="N1251">
        <f t="shared" si="128"/>
        <v>100.24730815672166</v>
      </c>
      <c r="O1251">
        <f t="shared" si="129"/>
        <v>141.13805181087204</v>
      </c>
      <c r="P1251">
        <f t="shared" si="130"/>
        <v>310</v>
      </c>
      <c r="Q1251" t="e">
        <f t="shared" si="131"/>
        <v>#N/A</v>
      </c>
      <c r="U1251">
        <f>C1251/Navio!$J$4</f>
        <v>15.087769897377331</v>
      </c>
    </row>
    <row r="1252" spans="1:21" x14ac:dyDescent="0.3">
      <c r="A1252">
        <v>1250</v>
      </c>
      <c r="B1252" s="47">
        <v>270.48080963039234</v>
      </c>
      <c r="C1252" s="46">
        <v>297.47537244244234</v>
      </c>
      <c r="D1252" s="1">
        <v>34</v>
      </c>
      <c r="E1252" s="1" t="s">
        <v>50</v>
      </c>
      <c r="F1252" s="1" t="s">
        <v>50</v>
      </c>
      <c r="G1252" s="1" t="s">
        <v>50</v>
      </c>
      <c r="H1252" s="1" t="s">
        <v>50</v>
      </c>
      <c r="I1252" s="1" t="s">
        <v>50</v>
      </c>
      <c r="J1252" s="1" t="s">
        <v>50</v>
      </c>
      <c r="K1252" s="1" t="s">
        <v>50</v>
      </c>
      <c r="L1252">
        <f t="shared" si="127"/>
        <v>270.48080963039234</v>
      </c>
      <c r="M1252" t="e">
        <f t="shared" si="126"/>
        <v>#N/A</v>
      </c>
      <c r="N1252" t="e">
        <f t="shared" si="128"/>
        <v>#N/A</v>
      </c>
      <c r="O1252" t="e">
        <f t="shared" si="129"/>
        <v>#N/A</v>
      </c>
      <c r="P1252" t="e">
        <f t="shared" si="130"/>
        <v>#N/A</v>
      </c>
      <c r="Q1252" t="e">
        <f t="shared" si="131"/>
        <v>#N/A</v>
      </c>
      <c r="U1252">
        <f>C1252/Navio!$J$4</f>
        <v>16.062398997884788</v>
      </c>
    </row>
    <row r="1253" spans="1:21" x14ac:dyDescent="0.3">
      <c r="A1253">
        <v>1251</v>
      </c>
      <c r="B1253" s="47">
        <v>153.37368866307943</v>
      </c>
      <c r="C1253" s="46">
        <v>305.28758843417796</v>
      </c>
      <c r="D1253" s="1">
        <v>35</v>
      </c>
      <c r="E1253" s="1" t="s">
        <v>50</v>
      </c>
      <c r="F1253" s="1" t="s">
        <v>50</v>
      </c>
      <c r="G1253" s="1" t="s">
        <v>50</v>
      </c>
      <c r="H1253" s="1" t="s">
        <v>50</v>
      </c>
      <c r="I1253" s="1" t="s">
        <v>50</v>
      </c>
      <c r="J1253" s="1" t="s">
        <v>50</v>
      </c>
      <c r="K1253" s="1" t="s">
        <v>50</v>
      </c>
      <c r="L1253">
        <f t="shared" si="127"/>
        <v>153.37368866307943</v>
      </c>
      <c r="M1253" t="e">
        <f t="shared" si="126"/>
        <v>#N/A</v>
      </c>
      <c r="N1253" t="e">
        <f t="shared" si="128"/>
        <v>#N/A</v>
      </c>
      <c r="O1253" t="e">
        <f t="shared" si="129"/>
        <v>#N/A</v>
      </c>
      <c r="P1253" t="e">
        <f t="shared" si="130"/>
        <v>#N/A</v>
      </c>
      <c r="Q1253" t="e">
        <f t="shared" si="131"/>
        <v>#N/A</v>
      </c>
      <c r="U1253">
        <f>C1253/Navio!$J$4</f>
        <v>16.484225279793868</v>
      </c>
    </row>
    <row r="1254" spans="1:21" x14ac:dyDescent="0.3">
      <c r="A1254">
        <v>1252</v>
      </c>
      <c r="B1254" s="47">
        <v>217.21024133842053</v>
      </c>
      <c r="C1254" s="46">
        <v>308.0050670118095</v>
      </c>
      <c r="D1254" s="1">
        <v>36</v>
      </c>
      <c r="E1254" s="1" t="s">
        <v>50</v>
      </c>
      <c r="F1254" s="1" t="s">
        <v>50</v>
      </c>
      <c r="G1254" s="1" t="s">
        <v>50</v>
      </c>
      <c r="H1254" s="1" t="s">
        <v>50</v>
      </c>
      <c r="I1254" s="1" t="s">
        <v>50</v>
      </c>
      <c r="J1254" s="1" t="s">
        <v>50</v>
      </c>
      <c r="K1254" s="1" t="s">
        <v>50</v>
      </c>
      <c r="L1254">
        <f t="shared" si="127"/>
        <v>217.21024133842053</v>
      </c>
      <c r="M1254" t="e">
        <f t="shared" si="126"/>
        <v>#N/A</v>
      </c>
      <c r="N1254" t="e">
        <f t="shared" si="128"/>
        <v>#N/A</v>
      </c>
      <c r="O1254" t="e">
        <f t="shared" si="129"/>
        <v>#N/A</v>
      </c>
      <c r="P1254" t="e">
        <f t="shared" si="130"/>
        <v>#N/A</v>
      </c>
      <c r="Q1254" t="e">
        <f t="shared" si="131"/>
        <v>#N/A</v>
      </c>
      <c r="U1254">
        <f>C1254/Navio!$J$4</f>
        <v>16.630957511184107</v>
      </c>
    </row>
    <row r="1255" spans="1:21" x14ac:dyDescent="0.3">
      <c r="A1255">
        <v>1253</v>
      </c>
      <c r="B1255" s="47">
        <v>257.99725663407816</v>
      </c>
      <c r="C1255" s="46">
        <v>307.98936347107912</v>
      </c>
      <c r="D1255" s="1">
        <v>37</v>
      </c>
      <c r="E1255" s="1" t="s">
        <v>50</v>
      </c>
      <c r="F1255" s="1" t="s">
        <v>50</v>
      </c>
      <c r="G1255" s="1" t="s">
        <v>50</v>
      </c>
      <c r="H1255" s="1" t="s">
        <v>50</v>
      </c>
      <c r="I1255" s="1" t="s">
        <v>50</v>
      </c>
      <c r="J1255" s="1" t="s">
        <v>50</v>
      </c>
      <c r="K1255" s="1" t="s">
        <v>50</v>
      </c>
      <c r="L1255">
        <f t="shared" si="127"/>
        <v>257.99725663407816</v>
      </c>
      <c r="M1255" t="e">
        <f t="shared" si="126"/>
        <v>#N/A</v>
      </c>
      <c r="N1255" t="e">
        <f t="shared" si="128"/>
        <v>#N/A</v>
      </c>
      <c r="O1255" t="e">
        <f t="shared" si="129"/>
        <v>#N/A</v>
      </c>
      <c r="P1255" t="e">
        <f t="shared" si="130"/>
        <v>#N/A</v>
      </c>
      <c r="Q1255" t="e">
        <f t="shared" si="131"/>
        <v>#N/A</v>
      </c>
      <c r="U1255">
        <f>C1255/Navio!$J$4</f>
        <v>16.630109587085986</v>
      </c>
    </row>
    <row r="1256" spans="1:21" x14ac:dyDescent="0.3">
      <c r="A1256">
        <v>1254</v>
      </c>
      <c r="B1256" s="47">
        <v>221.02091728659002</v>
      </c>
      <c r="C1256" s="46">
        <v>310.40095662051061</v>
      </c>
      <c r="D1256" s="1">
        <v>38</v>
      </c>
      <c r="E1256" s="1" t="s">
        <v>50</v>
      </c>
      <c r="F1256" s="1" t="s">
        <v>50</v>
      </c>
      <c r="G1256" s="1" t="s">
        <v>50</v>
      </c>
      <c r="H1256" s="1" t="s">
        <v>50</v>
      </c>
      <c r="I1256" s="1" t="s">
        <v>50</v>
      </c>
      <c r="J1256" s="1" t="s">
        <v>50</v>
      </c>
      <c r="K1256" s="1" t="s">
        <v>50</v>
      </c>
      <c r="L1256">
        <f t="shared" si="127"/>
        <v>221.02091728659002</v>
      </c>
      <c r="M1256" t="e">
        <f t="shared" si="126"/>
        <v>#N/A</v>
      </c>
      <c r="N1256" t="e">
        <f t="shared" si="128"/>
        <v>#N/A</v>
      </c>
      <c r="O1256" t="e">
        <f t="shared" si="129"/>
        <v>#N/A</v>
      </c>
      <c r="P1256" t="e">
        <f t="shared" si="130"/>
        <v>#N/A</v>
      </c>
      <c r="Q1256" t="e">
        <f t="shared" si="131"/>
        <v>#N/A</v>
      </c>
      <c r="U1256">
        <f>C1256/Navio!$J$4</f>
        <v>16.760325312403651</v>
      </c>
    </row>
    <row r="1257" spans="1:21" x14ac:dyDescent="0.3">
      <c r="A1257">
        <v>1255</v>
      </c>
      <c r="B1257" s="47">
        <v>511.39466425029991</v>
      </c>
      <c r="C1257" s="46">
        <v>312.26428580814314</v>
      </c>
      <c r="D1257" s="1">
        <v>39</v>
      </c>
      <c r="E1257" s="1" t="s">
        <v>50</v>
      </c>
      <c r="F1257" s="1" t="s">
        <v>50</v>
      </c>
      <c r="G1257" s="1" t="s">
        <v>50</v>
      </c>
      <c r="H1257" s="1" t="s">
        <v>50</v>
      </c>
      <c r="I1257" s="1" t="s">
        <v>50</v>
      </c>
      <c r="J1257" s="1" t="s">
        <v>50</v>
      </c>
      <c r="K1257" s="1" t="s">
        <v>50</v>
      </c>
      <c r="L1257">
        <f t="shared" si="127"/>
        <v>511.39466425029991</v>
      </c>
      <c r="M1257" t="e">
        <f t="shared" si="126"/>
        <v>#N/A</v>
      </c>
      <c r="N1257" t="e">
        <f t="shared" si="128"/>
        <v>#N/A</v>
      </c>
      <c r="O1257" t="e">
        <f t="shared" si="129"/>
        <v>#N/A</v>
      </c>
      <c r="P1257" t="e">
        <f t="shared" si="130"/>
        <v>#N/A</v>
      </c>
      <c r="Q1257" t="e">
        <f t="shared" si="131"/>
        <v>#N/A</v>
      </c>
      <c r="U1257">
        <f>C1257/Navio!$J$4</f>
        <v>16.860937126519286</v>
      </c>
    </row>
    <row r="1258" spans="1:21" x14ac:dyDescent="0.3">
      <c r="A1258">
        <v>1256</v>
      </c>
      <c r="B1258" s="47">
        <v>48.60630097974996</v>
      </c>
      <c r="C1258" s="46">
        <v>314.06405314041058</v>
      </c>
      <c r="D1258" s="1">
        <v>40</v>
      </c>
      <c r="E1258" s="1" t="s">
        <v>50</v>
      </c>
      <c r="F1258" s="1" t="s">
        <v>50</v>
      </c>
      <c r="G1258" s="1" t="s">
        <v>50</v>
      </c>
      <c r="H1258" s="1" t="s">
        <v>50</v>
      </c>
      <c r="I1258" s="1" t="s">
        <v>50</v>
      </c>
      <c r="J1258" s="1" t="s">
        <v>50</v>
      </c>
      <c r="K1258" s="1" t="s">
        <v>50</v>
      </c>
      <c r="L1258">
        <f t="shared" si="127"/>
        <v>145.81890293924988</v>
      </c>
      <c r="M1258" t="e">
        <f t="shared" si="126"/>
        <v>#N/A</v>
      </c>
      <c r="N1258" t="e">
        <f t="shared" si="128"/>
        <v>#N/A</v>
      </c>
      <c r="O1258" t="e">
        <f t="shared" si="129"/>
        <v>#N/A</v>
      </c>
      <c r="P1258" t="e">
        <f t="shared" si="130"/>
        <v>#N/A</v>
      </c>
      <c r="Q1258" t="e">
        <f t="shared" si="131"/>
        <v>#N/A</v>
      </c>
      <c r="U1258">
        <f>C1258/Navio!$J$4</f>
        <v>16.958116872045384</v>
      </c>
    </row>
    <row r="1259" spans="1:21" x14ac:dyDescent="0.3">
      <c r="A1259">
        <v>1257</v>
      </c>
      <c r="B1259" s="47">
        <v>155</v>
      </c>
      <c r="C1259" s="46">
        <v>319.91950295314183</v>
      </c>
      <c r="D1259" s="1">
        <v>41</v>
      </c>
      <c r="E1259" s="1" t="s">
        <v>50</v>
      </c>
      <c r="F1259" s="1" t="s">
        <v>50</v>
      </c>
      <c r="G1259" s="1" t="s">
        <v>50</v>
      </c>
      <c r="H1259" s="1" t="s">
        <v>50</v>
      </c>
      <c r="I1259" s="1" t="s">
        <v>50</v>
      </c>
      <c r="J1259" s="1" t="s">
        <v>50</v>
      </c>
      <c r="K1259" s="1" t="s">
        <v>50</v>
      </c>
      <c r="L1259">
        <f t="shared" si="127"/>
        <v>310</v>
      </c>
      <c r="M1259" t="e">
        <f t="shared" si="126"/>
        <v>#N/A</v>
      </c>
      <c r="N1259" t="e">
        <f t="shared" si="128"/>
        <v>#N/A</v>
      </c>
      <c r="O1259" t="e">
        <f t="shared" si="129"/>
        <v>#N/A</v>
      </c>
      <c r="P1259" t="e">
        <f t="shared" si="130"/>
        <v>#N/A</v>
      </c>
      <c r="Q1259" t="e">
        <f t="shared" si="131"/>
        <v>#N/A</v>
      </c>
      <c r="U1259">
        <f>C1259/Navio!$J$4</f>
        <v>17.274286141561561</v>
      </c>
    </row>
    <row r="1260" spans="1:21" x14ac:dyDescent="0.3">
      <c r="A1260">
        <v>1258</v>
      </c>
      <c r="B1260" s="47">
        <v>423.85449829347181</v>
      </c>
      <c r="C1260" s="46">
        <v>309.83860520551673</v>
      </c>
      <c r="D1260" s="1">
        <v>34</v>
      </c>
      <c r="E1260" s="1">
        <v>35</v>
      </c>
      <c r="F1260" s="1" t="s">
        <v>50</v>
      </c>
      <c r="G1260" s="1" t="s">
        <v>50</v>
      </c>
      <c r="H1260" s="1" t="s">
        <v>50</v>
      </c>
      <c r="I1260" s="1" t="s">
        <v>50</v>
      </c>
      <c r="J1260" s="1" t="s">
        <v>50</v>
      </c>
      <c r="K1260" s="1" t="s">
        <v>50</v>
      </c>
      <c r="L1260">
        <f t="shared" si="127"/>
        <v>270.48080963039234</v>
      </c>
      <c r="M1260">
        <f t="shared" si="126"/>
        <v>153.37368866307943</v>
      </c>
      <c r="N1260" t="e">
        <f t="shared" si="128"/>
        <v>#N/A</v>
      </c>
      <c r="O1260" t="e">
        <f t="shared" si="129"/>
        <v>#N/A</v>
      </c>
      <c r="P1260" t="e">
        <f t="shared" si="130"/>
        <v>#N/A</v>
      </c>
      <c r="Q1260" t="e">
        <f t="shared" si="131"/>
        <v>#N/A</v>
      </c>
      <c r="U1260">
        <f>C1260/Navio!$J$4</f>
        <v>16.729960738924866</v>
      </c>
    </row>
    <row r="1261" spans="1:21" x14ac:dyDescent="0.3">
      <c r="A1261">
        <v>1259</v>
      </c>
      <c r="B1261" s="47">
        <v>487.69105096881287</v>
      </c>
      <c r="C1261" s="46">
        <v>313.4312043845606</v>
      </c>
      <c r="D1261" s="1">
        <v>34</v>
      </c>
      <c r="E1261" s="1">
        <v>36</v>
      </c>
      <c r="F1261" s="1" t="s">
        <v>50</v>
      </c>
      <c r="G1261" s="1" t="s">
        <v>50</v>
      </c>
      <c r="H1261" s="1" t="s">
        <v>50</v>
      </c>
      <c r="I1261" s="1" t="s">
        <v>50</v>
      </c>
      <c r="J1261" s="1" t="s">
        <v>50</v>
      </c>
      <c r="K1261" s="1" t="s">
        <v>50</v>
      </c>
      <c r="L1261">
        <f t="shared" si="127"/>
        <v>270.48080963039234</v>
      </c>
      <c r="M1261">
        <f t="shared" si="126"/>
        <v>217.21024133842053</v>
      </c>
      <c r="N1261" t="e">
        <f t="shared" si="128"/>
        <v>#N/A</v>
      </c>
      <c r="O1261" t="e">
        <f t="shared" si="129"/>
        <v>#N/A</v>
      </c>
      <c r="P1261" t="e">
        <f t="shared" si="130"/>
        <v>#N/A</v>
      </c>
      <c r="Q1261" t="e">
        <f t="shared" si="131"/>
        <v>#N/A</v>
      </c>
      <c r="U1261">
        <f>C1261/Navio!$J$4</f>
        <v>16.923945743395922</v>
      </c>
    </row>
    <row r="1262" spans="1:21" x14ac:dyDescent="0.3">
      <c r="A1262">
        <v>1260</v>
      </c>
      <c r="B1262" s="47">
        <v>528.4780662644705</v>
      </c>
      <c r="C1262" s="46">
        <v>308.7932047697206</v>
      </c>
      <c r="D1262" s="1">
        <v>34</v>
      </c>
      <c r="E1262" s="1">
        <v>37</v>
      </c>
      <c r="F1262" s="1" t="s">
        <v>50</v>
      </c>
      <c r="G1262" s="1" t="s">
        <v>50</v>
      </c>
      <c r="H1262" s="1" t="s">
        <v>50</v>
      </c>
      <c r="I1262" s="1" t="s">
        <v>50</v>
      </c>
      <c r="J1262" s="1" t="s">
        <v>50</v>
      </c>
      <c r="K1262" s="1" t="s">
        <v>50</v>
      </c>
      <c r="L1262">
        <f t="shared" si="127"/>
        <v>270.48080963039234</v>
      </c>
      <c r="M1262">
        <f t="shared" si="126"/>
        <v>257.99725663407816</v>
      </c>
      <c r="N1262" t="e">
        <f t="shared" si="128"/>
        <v>#N/A</v>
      </c>
      <c r="O1262" t="e">
        <f t="shared" si="129"/>
        <v>#N/A</v>
      </c>
      <c r="P1262" t="e">
        <f t="shared" si="130"/>
        <v>#N/A</v>
      </c>
      <c r="Q1262" t="e">
        <f t="shared" si="131"/>
        <v>#N/A</v>
      </c>
      <c r="U1262">
        <f>C1262/Navio!$J$4</f>
        <v>16.673513582394055</v>
      </c>
    </row>
    <row r="1263" spans="1:21" x14ac:dyDescent="0.3">
      <c r="A1263">
        <v>1261</v>
      </c>
      <c r="B1263" s="47">
        <v>491.50172691698236</v>
      </c>
      <c r="C1263" s="46">
        <v>315.97209307123836</v>
      </c>
      <c r="D1263" s="1">
        <v>34</v>
      </c>
      <c r="E1263" s="1">
        <v>38</v>
      </c>
      <c r="F1263" s="1" t="s">
        <v>50</v>
      </c>
      <c r="G1263" s="1" t="s">
        <v>50</v>
      </c>
      <c r="H1263" s="1" t="s">
        <v>50</v>
      </c>
      <c r="I1263" s="1" t="s">
        <v>50</v>
      </c>
      <c r="J1263" s="1" t="s">
        <v>50</v>
      </c>
      <c r="K1263" s="1" t="s">
        <v>50</v>
      </c>
      <c r="L1263">
        <f t="shared" si="127"/>
        <v>270.48080963039234</v>
      </c>
      <c r="M1263">
        <f t="shared" si="126"/>
        <v>221.02091728659002</v>
      </c>
      <c r="N1263" t="e">
        <f t="shared" si="128"/>
        <v>#N/A</v>
      </c>
      <c r="O1263" t="e">
        <f t="shared" si="129"/>
        <v>#N/A</v>
      </c>
      <c r="P1263" t="e">
        <f t="shared" si="130"/>
        <v>#N/A</v>
      </c>
      <c r="Q1263" t="e">
        <f t="shared" si="131"/>
        <v>#N/A</v>
      </c>
      <c r="U1263">
        <f>C1263/Navio!$J$4</f>
        <v>17.061142875244297</v>
      </c>
    </row>
    <row r="1264" spans="1:21" x14ac:dyDescent="0.3">
      <c r="A1264">
        <v>1262</v>
      </c>
      <c r="B1264" s="47">
        <v>781.8754738806922</v>
      </c>
      <c r="C1264" s="46">
        <v>321.05643075398194</v>
      </c>
      <c r="D1264" s="1">
        <v>34</v>
      </c>
      <c r="E1264" s="1">
        <v>39</v>
      </c>
      <c r="F1264" s="1" t="s">
        <v>50</v>
      </c>
      <c r="G1264" s="1" t="s">
        <v>50</v>
      </c>
      <c r="H1264" s="1" t="s">
        <v>50</v>
      </c>
      <c r="I1264" s="1" t="s">
        <v>50</v>
      </c>
      <c r="J1264" s="1" t="s">
        <v>50</v>
      </c>
      <c r="K1264" s="1" t="s">
        <v>50</v>
      </c>
      <c r="L1264">
        <f t="shared" si="127"/>
        <v>270.48080963039234</v>
      </c>
      <c r="M1264">
        <f t="shared" si="126"/>
        <v>511.39466425029991</v>
      </c>
      <c r="N1264" t="e">
        <f t="shared" si="128"/>
        <v>#N/A</v>
      </c>
      <c r="O1264" t="e">
        <f t="shared" si="129"/>
        <v>#N/A</v>
      </c>
      <c r="P1264" t="e">
        <f t="shared" si="130"/>
        <v>#N/A</v>
      </c>
      <c r="Q1264" t="e">
        <f t="shared" si="131"/>
        <v>#N/A</v>
      </c>
      <c r="U1264">
        <f>C1264/Navio!$J$4</f>
        <v>17.33567538470778</v>
      </c>
    </row>
    <row r="1265" spans="1:21" x14ac:dyDescent="0.3">
      <c r="A1265">
        <v>1263</v>
      </c>
      <c r="B1265" s="47">
        <v>319.0871106101423</v>
      </c>
      <c r="C1265" s="46">
        <v>324.19528229329103</v>
      </c>
      <c r="D1265" s="1">
        <v>34</v>
      </c>
      <c r="E1265" s="1">
        <v>40</v>
      </c>
      <c r="F1265" s="1" t="s">
        <v>50</v>
      </c>
      <c r="G1265" s="1" t="s">
        <v>50</v>
      </c>
      <c r="H1265" s="1" t="s">
        <v>50</v>
      </c>
      <c r="I1265" s="1" t="s">
        <v>50</v>
      </c>
      <c r="J1265" s="1" t="s">
        <v>50</v>
      </c>
      <c r="K1265" s="1" t="s">
        <v>50</v>
      </c>
      <c r="L1265">
        <f t="shared" si="127"/>
        <v>270.48080963039234</v>
      </c>
      <c r="M1265">
        <f t="shared" si="126"/>
        <v>145.81890293924988</v>
      </c>
      <c r="N1265" t="e">
        <f t="shared" si="128"/>
        <v>#N/A</v>
      </c>
      <c r="O1265" t="e">
        <f t="shared" si="129"/>
        <v>#N/A</v>
      </c>
      <c r="P1265" t="e">
        <f t="shared" si="130"/>
        <v>#N/A</v>
      </c>
      <c r="Q1265" t="e">
        <f t="shared" si="131"/>
        <v>#N/A</v>
      </c>
      <c r="U1265">
        <f>C1265/Navio!$J$4</f>
        <v>17.505159955499476</v>
      </c>
    </row>
    <row r="1266" spans="1:21" x14ac:dyDescent="0.3">
      <c r="A1266">
        <v>1264</v>
      </c>
      <c r="B1266" s="47">
        <v>425.48080963039234</v>
      </c>
      <c r="C1266" s="46">
        <v>335.08170311178878</v>
      </c>
      <c r="D1266" s="1">
        <v>34</v>
      </c>
      <c r="E1266" s="1">
        <v>41</v>
      </c>
      <c r="F1266" s="1" t="s">
        <v>50</v>
      </c>
      <c r="G1266" s="1" t="s">
        <v>50</v>
      </c>
      <c r="H1266" s="1" t="s">
        <v>50</v>
      </c>
      <c r="I1266" s="1" t="s">
        <v>50</v>
      </c>
      <c r="J1266" s="1" t="s">
        <v>50</v>
      </c>
      <c r="K1266" s="1" t="s">
        <v>50</v>
      </c>
      <c r="L1266">
        <f t="shared" si="127"/>
        <v>270.48080963039234</v>
      </c>
      <c r="M1266">
        <f t="shared" si="126"/>
        <v>310</v>
      </c>
      <c r="N1266" t="e">
        <f t="shared" si="128"/>
        <v>#N/A</v>
      </c>
      <c r="O1266" t="e">
        <f t="shared" si="129"/>
        <v>#N/A</v>
      </c>
      <c r="P1266" t="e">
        <f t="shared" si="130"/>
        <v>#N/A</v>
      </c>
      <c r="Q1266" t="e">
        <f t="shared" si="131"/>
        <v>#N/A</v>
      </c>
      <c r="U1266">
        <f>C1266/Navio!$J$4</f>
        <v>18.092980161958497</v>
      </c>
    </row>
    <row r="1267" spans="1:21" x14ac:dyDescent="0.3">
      <c r="A1267">
        <v>1265</v>
      </c>
      <c r="B1267" s="47">
        <v>370.58393000149999</v>
      </c>
      <c r="C1267" s="46">
        <v>308.89696574052539</v>
      </c>
      <c r="D1267" s="1">
        <v>35</v>
      </c>
      <c r="E1267" s="1">
        <v>36</v>
      </c>
      <c r="F1267" s="1" t="s">
        <v>50</v>
      </c>
      <c r="G1267" s="1" t="s">
        <v>50</v>
      </c>
      <c r="H1267" s="1" t="s">
        <v>50</v>
      </c>
      <c r="I1267" s="1" t="s">
        <v>50</v>
      </c>
      <c r="J1267" s="1" t="s">
        <v>50</v>
      </c>
      <c r="K1267" s="1" t="s">
        <v>50</v>
      </c>
      <c r="L1267">
        <f t="shared" si="127"/>
        <v>153.37368866307943</v>
      </c>
      <c r="M1267">
        <f t="shared" si="126"/>
        <v>217.21024133842053</v>
      </c>
      <c r="N1267" t="e">
        <f t="shared" si="128"/>
        <v>#N/A</v>
      </c>
      <c r="O1267" t="e">
        <f t="shared" si="129"/>
        <v>#N/A</v>
      </c>
      <c r="P1267" t="e">
        <f t="shared" si="130"/>
        <v>#N/A</v>
      </c>
      <c r="Q1267" t="e">
        <f t="shared" si="131"/>
        <v>#N/A</v>
      </c>
      <c r="U1267">
        <f>C1267/Navio!$J$4</f>
        <v>16.67911623144628</v>
      </c>
    </row>
    <row r="1268" spans="1:21" x14ac:dyDescent="0.3">
      <c r="A1268">
        <v>1266</v>
      </c>
      <c r="B1268" s="47">
        <v>411.37094529715762</v>
      </c>
      <c r="C1268" s="46">
        <v>311.41105080738811</v>
      </c>
      <c r="D1268" s="1">
        <v>35</v>
      </c>
      <c r="E1268" s="1">
        <v>37</v>
      </c>
      <c r="F1268" s="1" t="s">
        <v>50</v>
      </c>
      <c r="G1268" s="1" t="s">
        <v>50</v>
      </c>
      <c r="H1268" s="1" t="s">
        <v>50</v>
      </c>
      <c r="I1268" s="1" t="s">
        <v>50</v>
      </c>
      <c r="J1268" s="1" t="s">
        <v>50</v>
      </c>
      <c r="K1268" s="1" t="s">
        <v>50</v>
      </c>
      <c r="L1268">
        <f t="shared" si="127"/>
        <v>153.37368866307943</v>
      </c>
      <c r="M1268">
        <f t="shared" si="126"/>
        <v>257.99725663407816</v>
      </c>
      <c r="N1268" t="e">
        <f t="shared" si="128"/>
        <v>#N/A</v>
      </c>
      <c r="O1268" t="e">
        <f t="shared" si="129"/>
        <v>#N/A</v>
      </c>
      <c r="P1268" t="e">
        <f t="shared" si="130"/>
        <v>#N/A</v>
      </c>
      <c r="Q1268" t="e">
        <f t="shared" si="131"/>
        <v>#N/A</v>
      </c>
      <c r="U1268">
        <f>C1268/Navio!$J$4</f>
        <v>16.814866082356662</v>
      </c>
    </row>
    <row r="1269" spans="1:21" x14ac:dyDescent="0.3">
      <c r="A1269">
        <v>1267</v>
      </c>
      <c r="B1269" s="47">
        <v>374.39460594966943</v>
      </c>
      <c r="C1269" s="46">
        <v>311.50681613985273</v>
      </c>
      <c r="D1269" s="1">
        <v>35</v>
      </c>
      <c r="E1269" s="1">
        <v>38</v>
      </c>
      <c r="F1269" s="1" t="s">
        <v>50</v>
      </c>
      <c r="G1269" s="1" t="s">
        <v>50</v>
      </c>
      <c r="H1269" s="1" t="s">
        <v>50</v>
      </c>
      <c r="I1269" s="1" t="s">
        <v>50</v>
      </c>
      <c r="J1269" s="1" t="s">
        <v>50</v>
      </c>
      <c r="K1269" s="1" t="s">
        <v>50</v>
      </c>
      <c r="L1269">
        <f t="shared" si="127"/>
        <v>153.37368866307943</v>
      </c>
      <c r="M1269">
        <f t="shared" si="126"/>
        <v>221.02091728659002</v>
      </c>
      <c r="N1269" t="e">
        <f t="shared" si="128"/>
        <v>#N/A</v>
      </c>
      <c r="O1269" t="e">
        <f t="shared" si="129"/>
        <v>#N/A</v>
      </c>
      <c r="P1269" t="e">
        <f t="shared" si="130"/>
        <v>#N/A</v>
      </c>
      <c r="Q1269" t="e">
        <f t="shared" si="131"/>
        <v>#N/A</v>
      </c>
      <c r="U1269">
        <f>C1269/Navio!$J$4</f>
        <v>16.820037001103927</v>
      </c>
    </row>
    <row r="1270" spans="1:21" x14ac:dyDescent="0.3">
      <c r="A1270">
        <v>1268</v>
      </c>
      <c r="B1270" s="47">
        <v>664.76835291337932</v>
      </c>
      <c r="C1270" s="46">
        <v>316.51258294048233</v>
      </c>
      <c r="D1270" s="1">
        <v>35</v>
      </c>
      <c r="E1270" s="1">
        <v>39</v>
      </c>
      <c r="F1270" s="1" t="s">
        <v>50</v>
      </c>
      <c r="G1270" s="1" t="s">
        <v>50</v>
      </c>
      <c r="H1270" s="1" t="s">
        <v>50</v>
      </c>
      <c r="I1270" s="1" t="s">
        <v>50</v>
      </c>
      <c r="J1270" s="1" t="s">
        <v>50</v>
      </c>
      <c r="K1270" s="1" t="s">
        <v>50</v>
      </c>
      <c r="L1270">
        <f t="shared" si="127"/>
        <v>153.37368866307943</v>
      </c>
      <c r="M1270">
        <f t="shared" si="126"/>
        <v>511.39466425029991</v>
      </c>
      <c r="N1270" t="e">
        <f t="shared" si="128"/>
        <v>#N/A</v>
      </c>
      <c r="O1270" t="e">
        <f t="shared" si="129"/>
        <v>#N/A</v>
      </c>
      <c r="P1270" t="e">
        <f t="shared" si="130"/>
        <v>#N/A</v>
      </c>
      <c r="Q1270" t="e">
        <f t="shared" si="131"/>
        <v>#N/A</v>
      </c>
      <c r="U1270">
        <f>C1270/Navio!$J$4</f>
        <v>17.090327018667097</v>
      </c>
    </row>
    <row r="1271" spans="1:21" x14ac:dyDescent="0.3">
      <c r="A1271">
        <v>1269</v>
      </c>
      <c r="B1271" s="47">
        <v>201.97998964282939</v>
      </c>
      <c r="C1271" s="46">
        <v>319.65850249334972</v>
      </c>
      <c r="D1271" s="1">
        <v>35</v>
      </c>
      <c r="E1271" s="1">
        <v>40</v>
      </c>
      <c r="F1271" s="1" t="s">
        <v>50</v>
      </c>
      <c r="G1271" s="1" t="s">
        <v>50</v>
      </c>
      <c r="H1271" s="1" t="s">
        <v>50</v>
      </c>
      <c r="I1271" s="1" t="s">
        <v>50</v>
      </c>
      <c r="J1271" s="1" t="s">
        <v>50</v>
      </c>
      <c r="K1271" s="1" t="s">
        <v>50</v>
      </c>
      <c r="L1271">
        <f t="shared" si="127"/>
        <v>153.37368866307943</v>
      </c>
      <c r="M1271">
        <f t="shared" si="126"/>
        <v>145.81890293924988</v>
      </c>
      <c r="N1271" t="e">
        <f t="shared" si="128"/>
        <v>#N/A</v>
      </c>
      <c r="O1271" t="e">
        <f t="shared" si="129"/>
        <v>#N/A</v>
      </c>
      <c r="P1271" t="e">
        <f t="shared" si="130"/>
        <v>#N/A</v>
      </c>
      <c r="Q1271" t="e">
        <f t="shared" si="131"/>
        <v>#N/A</v>
      </c>
      <c r="U1271">
        <f>C1271/Navio!$J$4</f>
        <v>17.260193231989277</v>
      </c>
    </row>
    <row r="1272" spans="1:21" x14ac:dyDescent="0.3">
      <c r="A1272">
        <v>1270</v>
      </c>
      <c r="B1272" s="47">
        <v>308.37368866307941</v>
      </c>
      <c r="C1272" s="46">
        <v>330.58626774349625</v>
      </c>
      <c r="D1272" s="1">
        <v>35</v>
      </c>
      <c r="E1272" s="1">
        <v>41</v>
      </c>
      <c r="F1272" s="1" t="s">
        <v>50</v>
      </c>
      <c r="G1272" s="1" t="s">
        <v>50</v>
      </c>
      <c r="H1272" s="1" t="s">
        <v>50</v>
      </c>
      <c r="I1272" s="1" t="s">
        <v>50</v>
      </c>
      <c r="J1272" s="1" t="s">
        <v>50</v>
      </c>
      <c r="K1272" s="1" t="s">
        <v>50</v>
      </c>
      <c r="L1272">
        <f t="shared" si="127"/>
        <v>153.37368866307943</v>
      </c>
      <c r="M1272">
        <f t="shared" si="126"/>
        <v>310</v>
      </c>
      <c r="N1272" t="e">
        <f t="shared" si="128"/>
        <v>#N/A</v>
      </c>
      <c r="O1272" t="e">
        <f t="shared" si="129"/>
        <v>#N/A</v>
      </c>
      <c r="P1272" t="e">
        <f t="shared" si="130"/>
        <v>#N/A</v>
      </c>
      <c r="Q1272" t="e">
        <f t="shared" si="131"/>
        <v>#N/A</v>
      </c>
      <c r="U1272">
        <f>C1272/Navio!$J$4</f>
        <v>17.850245861092333</v>
      </c>
    </row>
    <row r="1273" spans="1:21" x14ac:dyDescent="0.3">
      <c r="A1273">
        <v>1271</v>
      </c>
      <c r="B1273" s="47">
        <v>475.20749797249869</v>
      </c>
      <c r="C1273" s="46">
        <v>314.3968006018257</v>
      </c>
      <c r="D1273" s="1">
        <v>36</v>
      </c>
      <c r="E1273" s="1">
        <v>37</v>
      </c>
      <c r="F1273" s="1" t="s">
        <v>50</v>
      </c>
      <c r="G1273" s="1" t="s">
        <v>50</v>
      </c>
      <c r="H1273" s="1" t="s">
        <v>50</v>
      </c>
      <c r="I1273" s="1" t="s">
        <v>50</v>
      </c>
      <c r="J1273" s="1" t="s">
        <v>50</v>
      </c>
      <c r="K1273" s="1" t="s">
        <v>50</v>
      </c>
      <c r="L1273">
        <f t="shared" si="127"/>
        <v>217.21024133842053</v>
      </c>
      <c r="M1273">
        <f t="shared" si="126"/>
        <v>257.99725663407816</v>
      </c>
      <c r="N1273" t="e">
        <f t="shared" si="128"/>
        <v>#N/A</v>
      </c>
      <c r="O1273" t="e">
        <f t="shared" si="129"/>
        <v>#N/A</v>
      </c>
      <c r="P1273" t="e">
        <f t="shared" si="130"/>
        <v>#N/A</v>
      </c>
      <c r="Q1273" t="e">
        <f t="shared" si="131"/>
        <v>#N/A</v>
      </c>
      <c r="U1273">
        <f>C1273/Navio!$J$4</f>
        <v>16.97608381312995</v>
      </c>
    </row>
    <row r="1274" spans="1:21" x14ac:dyDescent="0.3">
      <c r="A1274">
        <v>1272</v>
      </c>
      <c r="B1274" s="47">
        <v>438.23115862501055</v>
      </c>
      <c r="C1274" s="46">
        <v>310.65755920618426</v>
      </c>
      <c r="D1274" s="1">
        <v>36</v>
      </c>
      <c r="E1274" s="1">
        <v>38</v>
      </c>
      <c r="F1274" s="1" t="s">
        <v>50</v>
      </c>
      <c r="G1274" s="1" t="s">
        <v>50</v>
      </c>
      <c r="H1274" s="1" t="s">
        <v>50</v>
      </c>
      <c r="I1274" s="1" t="s">
        <v>50</v>
      </c>
      <c r="J1274" s="1" t="s">
        <v>50</v>
      </c>
      <c r="K1274" s="1" t="s">
        <v>50</v>
      </c>
      <c r="L1274">
        <f t="shared" si="127"/>
        <v>217.21024133842053</v>
      </c>
      <c r="M1274">
        <f t="shared" si="126"/>
        <v>221.02091728659002</v>
      </c>
      <c r="N1274" t="e">
        <f t="shared" si="128"/>
        <v>#N/A</v>
      </c>
      <c r="O1274" t="e">
        <f t="shared" si="129"/>
        <v>#N/A</v>
      </c>
      <c r="P1274" t="e">
        <f t="shared" si="130"/>
        <v>#N/A</v>
      </c>
      <c r="Q1274" t="e">
        <f t="shared" si="131"/>
        <v>#N/A</v>
      </c>
      <c r="U1274">
        <f>C1274/Navio!$J$4</f>
        <v>16.774180755565677</v>
      </c>
    </row>
    <row r="1275" spans="1:21" x14ac:dyDescent="0.3">
      <c r="A1275">
        <v>1273</v>
      </c>
      <c r="B1275" s="47">
        <v>728.60490558872038</v>
      </c>
      <c r="C1275" s="46">
        <v>315.68174834190938</v>
      </c>
      <c r="D1275" s="1">
        <v>36</v>
      </c>
      <c r="E1275" s="1">
        <v>39</v>
      </c>
      <c r="F1275" s="1" t="s">
        <v>50</v>
      </c>
      <c r="G1275" s="1" t="s">
        <v>50</v>
      </c>
      <c r="H1275" s="1" t="s">
        <v>50</v>
      </c>
      <c r="I1275" s="1" t="s">
        <v>50</v>
      </c>
      <c r="J1275" s="1" t="s">
        <v>50</v>
      </c>
      <c r="K1275" s="1" t="s">
        <v>50</v>
      </c>
      <c r="L1275">
        <f t="shared" si="127"/>
        <v>217.21024133842053</v>
      </c>
      <c r="M1275">
        <f t="shared" si="126"/>
        <v>511.39466425029991</v>
      </c>
      <c r="N1275" t="e">
        <f t="shared" si="128"/>
        <v>#N/A</v>
      </c>
      <c r="O1275" t="e">
        <f t="shared" si="129"/>
        <v>#N/A</v>
      </c>
      <c r="P1275" t="e">
        <f t="shared" si="130"/>
        <v>#N/A</v>
      </c>
      <c r="Q1275" t="e">
        <f t="shared" si="131"/>
        <v>#N/A</v>
      </c>
      <c r="U1275">
        <f>C1275/Navio!$J$4</f>
        <v>17.045465500505259</v>
      </c>
    </row>
    <row r="1276" spans="1:21" x14ac:dyDescent="0.3">
      <c r="A1276">
        <v>1274</v>
      </c>
      <c r="B1276" s="47">
        <v>265.81654231817049</v>
      </c>
      <c r="C1276" s="46">
        <v>318.83402941693225</v>
      </c>
      <c r="D1276" s="1">
        <v>36</v>
      </c>
      <c r="E1276" s="1">
        <v>40</v>
      </c>
      <c r="F1276" s="1" t="s">
        <v>50</v>
      </c>
      <c r="G1276" s="1" t="s">
        <v>50</v>
      </c>
      <c r="H1276" s="1" t="s">
        <v>50</v>
      </c>
      <c r="I1276" s="1" t="s">
        <v>50</v>
      </c>
      <c r="J1276" s="1" t="s">
        <v>50</v>
      </c>
      <c r="K1276" s="1" t="s">
        <v>50</v>
      </c>
      <c r="L1276">
        <f t="shared" si="127"/>
        <v>217.21024133842053</v>
      </c>
      <c r="M1276">
        <f t="shared" si="126"/>
        <v>145.81890293924988</v>
      </c>
      <c r="N1276" t="e">
        <f t="shared" si="128"/>
        <v>#N/A</v>
      </c>
      <c r="O1276" t="e">
        <f t="shared" si="129"/>
        <v>#N/A</v>
      </c>
      <c r="P1276" t="e">
        <f t="shared" si="130"/>
        <v>#N/A</v>
      </c>
      <c r="Q1276" t="e">
        <f t="shared" si="131"/>
        <v>#N/A</v>
      </c>
      <c r="U1276">
        <f>C1276/Navio!$J$4</f>
        <v>17.215675208841013</v>
      </c>
    </row>
    <row r="1277" spans="1:21" x14ac:dyDescent="0.3">
      <c r="A1277">
        <v>1275</v>
      </c>
      <c r="B1277" s="47">
        <v>372.21024133842053</v>
      </c>
      <c r="C1277" s="46">
        <v>329.79178797861442</v>
      </c>
      <c r="D1277" s="1">
        <v>36</v>
      </c>
      <c r="E1277" s="1">
        <v>41</v>
      </c>
      <c r="F1277" s="1" t="s">
        <v>50</v>
      </c>
      <c r="G1277" s="1" t="s">
        <v>50</v>
      </c>
      <c r="H1277" s="1" t="s">
        <v>50</v>
      </c>
      <c r="I1277" s="1" t="s">
        <v>50</v>
      </c>
      <c r="J1277" s="1" t="s">
        <v>50</v>
      </c>
      <c r="K1277" s="1" t="s">
        <v>50</v>
      </c>
      <c r="L1277">
        <f t="shared" si="127"/>
        <v>217.21024133842053</v>
      </c>
      <c r="M1277">
        <f t="shared" si="126"/>
        <v>310</v>
      </c>
      <c r="N1277" t="e">
        <f t="shared" si="128"/>
        <v>#N/A</v>
      </c>
      <c r="O1277" t="e">
        <f t="shared" si="129"/>
        <v>#N/A</v>
      </c>
      <c r="P1277" t="e">
        <f t="shared" si="130"/>
        <v>#N/A</v>
      </c>
      <c r="Q1277" t="e">
        <f t="shared" si="131"/>
        <v>#N/A</v>
      </c>
      <c r="U1277">
        <f>C1277/Navio!$J$4</f>
        <v>17.807347348605397</v>
      </c>
    </row>
    <row r="1278" spans="1:21" x14ac:dyDescent="0.3">
      <c r="A1278">
        <v>1276</v>
      </c>
      <c r="B1278" s="47">
        <v>479.01817392066818</v>
      </c>
      <c r="C1278" s="46">
        <v>316.54396641875337</v>
      </c>
      <c r="D1278" s="1">
        <v>37</v>
      </c>
      <c r="E1278" s="1">
        <v>38</v>
      </c>
      <c r="F1278" s="1" t="s">
        <v>50</v>
      </c>
      <c r="G1278" s="1" t="s">
        <v>50</v>
      </c>
      <c r="H1278" s="1" t="s">
        <v>50</v>
      </c>
      <c r="I1278" s="1" t="s">
        <v>50</v>
      </c>
      <c r="J1278" s="1" t="s">
        <v>50</v>
      </c>
      <c r="K1278" s="1" t="s">
        <v>50</v>
      </c>
      <c r="L1278">
        <f t="shared" si="127"/>
        <v>257.99725663407816</v>
      </c>
      <c r="M1278">
        <f t="shared" si="126"/>
        <v>221.02091728659002</v>
      </c>
      <c r="N1278" t="e">
        <f t="shared" si="128"/>
        <v>#N/A</v>
      </c>
      <c r="O1278" t="e">
        <f t="shared" si="129"/>
        <v>#N/A</v>
      </c>
      <c r="P1278" t="e">
        <f t="shared" si="130"/>
        <v>#N/A</v>
      </c>
      <c r="Q1278" t="e">
        <f t="shared" si="131"/>
        <v>#N/A</v>
      </c>
      <c r="U1278">
        <f>C1278/Navio!$J$4</f>
        <v>17.092021592391944</v>
      </c>
    </row>
    <row r="1279" spans="1:21" x14ac:dyDescent="0.3">
      <c r="A1279">
        <v>1277</v>
      </c>
      <c r="B1279" s="47">
        <v>769.39192088437812</v>
      </c>
      <c r="C1279" s="46">
        <v>321.88626499560303</v>
      </c>
      <c r="D1279" s="1">
        <v>37</v>
      </c>
      <c r="E1279" s="1">
        <v>39</v>
      </c>
      <c r="F1279" s="1" t="s">
        <v>50</v>
      </c>
      <c r="G1279" s="1" t="s">
        <v>50</v>
      </c>
      <c r="H1279" s="1" t="s">
        <v>50</v>
      </c>
      <c r="I1279" s="1" t="s">
        <v>50</v>
      </c>
      <c r="J1279" s="1" t="s">
        <v>50</v>
      </c>
      <c r="K1279" s="1" t="s">
        <v>50</v>
      </c>
      <c r="L1279">
        <f t="shared" si="127"/>
        <v>257.99725663407816</v>
      </c>
      <c r="M1279">
        <f t="shared" si="126"/>
        <v>511.39466425029991</v>
      </c>
      <c r="N1279" t="e">
        <f t="shared" si="128"/>
        <v>#N/A</v>
      </c>
      <c r="O1279" t="e">
        <f t="shared" si="129"/>
        <v>#N/A</v>
      </c>
      <c r="P1279" t="e">
        <f t="shared" si="130"/>
        <v>#N/A</v>
      </c>
      <c r="Q1279" t="e">
        <f t="shared" si="131"/>
        <v>#N/A</v>
      </c>
      <c r="U1279">
        <f>C1279/Navio!$J$4</f>
        <v>17.380482887868748</v>
      </c>
    </row>
    <row r="1280" spans="1:21" x14ac:dyDescent="0.3">
      <c r="A1280">
        <v>1278</v>
      </c>
      <c r="B1280" s="47">
        <v>306.60355761382812</v>
      </c>
      <c r="C1280" s="46">
        <v>325.00647788728634</v>
      </c>
      <c r="D1280" s="1">
        <v>37</v>
      </c>
      <c r="E1280" s="1">
        <v>40</v>
      </c>
      <c r="F1280" s="1" t="s">
        <v>50</v>
      </c>
      <c r="G1280" s="1" t="s">
        <v>50</v>
      </c>
      <c r="H1280" s="1" t="s">
        <v>50</v>
      </c>
      <c r="I1280" s="1" t="s">
        <v>50</v>
      </c>
      <c r="J1280" s="1" t="s">
        <v>50</v>
      </c>
      <c r="K1280" s="1" t="s">
        <v>50</v>
      </c>
      <c r="L1280">
        <f t="shared" si="127"/>
        <v>257.99725663407816</v>
      </c>
      <c r="M1280">
        <f t="shared" si="126"/>
        <v>145.81890293924988</v>
      </c>
      <c r="N1280" t="e">
        <f t="shared" si="128"/>
        <v>#N/A</v>
      </c>
      <c r="O1280" t="e">
        <f t="shared" si="129"/>
        <v>#N/A</v>
      </c>
      <c r="P1280" t="e">
        <f t="shared" si="130"/>
        <v>#N/A</v>
      </c>
      <c r="Q1280" t="e">
        <f t="shared" si="131"/>
        <v>#N/A</v>
      </c>
      <c r="U1280">
        <f>C1280/Navio!$J$4</f>
        <v>17.548961051331702</v>
      </c>
    </row>
    <row r="1281" spans="1:21" x14ac:dyDescent="0.3">
      <c r="A1281">
        <v>1279</v>
      </c>
      <c r="B1281" s="47">
        <v>412.99725663407816</v>
      </c>
      <c r="C1281" s="46">
        <v>335.95578656364239</v>
      </c>
      <c r="D1281" s="1">
        <v>37</v>
      </c>
      <c r="E1281" s="1">
        <v>41</v>
      </c>
      <c r="F1281" s="1" t="s">
        <v>50</v>
      </c>
      <c r="G1281" s="1" t="s">
        <v>50</v>
      </c>
      <c r="H1281" s="1" t="s">
        <v>50</v>
      </c>
      <c r="I1281" s="1" t="s">
        <v>50</v>
      </c>
      <c r="J1281" s="1" t="s">
        <v>50</v>
      </c>
      <c r="K1281" s="1" t="s">
        <v>50</v>
      </c>
      <c r="L1281">
        <f t="shared" si="127"/>
        <v>257.99725663407816</v>
      </c>
      <c r="M1281">
        <f t="shared" si="126"/>
        <v>310</v>
      </c>
      <c r="N1281" t="e">
        <f t="shared" si="128"/>
        <v>#N/A</v>
      </c>
      <c r="O1281" t="e">
        <f t="shared" si="129"/>
        <v>#N/A</v>
      </c>
      <c r="P1281" t="e">
        <f t="shared" si="130"/>
        <v>#N/A</v>
      </c>
      <c r="Q1281" t="e">
        <f t="shared" si="131"/>
        <v>#N/A</v>
      </c>
      <c r="U1281">
        <f>C1281/Navio!$J$4</f>
        <v>18.140176933394887</v>
      </c>
    </row>
    <row r="1282" spans="1:21" x14ac:dyDescent="0.3">
      <c r="A1282">
        <v>1280</v>
      </c>
      <c r="B1282" s="47">
        <v>732.41558153688993</v>
      </c>
      <c r="C1282" s="46">
        <v>315.74341387047269</v>
      </c>
      <c r="D1282" s="1">
        <v>38</v>
      </c>
      <c r="E1282" s="1">
        <v>39</v>
      </c>
      <c r="F1282" s="1" t="s">
        <v>50</v>
      </c>
      <c r="G1282" s="1" t="s">
        <v>50</v>
      </c>
      <c r="H1282" s="1" t="s">
        <v>50</v>
      </c>
      <c r="I1282" s="1" t="s">
        <v>50</v>
      </c>
      <c r="J1282" s="1" t="s">
        <v>50</v>
      </c>
      <c r="K1282" s="1" t="s">
        <v>50</v>
      </c>
      <c r="L1282">
        <f t="shared" si="127"/>
        <v>221.02091728659002</v>
      </c>
      <c r="M1282">
        <f t="shared" si="126"/>
        <v>511.39466425029991</v>
      </c>
      <c r="N1282" t="e">
        <f t="shared" si="128"/>
        <v>#N/A</v>
      </c>
      <c r="O1282" t="e">
        <f t="shared" si="129"/>
        <v>#N/A</v>
      </c>
      <c r="P1282" t="e">
        <f t="shared" si="130"/>
        <v>#N/A</v>
      </c>
      <c r="Q1282" t="e">
        <f t="shared" si="131"/>
        <v>#N/A</v>
      </c>
      <c r="U1282">
        <f>C1282/Navio!$J$4</f>
        <v>17.048795175550513</v>
      </c>
    </row>
    <row r="1283" spans="1:21" x14ac:dyDescent="0.3">
      <c r="A1283">
        <v>1281</v>
      </c>
      <c r="B1283" s="47">
        <v>269.62721826633998</v>
      </c>
      <c r="C1283" s="46">
        <v>318.87219535981893</v>
      </c>
      <c r="D1283" s="1">
        <v>38</v>
      </c>
      <c r="E1283" s="1">
        <v>40</v>
      </c>
      <c r="F1283" s="1" t="s">
        <v>50</v>
      </c>
      <c r="G1283" s="1" t="s">
        <v>50</v>
      </c>
      <c r="H1283" s="1" t="s">
        <v>50</v>
      </c>
      <c r="I1283" s="1" t="s">
        <v>50</v>
      </c>
      <c r="J1283" s="1" t="s">
        <v>50</v>
      </c>
      <c r="K1283" s="1" t="s">
        <v>50</v>
      </c>
      <c r="L1283">
        <f t="shared" si="127"/>
        <v>221.02091728659002</v>
      </c>
      <c r="M1283">
        <f t="shared" ref="M1283:M1346" si="132">VLOOKUP(E1283,$Y$2:$Z$80,2)</f>
        <v>145.81890293924988</v>
      </c>
      <c r="N1283" t="e">
        <f t="shared" si="128"/>
        <v>#N/A</v>
      </c>
      <c r="O1283" t="e">
        <f t="shared" si="129"/>
        <v>#N/A</v>
      </c>
      <c r="P1283" t="e">
        <f t="shared" si="130"/>
        <v>#N/A</v>
      </c>
      <c r="Q1283" t="e">
        <f t="shared" si="131"/>
        <v>#N/A</v>
      </c>
      <c r="U1283">
        <f>C1283/Navio!$J$4</f>
        <v>17.217736006673597</v>
      </c>
    </row>
    <row r="1284" spans="1:21" x14ac:dyDescent="0.3">
      <c r="A1284">
        <v>1282</v>
      </c>
      <c r="B1284" s="47">
        <v>376.02091728659002</v>
      </c>
      <c r="C1284" s="46">
        <v>329.83610943208134</v>
      </c>
      <c r="D1284" s="1">
        <v>38</v>
      </c>
      <c r="E1284" s="1">
        <v>41</v>
      </c>
      <c r="F1284" s="1" t="s">
        <v>50</v>
      </c>
      <c r="G1284" s="1" t="s">
        <v>50</v>
      </c>
      <c r="H1284" s="1" t="s">
        <v>50</v>
      </c>
      <c r="I1284" s="1" t="s">
        <v>50</v>
      </c>
      <c r="J1284" s="1" t="s">
        <v>50</v>
      </c>
      <c r="K1284" s="1" t="s">
        <v>50</v>
      </c>
      <c r="L1284">
        <f t="shared" si="127"/>
        <v>221.02091728659002</v>
      </c>
      <c r="M1284">
        <f t="shared" si="132"/>
        <v>310</v>
      </c>
      <c r="N1284" t="e">
        <f t="shared" si="128"/>
        <v>#N/A</v>
      </c>
      <c r="O1284" t="e">
        <f t="shared" si="129"/>
        <v>#N/A</v>
      </c>
      <c r="P1284" t="e">
        <f t="shared" si="130"/>
        <v>#N/A</v>
      </c>
      <c r="Q1284" t="e">
        <f t="shared" si="131"/>
        <v>#N/A</v>
      </c>
      <c r="U1284">
        <f>C1284/Navio!$J$4</f>
        <v>17.809740517706782</v>
      </c>
    </row>
    <row r="1285" spans="1:21" x14ac:dyDescent="0.3">
      <c r="A1285">
        <v>1283</v>
      </c>
      <c r="B1285" s="47">
        <v>560.00096523004981</v>
      </c>
      <c r="C1285" s="46">
        <v>315.41659674757852</v>
      </c>
      <c r="D1285" s="1">
        <v>39</v>
      </c>
      <c r="E1285" s="1">
        <v>40</v>
      </c>
      <c r="F1285" s="1" t="s">
        <v>50</v>
      </c>
      <c r="G1285" s="1" t="s">
        <v>50</v>
      </c>
      <c r="H1285" s="1" t="s">
        <v>50</v>
      </c>
      <c r="I1285" s="1" t="s">
        <v>50</v>
      </c>
      <c r="J1285" s="1" t="s">
        <v>50</v>
      </c>
      <c r="K1285" s="1" t="s">
        <v>50</v>
      </c>
      <c r="L1285">
        <f t="shared" si="127"/>
        <v>511.39466425029991</v>
      </c>
      <c r="M1285">
        <f t="shared" si="132"/>
        <v>145.81890293924988</v>
      </c>
      <c r="N1285" t="e">
        <f t="shared" si="128"/>
        <v>#N/A</v>
      </c>
      <c r="O1285" t="e">
        <f t="shared" si="129"/>
        <v>#N/A</v>
      </c>
      <c r="P1285" t="e">
        <f t="shared" si="130"/>
        <v>#N/A</v>
      </c>
      <c r="Q1285" t="e">
        <f t="shared" si="131"/>
        <v>#N/A</v>
      </c>
      <c r="U1285">
        <f>C1285/Navio!$J$4</f>
        <v>17.031148447405705</v>
      </c>
    </row>
    <row r="1286" spans="1:21" x14ac:dyDescent="0.3">
      <c r="A1286">
        <v>1284</v>
      </c>
      <c r="B1286" s="47">
        <v>666.39466425029991</v>
      </c>
      <c r="C1286" s="46">
        <v>326.38075130043626</v>
      </c>
      <c r="D1286" s="1">
        <v>39</v>
      </c>
      <c r="E1286" s="1">
        <v>41</v>
      </c>
      <c r="F1286" s="1" t="s">
        <v>50</v>
      </c>
      <c r="G1286" s="1" t="s">
        <v>50</v>
      </c>
      <c r="H1286" s="1" t="s">
        <v>50</v>
      </c>
      <c r="I1286" s="1" t="s">
        <v>50</v>
      </c>
      <c r="J1286" s="1" t="s">
        <v>50</v>
      </c>
      <c r="K1286" s="1" t="s">
        <v>50</v>
      </c>
      <c r="L1286">
        <f t="shared" si="127"/>
        <v>511.39466425029991</v>
      </c>
      <c r="M1286">
        <f t="shared" si="132"/>
        <v>310</v>
      </c>
      <c r="N1286" t="e">
        <f t="shared" si="128"/>
        <v>#N/A</v>
      </c>
      <c r="O1286" t="e">
        <f t="shared" si="129"/>
        <v>#N/A</v>
      </c>
      <c r="P1286" t="e">
        <f t="shared" si="130"/>
        <v>#N/A</v>
      </c>
      <c r="Q1286" t="e">
        <f t="shared" si="131"/>
        <v>#N/A</v>
      </c>
      <c r="U1286">
        <f>C1286/Navio!$J$4</f>
        <v>17.623165943363464</v>
      </c>
    </row>
    <row r="1287" spans="1:21" x14ac:dyDescent="0.3">
      <c r="A1287">
        <v>1285</v>
      </c>
      <c r="B1287" s="47">
        <v>203.60630097974996</v>
      </c>
      <c r="C1287" s="46">
        <v>325.03234992786793</v>
      </c>
      <c r="D1287" s="1">
        <v>40</v>
      </c>
      <c r="E1287" s="1">
        <v>41</v>
      </c>
      <c r="F1287" s="1" t="s">
        <v>50</v>
      </c>
      <c r="G1287" s="1" t="s">
        <v>50</v>
      </c>
      <c r="H1287" s="1" t="s">
        <v>50</v>
      </c>
      <c r="I1287" s="1" t="s">
        <v>50</v>
      </c>
      <c r="J1287" s="1" t="s">
        <v>50</v>
      </c>
      <c r="K1287" s="1" t="s">
        <v>50</v>
      </c>
      <c r="L1287">
        <f t="shared" si="127"/>
        <v>145.81890293924988</v>
      </c>
      <c r="M1287">
        <f t="shared" si="132"/>
        <v>310</v>
      </c>
      <c r="N1287" t="e">
        <f t="shared" si="128"/>
        <v>#N/A</v>
      </c>
      <c r="O1287" t="e">
        <f t="shared" si="129"/>
        <v>#N/A</v>
      </c>
      <c r="P1287" t="e">
        <f t="shared" si="130"/>
        <v>#N/A</v>
      </c>
      <c r="Q1287" t="e">
        <f t="shared" si="131"/>
        <v>#N/A</v>
      </c>
      <c r="U1287">
        <f>C1287/Navio!$J$4</f>
        <v>17.550358030971729</v>
      </c>
    </row>
    <row r="1288" spans="1:21" x14ac:dyDescent="0.3">
      <c r="A1288">
        <v>1286</v>
      </c>
      <c r="B1288" s="47">
        <v>641.06473963189228</v>
      </c>
      <c r="C1288" s="46">
        <v>313.4479825118641</v>
      </c>
      <c r="D1288" s="1">
        <v>36</v>
      </c>
      <c r="E1288" s="1">
        <v>35</v>
      </c>
      <c r="F1288" s="1">
        <v>34</v>
      </c>
      <c r="G1288" s="1" t="s">
        <v>50</v>
      </c>
      <c r="H1288" s="1" t="s">
        <v>50</v>
      </c>
      <c r="I1288" s="1" t="s">
        <v>50</v>
      </c>
      <c r="J1288" s="1" t="s">
        <v>50</v>
      </c>
      <c r="K1288" s="1" t="s">
        <v>50</v>
      </c>
      <c r="L1288">
        <f t="shared" si="127"/>
        <v>217.21024133842053</v>
      </c>
      <c r="M1288">
        <f t="shared" si="132"/>
        <v>153.37368866307943</v>
      </c>
      <c r="N1288">
        <f t="shared" si="128"/>
        <v>270.48080963039234</v>
      </c>
      <c r="O1288" t="e">
        <f t="shared" si="129"/>
        <v>#N/A</v>
      </c>
      <c r="P1288" t="e">
        <f t="shared" si="130"/>
        <v>#N/A</v>
      </c>
      <c r="Q1288" t="e">
        <f t="shared" si="131"/>
        <v>#N/A</v>
      </c>
      <c r="U1288">
        <f>C1288/Navio!$J$4</f>
        <v>16.924851690577274</v>
      </c>
    </row>
    <row r="1289" spans="1:21" x14ac:dyDescent="0.3">
      <c r="A1289">
        <v>1287</v>
      </c>
      <c r="B1289" s="47">
        <v>681.85175492754991</v>
      </c>
      <c r="C1289" s="46">
        <v>312.21489210602959</v>
      </c>
      <c r="D1289" s="1">
        <v>35</v>
      </c>
      <c r="E1289" s="1">
        <v>37</v>
      </c>
      <c r="F1289" s="1">
        <v>34</v>
      </c>
      <c r="G1289" s="1" t="s">
        <v>50</v>
      </c>
      <c r="H1289" s="1" t="s">
        <v>50</v>
      </c>
      <c r="I1289" s="1" t="s">
        <v>50</v>
      </c>
      <c r="J1289" s="1" t="s">
        <v>50</v>
      </c>
      <c r="K1289" s="1" t="s">
        <v>50</v>
      </c>
      <c r="L1289">
        <f t="shared" si="127"/>
        <v>153.37368866307943</v>
      </c>
      <c r="M1289">
        <f t="shared" si="132"/>
        <v>257.99725663407816</v>
      </c>
      <c r="N1289">
        <f t="shared" si="128"/>
        <v>270.48080963039234</v>
      </c>
      <c r="O1289" t="e">
        <f t="shared" si="129"/>
        <v>#N/A</v>
      </c>
      <c r="P1289" t="e">
        <f t="shared" si="130"/>
        <v>#N/A</v>
      </c>
      <c r="Q1289" t="e">
        <f t="shared" si="131"/>
        <v>#N/A</v>
      </c>
      <c r="U1289">
        <f>C1289/Navio!$J$4</f>
        <v>16.858270077664731</v>
      </c>
    </row>
    <row r="1290" spans="1:21" x14ac:dyDescent="0.3">
      <c r="A1290">
        <v>1288</v>
      </c>
      <c r="B1290" s="47">
        <v>644.87541558006183</v>
      </c>
      <c r="C1290" s="46">
        <v>316.05783291119144</v>
      </c>
      <c r="D1290" s="1">
        <v>38</v>
      </c>
      <c r="E1290" s="1">
        <v>35</v>
      </c>
      <c r="F1290" s="1">
        <v>34</v>
      </c>
      <c r="G1290" s="1" t="s">
        <v>50</v>
      </c>
      <c r="H1290" s="1" t="s">
        <v>50</v>
      </c>
      <c r="I1290" s="1" t="s">
        <v>50</v>
      </c>
      <c r="J1290" s="1" t="s">
        <v>50</v>
      </c>
      <c r="K1290" s="1" t="s">
        <v>50</v>
      </c>
      <c r="L1290">
        <f t="shared" si="127"/>
        <v>221.02091728659002</v>
      </c>
      <c r="M1290">
        <f t="shared" si="132"/>
        <v>153.37368866307943</v>
      </c>
      <c r="N1290">
        <f t="shared" si="128"/>
        <v>270.48080963039234</v>
      </c>
      <c r="O1290" t="e">
        <f t="shared" si="129"/>
        <v>#N/A</v>
      </c>
      <c r="P1290" t="e">
        <f t="shared" si="130"/>
        <v>#N/A</v>
      </c>
      <c r="Q1290" t="e">
        <f t="shared" si="131"/>
        <v>#N/A</v>
      </c>
      <c r="U1290">
        <f>C1290/Navio!$J$4</f>
        <v>17.065772460234925</v>
      </c>
    </row>
    <row r="1291" spans="1:21" x14ac:dyDescent="0.3">
      <c r="A1291">
        <v>1289</v>
      </c>
      <c r="B1291" s="47">
        <v>472.46079927322171</v>
      </c>
      <c r="C1291" s="46">
        <v>324.20951926468854</v>
      </c>
      <c r="D1291" s="1">
        <v>40</v>
      </c>
      <c r="E1291" s="1">
        <v>35</v>
      </c>
      <c r="F1291" s="1">
        <v>34</v>
      </c>
      <c r="G1291" s="1" t="s">
        <v>50</v>
      </c>
      <c r="H1291" s="1" t="s">
        <v>50</v>
      </c>
      <c r="I1291" s="1" t="s">
        <v>50</v>
      </c>
      <c r="J1291" s="1" t="s">
        <v>50</v>
      </c>
      <c r="K1291" s="1" t="s">
        <v>50</v>
      </c>
      <c r="L1291">
        <f t="shared" si="127"/>
        <v>145.81890293924988</v>
      </c>
      <c r="M1291">
        <f t="shared" si="132"/>
        <v>153.37368866307943</v>
      </c>
      <c r="N1291">
        <f t="shared" si="128"/>
        <v>270.48080963039234</v>
      </c>
      <c r="O1291" t="e">
        <f t="shared" si="129"/>
        <v>#N/A</v>
      </c>
      <c r="P1291" t="e">
        <f t="shared" si="130"/>
        <v>#N/A</v>
      </c>
      <c r="Q1291" t="e">
        <f t="shared" si="131"/>
        <v>#N/A</v>
      </c>
      <c r="U1291">
        <f>C1291/Navio!$J$4</f>
        <v>17.505928691120278</v>
      </c>
    </row>
    <row r="1292" spans="1:21" x14ac:dyDescent="0.3">
      <c r="A1292">
        <v>1290</v>
      </c>
      <c r="B1292" s="47">
        <v>578.85449829347181</v>
      </c>
      <c r="C1292" s="46">
        <v>335.13728451483507</v>
      </c>
      <c r="D1292" s="1">
        <v>41</v>
      </c>
      <c r="E1292" s="1">
        <v>35</v>
      </c>
      <c r="F1292" s="1">
        <v>34</v>
      </c>
      <c r="G1292" s="1" t="s">
        <v>50</v>
      </c>
      <c r="H1292" s="1" t="s">
        <v>50</v>
      </c>
      <c r="I1292" s="1" t="s">
        <v>50</v>
      </c>
      <c r="J1292" s="1" t="s">
        <v>50</v>
      </c>
      <c r="K1292" s="1" t="s">
        <v>50</v>
      </c>
      <c r="L1292">
        <f t="shared" si="127"/>
        <v>310</v>
      </c>
      <c r="M1292">
        <f t="shared" si="132"/>
        <v>153.37368866307943</v>
      </c>
      <c r="N1292">
        <f t="shared" si="128"/>
        <v>270.48080963039234</v>
      </c>
      <c r="O1292" t="e">
        <f t="shared" si="129"/>
        <v>#N/A</v>
      </c>
      <c r="P1292" t="e">
        <f t="shared" si="130"/>
        <v>#N/A</v>
      </c>
      <c r="Q1292" t="e">
        <f t="shared" si="131"/>
        <v>#N/A</v>
      </c>
      <c r="U1292">
        <f>C1292/Navio!$J$4</f>
        <v>18.095981320223334</v>
      </c>
    </row>
    <row r="1293" spans="1:21" x14ac:dyDescent="0.3">
      <c r="A1293">
        <v>1291</v>
      </c>
      <c r="B1293" s="47">
        <v>745.68830760289097</v>
      </c>
      <c r="C1293" s="46">
        <v>315.20064190046719</v>
      </c>
      <c r="D1293" s="1">
        <v>36</v>
      </c>
      <c r="E1293" s="1">
        <v>37</v>
      </c>
      <c r="F1293" s="1">
        <v>34</v>
      </c>
      <c r="G1293" s="1" t="s">
        <v>50</v>
      </c>
      <c r="H1293" s="1" t="s">
        <v>50</v>
      </c>
      <c r="I1293" s="1" t="s">
        <v>50</v>
      </c>
      <c r="J1293" s="1" t="s">
        <v>50</v>
      </c>
      <c r="K1293" s="1" t="s">
        <v>50</v>
      </c>
      <c r="L1293">
        <f t="shared" ref="L1293:L1356" si="133">VLOOKUP(D1293,$Y$2:$Z$80,2)</f>
        <v>217.21024133842053</v>
      </c>
      <c r="M1293">
        <f t="shared" si="132"/>
        <v>257.99725663407816</v>
      </c>
      <c r="N1293">
        <f t="shared" ref="N1293:N1356" si="134">VLOOKUP(F1293,$Y$2:$Z$80,2)</f>
        <v>270.48080963039234</v>
      </c>
      <c r="O1293" t="e">
        <f t="shared" ref="O1293:O1356" si="135">VLOOKUP(G1293,$Y$2:$Z$80,2)</f>
        <v>#N/A</v>
      </c>
      <c r="P1293" t="e">
        <f t="shared" ref="P1293:P1356" si="136">VLOOKUP(H1293,$Y$2:$Z$80,2)</f>
        <v>#N/A</v>
      </c>
      <c r="Q1293" t="e">
        <f t="shared" ref="Q1293:Q1356" si="137">VLOOKUP(I1293,$Y$2:$Z$80,2)</f>
        <v>#N/A</v>
      </c>
      <c r="U1293">
        <f>C1293/Navio!$J$4</f>
        <v>17.019487808438019</v>
      </c>
    </row>
    <row r="1294" spans="1:21" x14ac:dyDescent="0.3">
      <c r="A1294">
        <v>1292</v>
      </c>
      <c r="B1294" s="47">
        <v>708.71196825540289</v>
      </c>
      <c r="C1294" s="46">
        <v>316.08369657893536</v>
      </c>
      <c r="D1294" s="1">
        <v>38</v>
      </c>
      <c r="E1294" s="1">
        <v>36</v>
      </c>
      <c r="F1294" s="1">
        <v>34</v>
      </c>
      <c r="G1294" s="1" t="s">
        <v>50</v>
      </c>
      <c r="H1294" s="1" t="s">
        <v>50</v>
      </c>
      <c r="I1294" s="1" t="s">
        <v>50</v>
      </c>
      <c r="J1294" s="1" t="s">
        <v>50</v>
      </c>
      <c r="K1294" s="1" t="s">
        <v>50</v>
      </c>
      <c r="L1294">
        <f t="shared" si="133"/>
        <v>221.02091728659002</v>
      </c>
      <c r="M1294">
        <f t="shared" si="132"/>
        <v>217.21024133842053</v>
      </c>
      <c r="N1294">
        <f t="shared" si="134"/>
        <v>270.48080963039234</v>
      </c>
      <c r="O1294" t="e">
        <f t="shared" si="135"/>
        <v>#N/A</v>
      </c>
      <c r="P1294" t="e">
        <f t="shared" si="136"/>
        <v>#N/A</v>
      </c>
      <c r="Q1294" t="e">
        <f t="shared" si="137"/>
        <v>#N/A</v>
      </c>
      <c r="U1294">
        <f>C1294/Navio!$J$4</f>
        <v>17.067168987777492</v>
      </c>
    </row>
    <row r="1295" spans="1:21" x14ac:dyDescent="0.3">
      <c r="A1295">
        <v>1293</v>
      </c>
      <c r="B1295" s="47">
        <v>536.29735194856289</v>
      </c>
      <c r="C1295" s="46">
        <v>324.26016678968335</v>
      </c>
      <c r="D1295" s="1">
        <v>40</v>
      </c>
      <c r="E1295" s="1">
        <v>36</v>
      </c>
      <c r="F1295" s="1">
        <v>34</v>
      </c>
      <c r="G1295" s="1" t="s">
        <v>50</v>
      </c>
      <c r="H1295" s="1" t="s">
        <v>50</v>
      </c>
      <c r="I1295" s="1" t="s">
        <v>50</v>
      </c>
      <c r="J1295" s="1" t="s">
        <v>50</v>
      </c>
      <c r="K1295" s="1" t="s">
        <v>50</v>
      </c>
      <c r="L1295">
        <f t="shared" si="133"/>
        <v>145.81890293924988</v>
      </c>
      <c r="M1295">
        <f t="shared" si="132"/>
        <v>217.21024133842053</v>
      </c>
      <c r="N1295">
        <f t="shared" si="134"/>
        <v>270.48080963039234</v>
      </c>
      <c r="O1295" t="e">
        <f t="shared" si="135"/>
        <v>#N/A</v>
      </c>
      <c r="P1295" t="e">
        <f t="shared" si="136"/>
        <v>#N/A</v>
      </c>
      <c r="Q1295" t="e">
        <f t="shared" si="137"/>
        <v>#N/A</v>
      </c>
      <c r="U1295">
        <f>C1295/Navio!$J$4</f>
        <v>17.508663441052828</v>
      </c>
    </row>
    <row r="1296" spans="1:21" x14ac:dyDescent="0.3">
      <c r="A1296">
        <v>1294</v>
      </c>
      <c r="B1296" s="47">
        <v>642.69105096881287</v>
      </c>
      <c r="C1296" s="46">
        <v>335.21792535136552</v>
      </c>
      <c r="D1296" s="1">
        <v>41</v>
      </c>
      <c r="E1296" s="1">
        <v>36</v>
      </c>
      <c r="F1296" s="1">
        <v>34</v>
      </c>
      <c r="G1296" s="1" t="s">
        <v>50</v>
      </c>
      <c r="H1296" s="1" t="s">
        <v>50</v>
      </c>
      <c r="I1296" s="1" t="s">
        <v>50</v>
      </c>
      <c r="J1296" s="1" t="s">
        <v>50</v>
      </c>
      <c r="K1296" s="1" t="s">
        <v>50</v>
      </c>
      <c r="L1296">
        <f t="shared" si="133"/>
        <v>310</v>
      </c>
      <c r="M1296">
        <f t="shared" si="132"/>
        <v>217.21024133842053</v>
      </c>
      <c r="N1296">
        <f t="shared" si="134"/>
        <v>270.48080963039234</v>
      </c>
      <c r="O1296" t="e">
        <f t="shared" si="135"/>
        <v>#N/A</v>
      </c>
      <c r="P1296" t="e">
        <f t="shared" si="136"/>
        <v>#N/A</v>
      </c>
      <c r="Q1296" t="e">
        <f t="shared" si="137"/>
        <v>#N/A</v>
      </c>
      <c r="U1296">
        <f>C1296/Navio!$J$4</f>
        <v>18.100335580817212</v>
      </c>
    </row>
    <row r="1297" spans="1:21" x14ac:dyDescent="0.3">
      <c r="A1297">
        <v>1295</v>
      </c>
      <c r="B1297" s="47">
        <v>749.49898355106052</v>
      </c>
      <c r="C1297" s="46">
        <v>317.34780771739486</v>
      </c>
      <c r="D1297" s="1">
        <v>38</v>
      </c>
      <c r="E1297" s="1">
        <v>37</v>
      </c>
      <c r="F1297" s="1">
        <v>34</v>
      </c>
      <c r="G1297" s="1" t="s">
        <v>50</v>
      </c>
      <c r="H1297" s="1" t="s">
        <v>50</v>
      </c>
      <c r="I1297" s="1" t="s">
        <v>50</v>
      </c>
      <c r="J1297" s="1" t="s">
        <v>50</v>
      </c>
      <c r="K1297" s="1" t="s">
        <v>50</v>
      </c>
      <c r="L1297">
        <f t="shared" si="133"/>
        <v>221.02091728659002</v>
      </c>
      <c r="M1297">
        <f t="shared" si="132"/>
        <v>257.99725663407816</v>
      </c>
      <c r="N1297">
        <f t="shared" si="134"/>
        <v>270.48080963039234</v>
      </c>
      <c r="O1297" t="e">
        <f t="shared" si="135"/>
        <v>#N/A</v>
      </c>
      <c r="P1297" t="e">
        <f t="shared" si="136"/>
        <v>#N/A</v>
      </c>
      <c r="Q1297" t="e">
        <f t="shared" si="137"/>
        <v>#N/A</v>
      </c>
      <c r="U1297">
        <f>C1297/Navio!$J$4</f>
        <v>17.135425587700013</v>
      </c>
    </row>
    <row r="1298" spans="1:21" x14ac:dyDescent="0.3">
      <c r="A1298">
        <v>1296</v>
      </c>
      <c r="B1298" s="47">
        <v>577.0843672442204</v>
      </c>
      <c r="C1298" s="46">
        <v>325.81031918592782</v>
      </c>
      <c r="D1298" s="1">
        <v>40</v>
      </c>
      <c r="E1298" s="1">
        <v>37</v>
      </c>
      <c r="F1298" s="1">
        <v>34</v>
      </c>
      <c r="G1298" s="1" t="s">
        <v>50</v>
      </c>
      <c r="H1298" s="1" t="s">
        <v>50</v>
      </c>
      <c r="I1298" s="1" t="s">
        <v>50</v>
      </c>
      <c r="J1298" s="1" t="s">
        <v>50</v>
      </c>
      <c r="K1298" s="1" t="s">
        <v>50</v>
      </c>
      <c r="L1298">
        <f t="shared" si="133"/>
        <v>145.81890293924988</v>
      </c>
      <c r="M1298">
        <f t="shared" si="132"/>
        <v>257.99725663407816</v>
      </c>
      <c r="N1298">
        <f t="shared" si="134"/>
        <v>270.48080963039234</v>
      </c>
      <c r="O1298" t="e">
        <f t="shared" si="135"/>
        <v>#N/A</v>
      </c>
      <c r="P1298" t="e">
        <f t="shared" si="136"/>
        <v>#N/A</v>
      </c>
      <c r="Q1298" t="e">
        <f t="shared" si="137"/>
        <v>#N/A</v>
      </c>
      <c r="U1298">
        <f>C1298/Navio!$J$4</f>
        <v>17.59236504663977</v>
      </c>
    </row>
    <row r="1299" spans="1:21" x14ac:dyDescent="0.3">
      <c r="A1299">
        <v>1297</v>
      </c>
      <c r="B1299" s="47">
        <v>683.4780662644705</v>
      </c>
      <c r="C1299" s="46">
        <v>336.75962786228388</v>
      </c>
      <c r="D1299" s="1">
        <v>41</v>
      </c>
      <c r="E1299" s="1">
        <v>37</v>
      </c>
      <c r="F1299" s="1">
        <v>34</v>
      </c>
      <c r="G1299" s="1" t="s">
        <v>50</v>
      </c>
      <c r="H1299" s="1" t="s">
        <v>50</v>
      </c>
      <c r="I1299" s="1" t="s">
        <v>50</v>
      </c>
      <c r="J1299" s="1" t="s">
        <v>50</v>
      </c>
      <c r="K1299" s="1" t="s">
        <v>50</v>
      </c>
      <c r="L1299">
        <f t="shared" si="133"/>
        <v>310</v>
      </c>
      <c r="M1299">
        <f t="shared" si="132"/>
        <v>257.99725663407816</v>
      </c>
      <c r="N1299">
        <f t="shared" si="134"/>
        <v>270.48080963039234</v>
      </c>
      <c r="O1299" t="e">
        <f t="shared" si="135"/>
        <v>#N/A</v>
      </c>
      <c r="P1299" t="e">
        <f t="shared" si="136"/>
        <v>#N/A</v>
      </c>
      <c r="Q1299" t="e">
        <f t="shared" si="137"/>
        <v>#N/A</v>
      </c>
      <c r="U1299">
        <f>C1299/Navio!$J$4</f>
        <v>18.183580928702956</v>
      </c>
    </row>
    <row r="1300" spans="1:21" x14ac:dyDescent="0.3">
      <c r="A1300">
        <v>1298</v>
      </c>
      <c r="B1300" s="47">
        <v>540.10802789673232</v>
      </c>
      <c r="C1300" s="46">
        <v>324.44333181054668</v>
      </c>
      <c r="D1300" s="1">
        <v>40</v>
      </c>
      <c r="E1300" s="1">
        <v>38</v>
      </c>
      <c r="F1300" s="1">
        <v>34</v>
      </c>
      <c r="G1300" s="1" t="s">
        <v>50</v>
      </c>
      <c r="H1300" s="1" t="s">
        <v>50</v>
      </c>
      <c r="I1300" s="1" t="s">
        <v>50</v>
      </c>
      <c r="J1300" s="1" t="s">
        <v>50</v>
      </c>
      <c r="K1300" s="1" t="s">
        <v>50</v>
      </c>
      <c r="L1300">
        <f t="shared" si="133"/>
        <v>145.81890293924988</v>
      </c>
      <c r="M1300">
        <f t="shared" si="132"/>
        <v>221.02091728659002</v>
      </c>
      <c r="N1300">
        <f t="shared" si="134"/>
        <v>270.48080963039234</v>
      </c>
      <c r="O1300" t="e">
        <f t="shared" si="135"/>
        <v>#N/A</v>
      </c>
      <c r="P1300" t="e">
        <f t="shared" si="136"/>
        <v>#N/A</v>
      </c>
      <c r="Q1300" t="e">
        <f t="shared" si="137"/>
        <v>#N/A</v>
      </c>
      <c r="U1300">
        <f>C1300/Navio!$J$4</f>
        <v>17.518553569514243</v>
      </c>
    </row>
    <row r="1301" spans="1:21" x14ac:dyDescent="0.3">
      <c r="A1301">
        <v>1299</v>
      </c>
      <c r="B1301" s="47">
        <v>646.50172691698231</v>
      </c>
      <c r="C1301" s="46">
        <v>335.40724588280909</v>
      </c>
      <c r="D1301" s="1">
        <v>41</v>
      </c>
      <c r="E1301" s="1">
        <v>38</v>
      </c>
      <c r="F1301" s="1">
        <v>34</v>
      </c>
      <c r="G1301" s="1" t="s">
        <v>50</v>
      </c>
      <c r="H1301" s="1" t="s">
        <v>50</v>
      </c>
      <c r="I1301" s="1" t="s">
        <v>50</v>
      </c>
      <c r="J1301" s="1" t="s">
        <v>50</v>
      </c>
      <c r="K1301" s="1" t="s">
        <v>50</v>
      </c>
      <c r="L1301">
        <f t="shared" si="133"/>
        <v>310</v>
      </c>
      <c r="M1301">
        <f t="shared" si="132"/>
        <v>221.02091728659002</v>
      </c>
      <c r="N1301">
        <f t="shared" si="134"/>
        <v>270.48080963039234</v>
      </c>
      <c r="O1301" t="e">
        <f t="shared" si="135"/>
        <v>#N/A</v>
      </c>
      <c r="P1301" t="e">
        <f t="shared" si="136"/>
        <v>#N/A</v>
      </c>
      <c r="Q1301" t="e">
        <f t="shared" si="137"/>
        <v>#N/A</v>
      </c>
      <c r="U1301">
        <f>C1301/Navio!$J$4</f>
        <v>18.110558080547428</v>
      </c>
    </row>
    <row r="1302" spans="1:21" x14ac:dyDescent="0.3">
      <c r="A1302">
        <v>1300</v>
      </c>
      <c r="B1302" s="47">
        <v>830.48177486044221</v>
      </c>
      <c r="C1302" s="46">
        <v>324.20874169341732</v>
      </c>
      <c r="D1302" s="1">
        <v>40</v>
      </c>
      <c r="E1302" s="1">
        <v>39</v>
      </c>
      <c r="F1302" s="1">
        <v>34</v>
      </c>
      <c r="G1302" s="1" t="s">
        <v>50</v>
      </c>
      <c r="H1302" s="1" t="s">
        <v>50</v>
      </c>
      <c r="I1302" s="1" t="s">
        <v>50</v>
      </c>
      <c r="J1302" s="1" t="s">
        <v>50</v>
      </c>
      <c r="K1302" s="1" t="s">
        <v>50</v>
      </c>
      <c r="L1302">
        <f t="shared" si="133"/>
        <v>145.81890293924988</v>
      </c>
      <c r="M1302">
        <f t="shared" si="132"/>
        <v>511.39466425029991</v>
      </c>
      <c r="N1302">
        <f t="shared" si="134"/>
        <v>270.48080963039234</v>
      </c>
      <c r="O1302" t="e">
        <f t="shared" si="135"/>
        <v>#N/A</v>
      </c>
      <c r="P1302" t="e">
        <f t="shared" si="136"/>
        <v>#N/A</v>
      </c>
      <c r="Q1302" t="e">
        <f t="shared" si="137"/>
        <v>#N/A</v>
      </c>
      <c r="U1302">
        <f>C1302/Navio!$J$4</f>
        <v>17.5058867055942</v>
      </c>
    </row>
    <row r="1303" spans="1:21" x14ac:dyDescent="0.3">
      <c r="A1303">
        <v>1301</v>
      </c>
      <c r="B1303" s="47">
        <v>474.0871106101423</v>
      </c>
      <c r="C1303" s="46">
        <v>335.16357908074838</v>
      </c>
      <c r="D1303" s="1">
        <v>41</v>
      </c>
      <c r="E1303" s="1">
        <v>40</v>
      </c>
      <c r="F1303" s="1">
        <v>34</v>
      </c>
      <c r="G1303" s="1" t="s">
        <v>50</v>
      </c>
      <c r="H1303" s="1" t="s">
        <v>50</v>
      </c>
      <c r="I1303" s="1" t="s">
        <v>50</v>
      </c>
      <c r="J1303" s="1" t="s">
        <v>50</v>
      </c>
      <c r="K1303" s="1" t="s">
        <v>50</v>
      </c>
      <c r="L1303">
        <f t="shared" si="133"/>
        <v>310</v>
      </c>
      <c r="M1303">
        <f t="shared" si="132"/>
        <v>145.81890293924988</v>
      </c>
      <c r="N1303">
        <f t="shared" si="134"/>
        <v>270.48080963039234</v>
      </c>
      <c r="O1303" t="e">
        <f t="shared" si="135"/>
        <v>#N/A</v>
      </c>
      <c r="P1303" t="e">
        <f t="shared" si="136"/>
        <v>#N/A</v>
      </c>
      <c r="Q1303" t="e">
        <f t="shared" si="137"/>
        <v>#N/A</v>
      </c>
      <c r="U1303">
        <f>C1303/Navio!$J$4</f>
        <v>18.097401114425821</v>
      </c>
    </row>
    <row r="1304" spans="1:21" x14ac:dyDescent="0.3">
      <c r="A1304">
        <v>1302</v>
      </c>
      <c r="B1304" s="47">
        <v>628.58118663557809</v>
      </c>
      <c r="C1304" s="46">
        <v>315.02042811373553</v>
      </c>
      <c r="D1304" s="1">
        <v>37</v>
      </c>
      <c r="E1304" s="1">
        <v>35</v>
      </c>
      <c r="F1304" s="1">
        <v>36</v>
      </c>
      <c r="G1304" s="1" t="s">
        <v>50</v>
      </c>
      <c r="H1304" s="1" t="s">
        <v>50</v>
      </c>
      <c r="I1304" s="1" t="s">
        <v>50</v>
      </c>
      <c r="J1304" s="1" t="s">
        <v>50</v>
      </c>
      <c r="K1304" s="1" t="s">
        <v>50</v>
      </c>
      <c r="L1304">
        <f t="shared" si="133"/>
        <v>257.99725663407816</v>
      </c>
      <c r="M1304">
        <f t="shared" si="132"/>
        <v>153.37368866307943</v>
      </c>
      <c r="N1304">
        <f t="shared" si="134"/>
        <v>217.21024133842053</v>
      </c>
      <c r="O1304" t="e">
        <f t="shared" si="135"/>
        <v>#N/A</v>
      </c>
      <c r="P1304" t="e">
        <f t="shared" si="136"/>
        <v>#N/A</v>
      </c>
      <c r="Q1304" t="e">
        <f t="shared" si="137"/>
        <v>#N/A</v>
      </c>
      <c r="U1304">
        <f>C1304/Navio!$J$4</f>
        <v>17.009757034009073</v>
      </c>
    </row>
    <row r="1305" spans="1:21" x14ac:dyDescent="0.3">
      <c r="A1305">
        <v>1303</v>
      </c>
      <c r="B1305" s="47">
        <v>591.60484728809001</v>
      </c>
      <c r="C1305" s="46">
        <v>311.54945793490009</v>
      </c>
      <c r="D1305" s="1">
        <v>38</v>
      </c>
      <c r="E1305" s="1">
        <v>36</v>
      </c>
      <c r="F1305" s="1">
        <v>35</v>
      </c>
      <c r="G1305" s="1" t="s">
        <v>50</v>
      </c>
      <c r="H1305" s="1" t="s">
        <v>50</v>
      </c>
      <c r="I1305" s="1" t="s">
        <v>50</v>
      </c>
      <c r="J1305" s="1" t="s">
        <v>50</v>
      </c>
      <c r="K1305" s="1" t="s">
        <v>50</v>
      </c>
      <c r="L1305">
        <f t="shared" si="133"/>
        <v>221.02091728659002</v>
      </c>
      <c r="M1305">
        <f t="shared" si="132"/>
        <v>217.21024133842053</v>
      </c>
      <c r="N1305">
        <f t="shared" si="134"/>
        <v>153.37368866307943</v>
      </c>
      <c r="O1305" t="e">
        <f t="shared" si="135"/>
        <v>#N/A</v>
      </c>
      <c r="P1305" t="e">
        <f t="shared" si="136"/>
        <v>#N/A</v>
      </c>
      <c r="Q1305" t="e">
        <f t="shared" si="137"/>
        <v>#N/A</v>
      </c>
      <c r="U1305">
        <f>C1305/Navio!$J$4</f>
        <v>16.822339475827846</v>
      </c>
    </row>
    <row r="1306" spans="1:21" x14ac:dyDescent="0.3">
      <c r="A1306">
        <v>1304</v>
      </c>
      <c r="B1306" s="47">
        <v>881.9785942517999</v>
      </c>
      <c r="C1306" s="46">
        <v>316.57364707062521</v>
      </c>
      <c r="D1306" s="1">
        <v>39</v>
      </c>
      <c r="E1306" s="1">
        <v>36</v>
      </c>
      <c r="F1306" s="1">
        <v>35</v>
      </c>
      <c r="G1306" s="1" t="s">
        <v>50</v>
      </c>
      <c r="H1306" s="1" t="s">
        <v>50</v>
      </c>
      <c r="I1306" s="1" t="s">
        <v>50</v>
      </c>
      <c r="J1306" s="1" t="s">
        <v>50</v>
      </c>
      <c r="K1306" s="1" t="s">
        <v>50</v>
      </c>
      <c r="L1306">
        <f t="shared" si="133"/>
        <v>511.39466425029991</v>
      </c>
      <c r="M1306">
        <f t="shared" si="132"/>
        <v>217.21024133842053</v>
      </c>
      <c r="N1306">
        <f t="shared" si="134"/>
        <v>153.37368866307943</v>
      </c>
      <c r="O1306" t="e">
        <f t="shared" si="135"/>
        <v>#N/A</v>
      </c>
      <c r="P1306" t="e">
        <f t="shared" si="136"/>
        <v>#N/A</v>
      </c>
      <c r="Q1306" t="e">
        <f t="shared" si="137"/>
        <v>#N/A</v>
      </c>
      <c r="U1306">
        <f>C1306/Navio!$J$4</f>
        <v>17.093624220767428</v>
      </c>
    </row>
    <row r="1307" spans="1:21" x14ac:dyDescent="0.3">
      <c r="A1307">
        <v>1305</v>
      </c>
      <c r="B1307" s="47">
        <v>419.1902309812499</v>
      </c>
      <c r="C1307" s="46">
        <v>319.72592814564814</v>
      </c>
      <c r="D1307" s="1">
        <v>40</v>
      </c>
      <c r="E1307" s="1">
        <v>36</v>
      </c>
      <c r="F1307" s="1">
        <v>35</v>
      </c>
      <c r="G1307" s="1" t="s">
        <v>50</v>
      </c>
      <c r="H1307" s="1" t="s">
        <v>50</v>
      </c>
      <c r="I1307" s="1" t="s">
        <v>50</v>
      </c>
      <c r="J1307" s="1" t="s">
        <v>50</v>
      </c>
      <c r="K1307" s="1" t="s">
        <v>50</v>
      </c>
      <c r="L1307">
        <f t="shared" si="133"/>
        <v>145.81890293924988</v>
      </c>
      <c r="M1307">
        <f t="shared" si="132"/>
        <v>217.21024133842053</v>
      </c>
      <c r="N1307">
        <f t="shared" si="134"/>
        <v>153.37368866307943</v>
      </c>
      <c r="O1307" t="e">
        <f t="shared" si="135"/>
        <v>#N/A</v>
      </c>
      <c r="P1307" t="e">
        <f t="shared" si="136"/>
        <v>#N/A</v>
      </c>
      <c r="Q1307" t="e">
        <f t="shared" si="137"/>
        <v>#N/A</v>
      </c>
      <c r="U1307">
        <f>C1307/Navio!$J$4</f>
        <v>17.263833929103185</v>
      </c>
    </row>
    <row r="1308" spans="1:21" x14ac:dyDescent="0.3">
      <c r="A1308">
        <v>1306</v>
      </c>
      <c r="B1308" s="47">
        <v>525.58393000149999</v>
      </c>
      <c r="C1308" s="46">
        <v>330.68368670733025</v>
      </c>
      <c r="D1308" s="1">
        <v>41</v>
      </c>
      <c r="E1308" s="1">
        <v>36</v>
      </c>
      <c r="F1308" s="1">
        <v>35</v>
      </c>
      <c r="G1308" s="1" t="s">
        <v>50</v>
      </c>
      <c r="H1308" s="1" t="s">
        <v>50</v>
      </c>
      <c r="I1308" s="1" t="s">
        <v>50</v>
      </c>
      <c r="J1308" s="1" t="s">
        <v>50</v>
      </c>
      <c r="K1308" s="1" t="s">
        <v>50</v>
      </c>
      <c r="L1308">
        <f t="shared" si="133"/>
        <v>310</v>
      </c>
      <c r="M1308">
        <f t="shared" si="132"/>
        <v>217.21024133842053</v>
      </c>
      <c r="N1308">
        <f t="shared" si="134"/>
        <v>153.37368866307943</v>
      </c>
      <c r="O1308" t="e">
        <f t="shared" si="135"/>
        <v>#N/A</v>
      </c>
      <c r="P1308" t="e">
        <f t="shared" si="136"/>
        <v>#N/A</v>
      </c>
      <c r="Q1308" t="e">
        <f t="shared" si="137"/>
        <v>#N/A</v>
      </c>
      <c r="U1308">
        <f>C1308/Navio!$J$4</f>
        <v>17.855506068867566</v>
      </c>
    </row>
    <row r="1309" spans="1:21" x14ac:dyDescent="0.3">
      <c r="A1309">
        <v>1307</v>
      </c>
      <c r="B1309" s="47">
        <v>632.39186258374764</v>
      </c>
      <c r="C1309" s="46">
        <v>317.63027851306288</v>
      </c>
      <c r="D1309" s="1">
        <v>38</v>
      </c>
      <c r="E1309" s="1">
        <v>35</v>
      </c>
      <c r="F1309" s="1">
        <v>37</v>
      </c>
      <c r="G1309" s="1" t="s">
        <v>50</v>
      </c>
      <c r="H1309" s="1" t="s">
        <v>50</v>
      </c>
      <c r="I1309" s="1" t="s">
        <v>50</v>
      </c>
      <c r="J1309" s="1" t="s">
        <v>50</v>
      </c>
      <c r="K1309" s="1" t="s">
        <v>50</v>
      </c>
      <c r="L1309">
        <f t="shared" si="133"/>
        <v>221.02091728659002</v>
      </c>
      <c r="M1309">
        <f t="shared" si="132"/>
        <v>153.37368866307943</v>
      </c>
      <c r="N1309">
        <f t="shared" si="134"/>
        <v>257.99725663407816</v>
      </c>
      <c r="O1309" t="e">
        <f t="shared" si="135"/>
        <v>#N/A</v>
      </c>
      <c r="P1309" t="e">
        <f t="shared" si="136"/>
        <v>#N/A</v>
      </c>
      <c r="Q1309" t="e">
        <f t="shared" si="137"/>
        <v>#N/A</v>
      </c>
      <c r="U1309">
        <f>C1309/Navio!$J$4</f>
        <v>17.150677803666724</v>
      </c>
    </row>
    <row r="1310" spans="1:21" x14ac:dyDescent="0.3">
      <c r="A1310">
        <v>1308</v>
      </c>
      <c r="B1310" s="47">
        <v>459.97724627690752</v>
      </c>
      <c r="C1310" s="46">
        <v>325.78196486655986</v>
      </c>
      <c r="D1310" s="1">
        <v>40</v>
      </c>
      <c r="E1310" s="1">
        <v>35</v>
      </c>
      <c r="F1310" s="1">
        <v>37</v>
      </c>
      <c r="G1310" s="1" t="s">
        <v>50</v>
      </c>
      <c r="H1310" s="1" t="s">
        <v>50</v>
      </c>
      <c r="I1310" s="1" t="s">
        <v>50</v>
      </c>
      <c r="J1310" s="1" t="s">
        <v>50</v>
      </c>
      <c r="K1310" s="1" t="s">
        <v>50</v>
      </c>
      <c r="L1310">
        <f t="shared" si="133"/>
        <v>145.81890293924988</v>
      </c>
      <c r="M1310">
        <f t="shared" si="132"/>
        <v>153.37368866307943</v>
      </c>
      <c r="N1310">
        <f t="shared" si="134"/>
        <v>257.99725663407816</v>
      </c>
      <c r="O1310" t="e">
        <f t="shared" si="135"/>
        <v>#N/A</v>
      </c>
      <c r="P1310" t="e">
        <f t="shared" si="136"/>
        <v>#N/A</v>
      </c>
      <c r="Q1310" t="e">
        <f t="shared" si="137"/>
        <v>#N/A</v>
      </c>
      <c r="U1310">
        <f>C1310/Navio!$J$4</f>
        <v>17.590834034552074</v>
      </c>
    </row>
    <row r="1311" spans="1:21" x14ac:dyDescent="0.3">
      <c r="A1311">
        <v>1309</v>
      </c>
      <c r="B1311" s="47">
        <v>566.37094529715762</v>
      </c>
      <c r="C1311" s="46">
        <v>336.7097301167064</v>
      </c>
      <c r="D1311" s="1">
        <v>41</v>
      </c>
      <c r="E1311" s="1">
        <v>35</v>
      </c>
      <c r="F1311" s="1">
        <v>37</v>
      </c>
      <c r="G1311" s="1" t="s">
        <v>50</v>
      </c>
      <c r="H1311" s="1" t="s">
        <v>50</v>
      </c>
      <c r="I1311" s="1" t="s">
        <v>50</v>
      </c>
      <c r="J1311" s="1" t="s">
        <v>50</v>
      </c>
      <c r="K1311" s="1" t="s">
        <v>50</v>
      </c>
      <c r="L1311">
        <f t="shared" si="133"/>
        <v>310</v>
      </c>
      <c r="M1311">
        <f t="shared" si="132"/>
        <v>153.37368866307943</v>
      </c>
      <c r="N1311">
        <f t="shared" si="134"/>
        <v>257.99725663407816</v>
      </c>
      <c r="O1311" t="e">
        <f t="shared" si="135"/>
        <v>#N/A</v>
      </c>
      <c r="P1311" t="e">
        <f t="shared" si="136"/>
        <v>#N/A</v>
      </c>
      <c r="Q1311" t="e">
        <f t="shared" si="137"/>
        <v>#N/A</v>
      </c>
      <c r="U1311">
        <f>C1311/Navio!$J$4</f>
        <v>18.18088666365513</v>
      </c>
    </row>
    <row r="1312" spans="1:21" x14ac:dyDescent="0.3">
      <c r="A1312">
        <v>1310</v>
      </c>
      <c r="B1312" s="47">
        <v>885.78927019996934</v>
      </c>
      <c r="C1312" s="46">
        <v>316.84927338981481</v>
      </c>
      <c r="D1312" s="1">
        <v>39</v>
      </c>
      <c r="E1312" s="1">
        <v>38</v>
      </c>
      <c r="F1312" s="1">
        <v>35</v>
      </c>
      <c r="G1312" s="1" t="s">
        <v>50</v>
      </c>
      <c r="H1312" s="1" t="s">
        <v>50</v>
      </c>
      <c r="I1312" s="1" t="s">
        <v>50</v>
      </c>
      <c r="J1312" s="1" t="s">
        <v>50</v>
      </c>
      <c r="K1312" s="1" t="s">
        <v>50</v>
      </c>
      <c r="L1312">
        <f t="shared" si="133"/>
        <v>511.39466425029991</v>
      </c>
      <c r="M1312">
        <f t="shared" si="132"/>
        <v>221.02091728659002</v>
      </c>
      <c r="N1312">
        <f t="shared" si="134"/>
        <v>153.37368866307943</v>
      </c>
      <c r="O1312" t="e">
        <f t="shared" si="135"/>
        <v>#N/A</v>
      </c>
      <c r="P1312" t="e">
        <f t="shared" si="136"/>
        <v>#N/A</v>
      </c>
      <c r="Q1312" t="e">
        <f t="shared" si="137"/>
        <v>#N/A</v>
      </c>
      <c r="U1312">
        <f>C1312/Navio!$J$4</f>
        <v>17.108506864250788</v>
      </c>
    </row>
    <row r="1313" spans="1:21" x14ac:dyDescent="0.3">
      <c r="A1313">
        <v>1311</v>
      </c>
      <c r="B1313" s="47">
        <v>423.00090692941944</v>
      </c>
      <c r="C1313" s="46">
        <v>319.97805487916105</v>
      </c>
      <c r="D1313" s="1">
        <v>40</v>
      </c>
      <c r="E1313" s="1">
        <v>38</v>
      </c>
      <c r="F1313" s="1">
        <v>35</v>
      </c>
      <c r="G1313" s="1" t="s">
        <v>50</v>
      </c>
      <c r="H1313" s="1" t="s">
        <v>50</v>
      </c>
      <c r="I1313" s="1" t="s">
        <v>50</v>
      </c>
      <c r="J1313" s="1" t="s">
        <v>50</v>
      </c>
      <c r="K1313" s="1" t="s">
        <v>50</v>
      </c>
      <c r="L1313">
        <f t="shared" si="133"/>
        <v>145.81890293924988</v>
      </c>
      <c r="M1313">
        <f t="shared" si="132"/>
        <v>221.02091728659002</v>
      </c>
      <c r="N1313">
        <f t="shared" si="134"/>
        <v>153.37368866307943</v>
      </c>
      <c r="O1313" t="e">
        <f t="shared" si="135"/>
        <v>#N/A</v>
      </c>
      <c r="P1313" t="e">
        <f t="shared" si="136"/>
        <v>#N/A</v>
      </c>
      <c r="Q1313" t="e">
        <f t="shared" si="137"/>
        <v>#N/A</v>
      </c>
      <c r="U1313">
        <f>C1313/Navio!$J$4</f>
        <v>17.277447695373876</v>
      </c>
    </row>
    <row r="1314" spans="1:21" x14ac:dyDescent="0.3">
      <c r="A1314">
        <v>1312</v>
      </c>
      <c r="B1314" s="47">
        <v>529.39460594966943</v>
      </c>
      <c r="C1314" s="46">
        <v>330.94196895142341</v>
      </c>
      <c r="D1314" s="1">
        <v>41</v>
      </c>
      <c r="E1314" s="1">
        <v>38</v>
      </c>
      <c r="F1314" s="1">
        <v>35</v>
      </c>
      <c r="G1314" s="1" t="s">
        <v>50</v>
      </c>
      <c r="H1314" s="1" t="s">
        <v>50</v>
      </c>
      <c r="I1314" s="1" t="s">
        <v>50</v>
      </c>
      <c r="J1314" s="1" t="s">
        <v>50</v>
      </c>
      <c r="K1314" s="1" t="s">
        <v>50</v>
      </c>
      <c r="L1314">
        <f t="shared" si="133"/>
        <v>310</v>
      </c>
      <c r="M1314">
        <f t="shared" si="132"/>
        <v>221.02091728659002</v>
      </c>
      <c r="N1314">
        <f t="shared" si="134"/>
        <v>153.37368866307943</v>
      </c>
      <c r="O1314" t="e">
        <f t="shared" si="135"/>
        <v>#N/A</v>
      </c>
      <c r="P1314" t="e">
        <f t="shared" si="136"/>
        <v>#N/A</v>
      </c>
      <c r="Q1314" t="e">
        <f t="shared" si="137"/>
        <v>#N/A</v>
      </c>
      <c r="U1314">
        <f>C1314/Navio!$J$4</f>
        <v>17.869452206407058</v>
      </c>
    </row>
    <row r="1315" spans="1:21" x14ac:dyDescent="0.3">
      <c r="A1315">
        <v>1313</v>
      </c>
      <c r="B1315" s="47">
        <v>713.37465389312933</v>
      </c>
      <c r="C1315" s="46">
        <v>319.66489387991771</v>
      </c>
      <c r="D1315" s="1">
        <v>40</v>
      </c>
      <c r="E1315" s="1">
        <v>39</v>
      </c>
      <c r="F1315" s="1">
        <v>35</v>
      </c>
      <c r="G1315" s="1" t="s">
        <v>50</v>
      </c>
      <c r="H1315" s="1" t="s">
        <v>50</v>
      </c>
      <c r="I1315" s="1" t="s">
        <v>50</v>
      </c>
      <c r="J1315" s="1" t="s">
        <v>50</v>
      </c>
      <c r="K1315" s="1" t="s">
        <v>50</v>
      </c>
      <c r="L1315">
        <f t="shared" si="133"/>
        <v>145.81890293924988</v>
      </c>
      <c r="M1315">
        <f t="shared" si="132"/>
        <v>511.39466425029991</v>
      </c>
      <c r="N1315">
        <f t="shared" si="134"/>
        <v>153.37368866307943</v>
      </c>
      <c r="O1315" t="e">
        <f t="shared" si="135"/>
        <v>#N/A</v>
      </c>
      <c r="P1315" t="e">
        <f t="shared" si="136"/>
        <v>#N/A</v>
      </c>
      <c r="Q1315" t="e">
        <f t="shared" si="137"/>
        <v>#N/A</v>
      </c>
      <c r="U1315">
        <f>C1315/Navio!$J$4</f>
        <v>17.260538339553516</v>
      </c>
    </row>
    <row r="1316" spans="1:21" x14ac:dyDescent="0.3">
      <c r="A1316">
        <v>1314</v>
      </c>
      <c r="B1316" s="47">
        <v>819.76835291337932</v>
      </c>
      <c r="C1316" s="46">
        <v>330.62904843277545</v>
      </c>
      <c r="D1316" s="1">
        <v>41</v>
      </c>
      <c r="E1316" s="1">
        <v>39</v>
      </c>
      <c r="F1316" s="1">
        <v>35</v>
      </c>
      <c r="G1316" s="1" t="s">
        <v>50</v>
      </c>
      <c r="H1316" s="1" t="s">
        <v>50</v>
      </c>
      <c r="I1316" s="1" t="s">
        <v>50</v>
      </c>
      <c r="J1316" s="1" t="s">
        <v>50</v>
      </c>
      <c r="K1316" s="1" t="s">
        <v>50</v>
      </c>
      <c r="L1316">
        <f t="shared" si="133"/>
        <v>310</v>
      </c>
      <c r="M1316">
        <f t="shared" si="132"/>
        <v>511.39466425029991</v>
      </c>
      <c r="N1316">
        <f t="shared" si="134"/>
        <v>153.37368866307943</v>
      </c>
      <c r="O1316" t="e">
        <f t="shared" si="135"/>
        <v>#N/A</v>
      </c>
      <c r="P1316" t="e">
        <f t="shared" si="136"/>
        <v>#N/A</v>
      </c>
      <c r="Q1316" t="e">
        <f t="shared" si="137"/>
        <v>#N/A</v>
      </c>
      <c r="U1316">
        <f>C1316/Navio!$J$4</f>
        <v>17.852555835511275</v>
      </c>
    </row>
    <row r="1317" spans="1:21" x14ac:dyDescent="0.3">
      <c r="A1317">
        <v>1315</v>
      </c>
      <c r="B1317" s="47">
        <v>356.97998964282942</v>
      </c>
      <c r="C1317" s="46">
        <v>330.62679928080706</v>
      </c>
      <c r="D1317" s="1">
        <v>41</v>
      </c>
      <c r="E1317" s="1">
        <v>40</v>
      </c>
      <c r="F1317" s="1">
        <v>35</v>
      </c>
      <c r="G1317" s="1" t="s">
        <v>50</v>
      </c>
      <c r="H1317" s="1" t="s">
        <v>50</v>
      </c>
      <c r="I1317" s="1" t="s">
        <v>50</v>
      </c>
      <c r="J1317" s="1" t="s">
        <v>50</v>
      </c>
      <c r="K1317" s="1" t="s">
        <v>50</v>
      </c>
      <c r="L1317">
        <f t="shared" si="133"/>
        <v>310</v>
      </c>
      <c r="M1317">
        <f t="shared" si="132"/>
        <v>145.81890293924988</v>
      </c>
      <c r="N1317">
        <f t="shared" si="134"/>
        <v>153.37368866307943</v>
      </c>
      <c r="O1317" t="e">
        <f t="shared" si="135"/>
        <v>#N/A</v>
      </c>
      <c r="P1317" t="e">
        <f t="shared" si="136"/>
        <v>#N/A</v>
      </c>
      <c r="Q1317" t="e">
        <f t="shared" si="137"/>
        <v>#N/A</v>
      </c>
      <c r="U1317">
        <f>C1317/Navio!$J$4</f>
        <v>17.852434390915622</v>
      </c>
    </row>
    <row r="1318" spans="1:21" x14ac:dyDescent="0.3">
      <c r="A1318">
        <v>1316</v>
      </c>
      <c r="B1318" s="47">
        <v>696.22841525908871</v>
      </c>
      <c r="C1318" s="46">
        <v>316.80056900442696</v>
      </c>
      <c r="D1318" s="1">
        <v>37</v>
      </c>
      <c r="E1318" s="1">
        <v>38</v>
      </c>
      <c r="F1318" s="1">
        <v>36</v>
      </c>
      <c r="G1318" s="1" t="s">
        <v>50</v>
      </c>
      <c r="H1318" s="1" t="s">
        <v>50</v>
      </c>
      <c r="I1318" s="1" t="s">
        <v>50</v>
      </c>
      <c r="J1318" s="1" t="s">
        <v>50</v>
      </c>
      <c r="K1318" s="1" t="s">
        <v>50</v>
      </c>
      <c r="L1318">
        <f t="shared" si="133"/>
        <v>257.99725663407816</v>
      </c>
      <c r="M1318">
        <f t="shared" si="132"/>
        <v>221.02091728659002</v>
      </c>
      <c r="N1318">
        <f t="shared" si="134"/>
        <v>217.21024133842053</v>
      </c>
      <c r="O1318" t="e">
        <f t="shared" si="135"/>
        <v>#N/A</v>
      </c>
      <c r="P1318" t="e">
        <f t="shared" si="136"/>
        <v>#N/A</v>
      </c>
      <c r="Q1318" t="e">
        <f t="shared" si="137"/>
        <v>#N/A</v>
      </c>
      <c r="U1318">
        <f>C1318/Navio!$J$4</f>
        <v>17.10587703555397</v>
      </c>
    </row>
    <row r="1319" spans="1:21" x14ac:dyDescent="0.3">
      <c r="A1319">
        <v>1317</v>
      </c>
      <c r="B1319" s="47">
        <v>523.81379895224859</v>
      </c>
      <c r="C1319" s="46">
        <v>325.22576300694845</v>
      </c>
      <c r="D1319" s="1">
        <v>40</v>
      </c>
      <c r="E1319" s="1">
        <v>36</v>
      </c>
      <c r="F1319" s="1">
        <v>37</v>
      </c>
      <c r="G1319" s="1" t="s">
        <v>50</v>
      </c>
      <c r="H1319" s="1" t="s">
        <v>50</v>
      </c>
      <c r="I1319" s="1" t="s">
        <v>50</v>
      </c>
      <c r="J1319" s="1" t="s">
        <v>50</v>
      </c>
      <c r="K1319" s="1" t="s">
        <v>50</v>
      </c>
      <c r="L1319">
        <f t="shared" si="133"/>
        <v>145.81890293924988</v>
      </c>
      <c r="M1319">
        <f t="shared" si="132"/>
        <v>217.21024133842053</v>
      </c>
      <c r="N1319">
        <f t="shared" si="134"/>
        <v>257.99725663407816</v>
      </c>
      <c r="O1319" t="e">
        <f t="shared" si="135"/>
        <v>#N/A</v>
      </c>
      <c r="P1319" t="e">
        <f t="shared" si="136"/>
        <v>#N/A</v>
      </c>
      <c r="Q1319" t="e">
        <f t="shared" si="137"/>
        <v>#N/A</v>
      </c>
      <c r="U1319">
        <f>C1319/Navio!$J$4</f>
        <v>17.56080151078686</v>
      </c>
    </row>
    <row r="1320" spans="1:21" x14ac:dyDescent="0.3">
      <c r="A1320">
        <v>1318</v>
      </c>
      <c r="B1320" s="47">
        <v>630.20749797249869</v>
      </c>
      <c r="C1320" s="46">
        <v>336.18352156863062</v>
      </c>
      <c r="D1320" s="1">
        <v>41</v>
      </c>
      <c r="E1320" s="1">
        <v>36</v>
      </c>
      <c r="F1320" s="1">
        <v>37</v>
      </c>
      <c r="G1320" s="1" t="s">
        <v>50</v>
      </c>
      <c r="H1320" s="1" t="s">
        <v>50</v>
      </c>
      <c r="I1320" s="1" t="s">
        <v>50</v>
      </c>
      <c r="J1320" s="1" t="s">
        <v>50</v>
      </c>
      <c r="K1320" s="1" t="s">
        <v>50</v>
      </c>
      <c r="L1320">
        <f t="shared" si="133"/>
        <v>310</v>
      </c>
      <c r="M1320">
        <f t="shared" si="132"/>
        <v>217.21024133842053</v>
      </c>
      <c r="N1320">
        <f t="shared" si="134"/>
        <v>257.99725663407816</v>
      </c>
      <c r="O1320" t="e">
        <f t="shared" si="135"/>
        <v>#N/A</v>
      </c>
      <c r="P1320" t="e">
        <f t="shared" si="136"/>
        <v>#N/A</v>
      </c>
      <c r="Q1320" t="e">
        <f t="shared" si="137"/>
        <v>#N/A</v>
      </c>
      <c r="U1320">
        <f>C1320/Navio!$J$4</f>
        <v>18.152473650551244</v>
      </c>
    </row>
    <row r="1321" spans="1:21" x14ac:dyDescent="0.3">
      <c r="A1321">
        <v>1319</v>
      </c>
      <c r="B1321" s="47">
        <v>486.83745960476051</v>
      </c>
      <c r="C1321" s="46">
        <v>319.12879794549258</v>
      </c>
      <c r="D1321" s="1">
        <v>40</v>
      </c>
      <c r="E1321" s="1">
        <v>38</v>
      </c>
      <c r="F1321" s="1">
        <v>36</v>
      </c>
      <c r="G1321" s="1" t="s">
        <v>50</v>
      </c>
      <c r="H1321" s="1" t="s">
        <v>50</v>
      </c>
      <c r="I1321" s="1" t="s">
        <v>50</v>
      </c>
      <c r="J1321" s="1" t="s">
        <v>50</v>
      </c>
      <c r="K1321" s="1" t="s">
        <v>50</v>
      </c>
      <c r="L1321">
        <f t="shared" si="133"/>
        <v>145.81890293924988</v>
      </c>
      <c r="M1321">
        <f t="shared" si="132"/>
        <v>221.02091728659002</v>
      </c>
      <c r="N1321">
        <f t="shared" si="134"/>
        <v>217.21024133842053</v>
      </c>
      <c r="O1321" t="e">
        <f t="shared" si="135"/>
        <v>#N/A</v>
      </c>
      <c r="P1321" t="e">
        <f t="shared" si="136"/>
        <v>#N/A</v>
      </c>
      <c r="Q1321" t="e">
        <f t="shared" si="137"/>
        <v>#N/A</v>
      </c>
      <c r="U1321">
        <f>C1321/Navio!$J$4</f>
        <v>17.231591449835623</v>
      </c>
    </row>
    <row r="1322" spans="1:21" x14ac:dyDescent="0.3">
      <c r="A1322">
        <v>1320</v>
      </c>
      <c r="B1322" s="47">
        <v>593.23115862501049</v>
      </c>
      <c r="C1322" s="46">
        <v>330.09271201775493</v>
      </c>
      <c r="D1322" s="1">
        <v>41</v>
      </c>
      <c r="E1322" s="1">
        <v>38</v>
      </c>
      <c r="F1322" s="1">
        <v>36</v>
      </c>
      <c r="G1322" s="1" t="s">
        <v>50</v>
      </c>
      <c r="H1322" s="1" t="s">
        <v>50</v>
      </c>
      <c r="I1322" s="1" t="s">
        <v>50</v>
      </c>
      <c r="J1322" s="1" t="s">
        <v>50</v>
      </c>
      <c r="K1322" s="1" t="s">
        <v>50</v>
      </c>
      <c r="L1322">
        <f t="shared" si="133"/>
        <v>310</v>
      </c>
      <c r="M1322">
        <f t="shared" si="132"/>
        <v>221.02091728659002</v>
      </c>
      <c r="N1322">
        <f t="shared" si="134"/>
        <v>217.21024133842053</v>
      </c>
      <c r="O1322" t="e">
        <f t="shared" si="135"/>
        <v>#N/A</v>
      </c>
      <c r="P1322" t="e">
        <f t="shared" si="136"/>
        <v>#N/A</v>
      </c>
      <c r="Q1322" t="e">
        <f t="shared" si="137"/>
        <v>#N/A</v>
      </c>
      <c r="U1322">
        <f>C1322/Navio!$J$4</f>
        <v>17.823595960868808</v>
      </c>
    </row>
    <row r="1323" spans="1:21" x14ac:dyDescent="0.3">
      <c r="A1323">
        <v>1321</v>
      </c>
      <c r="B1323" s="47">
        <v>777.2112065684704</v>
      </c>
      <c r="C1323" s="46">
        <v>318.83405928134476</v>
      </c>
      <c r="D1323" s="1">
        <v>40</v>
      </c>
      <c r="E1323" s="1">
        <v>39</v>
      </c>
      <c r="F1323" s="1">
        <v>36</v>
      </c>
      <c r="G1323" s="1" t="s">
        <v>50</v>
      </c>
      <c r="H1323" s="1" t="s">
        <v>50</v>
      </c>
      <c r="I1323" s="1" t="s">
        <v>50</v>
      </c>
      <c r="J1323" s="1" t="s">
        <v>50</v>
      </c>
      <c r="K1323" s="1" t="s">
        <v>50</v>
      </c>
      <c r="L1323">
        <f t="shared" si="133"/>
        <v>145.81890293924988</v>
      </c>
      <c r="M1323">
        <f t="shared" si="132"/>
        <v>511.39466425029991</v>
      </c>
      <c r="N1323">
        <f t="shared" si="134"/>
        <v>217.21024133842053</v>
      </c>
      <c r="O1323" t="e">
        <f t="shared" si="135"/>
        <v>#N/A</v>
      </c>
      <c r="P1323" t="e">
        <f t="shared" si="136"/>
        <v>#N/A</v>
      </c>
      <c r="Q1323" t="e">
        <f t="shared" si="137"/>
        <v>#N/A</v>
      </c>
      <c r="U1323">
        <f>C1323/Navio!$J$4</f>
        <v>17.215676821391678</v>
      </c>
    </row>
    <row r="1324" spans="1:21" x14ac:dyDescent="0.3">
      <c r="A1324">
        <v>1322</v>
      </c>
      <c r="B1324" s="47">
        <v>883.60490558872038</v>
      </c>
      <c r="C1324" s="46">
        <v>329.79821383420244</v>
      </c>
      <c r="D1324" s="1">
        <v>41</v>
      </c>
      <c r="E1324" s="1">
        <v>39</v>
      </c>
      <c r="F1324" s="1">
        <v>36</v>
      </c>
      <c r="G1324" s="1" t="s">
        <v>50</v>
      </c>
      <c r="H1324" s="1" t="s">
        <v>50</v>
      </c>
      <c r="I1324" s="1" t="s">
        <v>50</v>
      </c>
      <c r="J1324" s="1" t="s">
        <v>50</v>
      </c>
      <c r="K1324" s="1" t="s">
        <v>50</v>
      </c>
      <c r="L1324">
        <f t="shared" si="133"/>
        <v>310</v>
      </c>
      <c r="M1324">
        <f t="shared" si="132"/>
        <v>511.39466425029991</v>
      </c>
      <c r="N1324">
        <f t="shared" si="134"/>
        <v>217.21024133842053</v>
      </c>
      <c r="O1324" t="e">
        <f t="shared" si="135"/>
        <v>#N/A</v>
      </c>
      <c r="P1324" t="e">
        <f t="shared" si="136"/>
        <v>#N/A</v>
      </c>
      <c r="Q1324" t="e">
        <f t="shared" si="137"/>
        <v>#N/A</v>
      </c>
      <c r="U1324">
        <f>C1324/Navio!$J$4</f>
        <v>17.807694317349434</v>
      </c>
    </row>
    <row r="1325" spans="1:21" x14ac:dyDescent="0.3">
      <c r="A1325">
        <v>1323</v>
      </c>
      <c r="B1325" s="47">
        <v>420.81654231817049</v>
      </c>
      <c r="C1325" s="46">
        <v>329.8023262043896</v>
      </c>
      <c r="D1325" s="1">
        <v>41</v>
      </c>
      <c r="E1325" s="1">
        <v>40</v>
      </c>
      <c r="F1325" s="1">
        <v>36</v>
      </c>
      <c r="G1325" s="1" t="s">
        <v>50</v>
      </c>
      <c r="H1325" s="1" t="s">
        <v>50</v>
      </c>
      <c r="I1325" s="1" t="s">
        <v>50</v>
      </c>
      <c r="J1325" s="1" t="s">
        <v>50</v>
      </c>
      <c r="K1325" s="1" t="s">
        <v>50</v>
      </c>
      <c r="L1325">
        <f t="shared" si="133"/>
        <v>310</v>
      </c>
      <c r="M1325">
        <f t="shared" si="132"/>
        <v>145.81890293924988</v>
      </c>
      <c r="N1325">
        <f t="shared" si="134"/>
        <v>217.21024133842053</v>
      </c>
      <c r="O1325" t="e">
        <f t="shared" si="135"/>
        <v>#N/A</v>
      </c>
      <c r="P1325" t="e">
        <f t="shared" si="136"/>
        <v>#N/A</v>
      </c>
      <c r="Q1325" t="e">
        <f t="shared" si="137"/>
        <v>#N/A</v>
      </c>
      <c r="U1325">
        <f>C1325/Navio!$J$4</f>
        <v>17.807916367767358</v>
      </c>
    </row>
    <row r="1326" spans="1:21" x14ac:dyDescent="0.3">
      <c r="A1326">
        <v>1324</v>
      </c>
      <c r="B1326" s="47">
        <v>527.62447490041814</v>
      </c>
      <c r="C1326" s="46">
        <v>325.01520515806169</v>
      </c>
      <c r="D1326" s="1">
        <v>40</v>
      </c>
      <c r="E1326" s="1">
        <v>38</v>
      </c>
      <c r="F1326" s="1">
        <v>37</v>
      </c>
      <c r="G1326" s="1" t="s">
        <v>50</v>
      </c>
      <c r="H1326" s="1" t="s">
        <v>50</v>
      </c>
      <c r="I1326" s="1" t="s">
        <v>50</v>
      </c>
      <c r="J1326" s="1" t="s">
        <v>50</v>
      </c>
      <c r="K1326" s="1" t="s">
        <v>50</v>
      </c>
      <c r="L1326">
        <f t="shared" si="133"/>
        <v>145.81890293924988</v>
      </c>
      <c r="M1326">
        <f t="shared" si="132"/>
        <v>221.02091728659002</v>
      </c>
      <c r="N1326">
        <f t="shared" si="134"/>
        <v>257.99725663407816</v>
      </c>
      <c r="O1326" t="e">
        <f t="shared" si="135"/>
        <v>#N/A</v>
      </c>
      <c r="P1326" t="e">
        <f t="shared" si="136"/>
        <v>#N/A</v>
      </c>
      <c r="Q1326" t="e">
        <f t="shared" si="137"/>
        <v>#N/A</v>
      </c>
      <c r="U1326">
        <f>C1326/Navio!$J$4</f>
        <v>17.549432286661894</v>
      </c>
    </row>
    <row r="1327" spans="1:21" x14ac:dyDescent="0.3">
      <c r="A1327">
        <v>1325</v>
      </c>
      <c r="B1327" s="47">
        <v>634.01817392066823</v>
      </c>
      <c r="C1327" s="46">
        <v>335.9791192303241</v>
      </c>
      <c r="D1327" s="1">
        <v>41</v>
      </c>
      <c r="E1327" s="1">
        <v>38</v>
      </c>
      <c r="F1327" s="1">
        <v>37</v>
      </c>
      <c r="G1327" s="1" t="s">
        <v>50</v>
      </c>
      <c r="H1327" s="1" t="s">
        <v>50</v>
      </c>
      <c r="I1327" s="1" t="s">
        <v>50</v>
      </c>
      <c r="J1327" s="1" t="s">
        <v>50</v>
      </c>
      <c r="K1327" s="1" t="s">
        <v>50</v>
      </c>
      <c r="L1327">
        <f t="shared" si="133"/>
        <v>310</v>
      </c>
      <c r="M1327">
        <f t="shared" si="132"/>
        <v>221.02091728659002</v>
      </c>
      <c r="N1327">
        <f t="shared" si="134"/>
        <v>257.99725663407816</v>
      </c>
      <c r="O1327" t="e">
        <f t="shared" si="135"/>
        <v>#N/A</v>
      </c>
      <c r="P1327" t="e">
        <f t="shared" si="136"/>
        <v>#N/A</v>
      </c>
      <c r="Q1327" t="e">
        <f t="shared" si="137"/>
        <v>#N/A</v>
      </c>
      <c r="U1327">
        <f>C1327/Navio!$J$4</f>
        <v>18.141436797695079</v>
      </c>
    </row>
    <row r="1328" spans="1:21" x14ac:dyDescent="0.3">
      <c r="A1328">
        <v>1326</v>
      </c>
      <c r="B1328" s="47">
        <v>817.99822186412803</v>
      </c>
      <c r="C1328" s="46">
        <v>325.03857593503841</v>
      </c>
      <c r="D1328" s="1">
        <v>40</v>
      </c>
      <c r="E1328" s="1">
        <v>39</v>
      </c>
      <c r="F1328" s="1">
        <v>37</v>
      </c>
      <c r="G1328" s="1" t="s">
        <v>50</v>
      </c>
      <c r="H1328" s="1" t="s">
        <v>50</v>
      </c>
      <c r="I1328" s="1" t="s">
        <v>50</v>
      </c>
      <c r="J1328" s="1" t="s">
        <v>50</v>
      </c>
      <c r="K1328" s="1" t="s">
        <v>50</v>
      </c>
      <c r="L1328">
        <f t="shared" si="133"/>
        <v>145.81890293924988</v>
      </c>
      <c r="M1328">
        <f t="shared" si="132"/>
        <v>511.39466425029991</v>
      </c>
      <c r="N1328">
        <f t="shared" si="134"/>
        <v>257.99725663407816</v>
      </c>
      <c r="O1328" t="e">
        <f t="shared" si="135"/>
        <v>#N/A</v>
      </c>
      <c r="P1328" t="e">
        <f t="shared" si="136"/>
        <v>#N/A</v>
      </c>
      <c r="Q1328" t="e">
        <f t="shared" si="137"/>
        <v>#N/A</v>
      </c>
      <c r="U1328">
        <f>C1328/Navio!$J$4</f>
        <v>17.550694208755168</v>
      </c>
    </row>
    <row r="1329" spans="1:21" x14ac:dyDescent="0.3">
      <c r="A1329">
        <v>1327</v>
      </c>
      <c r="B1329" s="47">
        <v>461.60355761382812</v>
      </c>
      <c r="C1329" s="46">
        <v>335.97477467474368</v>
      </c>
      <c r="D1329" s="1">
        <v>41</v>
      </c>
      <c r="E1329" s="1">
        <v>40</v>
      </c>
      <c r="F1329" s="1">
        <v>37</v>
      </c>
      <c r="G1329" s="1" t="s">
        <v>50</v>
      </c>
      <c r="H1329" s="1" t="s">
        <v>50</v>
      </c>
      <c r="I1329" s="1" t="s">
        <v>50</v>
      </c>
      <c r="J1329" s="1" t="s">
        <v>50</v>
      </c>
      <c r="K1329" s="1" t="s">
        <v>50</v>
      </c>
      <c r="L1329">
        <f t="shared" si="133"/>
        <v>310</v>
      </c>
      <c r="M1329">
        <f t="shared" si="132"/>
        <v>145.81890293924988</v>
      </c>
      <c r="N1329">
        <f t="shared" si="134"/>
        <v>257.99725663407816</v>
      </c>
      <c r="O1329" t="e">
        <f t="shared" si="135"/>
        <v>#N/A</v>
      </c>
      <c r="P1329" t="e">
        <f t="shared" si="136"/>
        <v>#N/A</v>
      </c>
      <c r="Q1329" t="e">
        <f t="shared" si="137"/>
        <v>#N/A</v>
      </c>
      <c r="U1329">
        <f>C1329/Navio!$J$4</f>
        <v>18.141202210258047</v>
      </c>
    </row>
    <row r="1330" spans="1:21" x14ac:dyDescent="0.3">
      <c r="A1330">
        <v>1328</v>
      </c>
      <c r="B1330" s="47">
        <v>781.02188251663983</v>
      </c>
      <c r="C1330" s="46">
        <v>318.89572480990807</v>
      </c>
      <c r="D1330" s="1">
        <v>40</v>
      </c>
      <c r="E1330" s="1">
        <v>39</v>
      </c>
      <c r="F1330" s="1">
        <v>38</v>
      </c>
      <c r="G1330" s="1" t="s">
        <v>50</v>
      </c>
      <c r="H1330" s="1" t="s">
        <v>50</v>
      </c>
      <c r="I1330" s="1" t="s">
        <v>50</v>
      </c>
      <c r="J1330" s="1" t="s">
        <v>50</v>
      </c>
      <c r="K1330" s="1" t="s">
        <v>50</v>
      </c>
      <c r="L1330">
        <f t="shared" si="133"/>
        <v>145.81890293924988</v>
      </c>
      <c r="M1330">
        <f t="shared" si="132"/>
        <v>511.39466425029991</v>
      </c>
      <c r="N1330">
        <f t="shared" si="134"/>
        <v>221.02091728659002</v>
      </c>
      <c r="O1330" t="e">
        <f t="shared" si="135"/>
        <v>#N/A</v>
      </c>
      <c r="P1330" t="e">
        <f t="shared" si="136"/>
        <v>#N/A</v>
      </c>
      <c r="Q1330" t="e">
        <f t="shared" si="137"/>
        <v>#N/A</v>
      </c>
      <c r="U1330">
        <f>C1330/Navio!$J$4</f>
        <v>17.219006496436933</v>
      </c>
    </row>
    <row r="1331" spans="1:21" x14ac:dyDescent="0.3">
      <c r="A1331">
        <v>1329</v>
      </c>
      <c r="B1331" s="47">
        <v>887.41558153688993</v>
      </c>
      <c r="C1331" s="46">
        <v>329.85987936276581</v>
      </c>
      <c r="D1331" s="1">
        <v>41</v>
      </c>
      <c r="E1331" s="1">
        <v>39</v>
      </c>
      <c r="F1331" s="1">
        <v>38</v>
      </c>
      <c r="G1331" s="1" t="s">
        <v>50</v>
      </c>
      <c r="H1331" s="1" t="s">
        <v>50</v>
      </c>
      <c r="I1331" s="1" t="s">
        <v>50</v>
      </c>
      <c r="J1331" s="1" t="s">
        <v>50</v>
      </c>
      <c r="K1331" s="1" t="s">
        <v>50</v>
      </c>
      <c r="L1331">
        <f t="shared" si="133"/>
        <v>310</v>
      </c>
      <c r="M1331">
        <f t="shared" si="132"/>
        <v>511.39466425029991</v>
      </c>
      <c r="N1331">
        <f t="shared" si="134"/>
        <v>221.02091728659002</v>
      </c>
      <c r="O1331" t="e">
        <f t="shared" si="135"/>
        <v>#N/A</v>
      </c>
      <c r="P1331" t="e">
        <f t="shared" si="136"/>
        <v>#N/A</v>
      </c>
      <c r="Q1331" t="e">
        <f t="shared" si="137"/>
        <v>#N/A</v>
      </c>
      <c r="U1331">
        <f>C1331/Navio!$J$4</f>
        <v>17.811023992394691</v>
      </c>
    </row>
    <row r="1332" spans="1:21" x14ac:dyDescent="0.3">
      <c r="A1332">
        <v>1330</v>
      </c>
      <c r="B1332" s="47">
        <v>424.62721826633998</v>
      </c>
      <c r="C1332" s="46">
        <v>329.84049214727628</v>
      </c>
      <c r="D1332" s="1">
        <v>41</v>
      </c>
      <c r="E1332" s="1">
        <v>40</v>
      </c>
      <c r="F1332" s="1">
        <v>38</v>
      </c>
      <c r="G1332" s="1" t="s">
        <v>50</v>
      </c>
      <c r="H1332" s="1" t="s">
        <v>50</v>
      </c>
      <c r="I1332" s="1" t="s">
        <v>50</v>
      </c>
      <c r="J1332" s="1" t="s">
        <v>50</v>
      </c>
      <c r="K1332" s="1" t="s">
        <v>50</v>
      </c>
      <c r="L1332">
        <f t="shared" si="133"/>
        <v>310</v>
      </c>
      <c r="M1332">
        <f t="shared" si="132"/>
        <v>145.81890293924988</v>
      </c>
      <c r="N1332">
        <f t="shared" si="134"/>
        <v>221.02091728659002</v>
      </c>
      <c r="O1332" t="e">
        <f t="shared" si="135"/>
        <v>#N/A</v>
      </c>
      <c r="P1332" t="e">
        <f t="shared" si="136"/>
        <v>#N/A</v>
      </c>
      <c r="Q1332" t="e">
        <f t="shared" si="137"/>
        <v>#N/A</v>
      </c>
      <c r="U1332">
        <f>C1332/Navio!$J$4</f>
        <v>17.809977165599943</v>
      </c>
    </row>
    <row r="1333" spans="1:21" x14ac:dyDescent="0.3">
      <c r="A1333">
        <v>1331</v>
      </c>
      <c r="B1333" s="47">
        <v>715.00096523004981</v>
      </c>
      <c r="C1333" s="46">
        <v>326.38489353503587</v>
      </c>
      <c r="D1333" s="1">
        <v>41</v>
      </c>
      <c r="E1333" s="1">
        <v>40</v>
      </c>
      <c r="F1333" s="1">
        <v>39</v>
      </c>
      <c r="G1333" s="1" t="s">
        <v>50</v>
      </c>
      <c r="H1333" s="1" t="s">
        <v>50</v>
      </c>
      <c r="I1333" s="1" t="s">
        <v>50</v>
      </c>
      <c r="J1333" s="1" t="s">
        <v>50</v>
      </c>
      <c r="K1333" s="1" t="s">
        <v>50</v>
      </c>
      <c r="L1333">
        <f t="shared" si="133"/>
        <v>310</v>
      </c>
      <c r="M1333">
        <f t="shared" si="132"/>
        <v>145.81890293924988</v>
      </c>
      <c r="N1333">
        <f t="shared" si="134"/>
        <v>511.39466425029991</v>
      </c>
      <c r="O1333" t="e">
        <f t="shared" si="135"/>
        <v>#N/A</v>
      </c>
      <c r="P1333" t="e">
        <f t="shared" si="136"/>
        <v>#N/A</v>
      </c>
      <c r="Q1333" t="e">
        <f t="shared" si="137"/>
        <v>#N/A</v>
      </c>
      <c r="U1333">
        <f>C1333/Navio!$J$4</f>
        <v>17.623389606332051</v>
      </c>
    </row>
    <row r="1334" spans="1:21" x14ac:dyDescent="0.3">
      <c r="A1334">
        <v>1332</v>
      </c>
      <c r="B1334" s="47">
        <v>899.06199626597049</v>
      </c>
      <c r="C1334" s="46">
        <v>315.82426941237702</v>
      </c>
      <c r="D1334" s="1">
        <v>36</v>
      </c>
      <c r="E1334" s="1">
        <v>35</v>
      </c>
      <c r="F1334" s="1">
        <v>37</v>
      </c>
      <c r="G1334" s="1">
        <v>34</v>
      </c>
      <c r="H1334" s="1" t="s">
        <v>50</v>
      </c>
      <c r="I1334" s="1" t="s">
        <v>50</v>
      </c>
      <c r="J1334" s="1" t="s">
        <v>50</v>
      </c>
      <c r="K1334" s="1" t="s">
        <v>50</v>
      </c>
      <c r="L1334">
        <f t="shared" si="133"/>
        <v>217.21024133842053</v>
      </c>
      <c r="M1334">
        <f t="shared" si="132"/>
        <v>153.37368866307943</v>
      </c>
      <c r="N1334">
        <f t="shared" si="134"/>
        <v>257.99725663407816</v>
      </c>
      <c r="O1334">
        <f t="shared" si="135"/>
        <v>270.48080963039234</v>
      </c>
      <c r="P1334" t="e">
        <f t="shared" si="136"/>
        <v>#N/A</v>
      </c>
      <c r="Q1334" t="e">
        <f t="shared" si="137"/>
        <v>#N/A</v>
      </c>
      <c r="U1334">
        <f>C1334/Navio!$J$4</f>
        <v>17.053161029317142</v>
      </c>
    </row>
    <row r="1335" spans="1:21" x14ac:dyDescent="0.3">
      <c r="A1335">
        <v>1333</v>
      </c>
      <c r="B1335" s="47">
        <v>862.0856569184823</v>
      </c>
      <c r="C1335" s="46">
        <v>316.10047470623886</v>
      </c>
      <c r="D1335" s="1">
        <v>38</v>
      </c>
      <c r="E1335" s="1">
        <v>36</v>
      </c>
      <c r="F1335" s="1">
        <v>35</v>
      </c>
      <c r="G1335" s="1">
        <v>34</v>
      </c>
      <c r="H1335" s="1" t="s">
        <v>50</v>
      </c>
      <c r="I1335" s="1" t="s">
        <v>50</v>
      </c>
      <c r="J1335" s="1" t="s">
        <v>50</v>
      </c>
      <c r="K1335" s="1" t="s">
        <v>50</v>
      </c>
      <c r="L1335">
        <f t="shared" si="133"/>
        <v>221.02091728659002</v>
      </c>
      <c r="M1335">
        <f t="shared" si="132"/>
        <v>217.21024133842053</v>
      </c>
      <c r="N1335">
        <f t="shared" si="134"/>
        <v>153.37368866307943</v>
      </c>
      <c r="O1335">
        <f t="shared" si="135"/>
        <v>270.48080963039234</v>
      </c>
      <c r="P1335" t="e">
        <f t="shared" si="136"/>
        <v>#N/A</v>
      </c>
      <c r="Q1335" t="e">
        <f t="shared" si="137"/>
        <v>#N/A</v>
      </c>
      <c r="U1335">
        <f>C1335/Navio!$J$4</f>
        <v>17.068074934958844</v>
      </c>
    </row>
    <row r="1336" spans="1:21" x14ac:dyDescent="0.3">
      <c r="A1336">
        <v>1334</v>
      </c>
      <c r="B1336" s="47">
        <v>689.6710406116423</v>
      </c>
      <c r="C1336" s="46">
        <v>324.27694491698685</v>
      </c>
      <c r="D1336" s="1">
        <v>40</v>
      </c>
      <c r="E1336" s="1">
        <v>36</v>
      </c>
      <c r="F1336" s="1">
        <v>35</v>
      </c>
      <c r="G1336" s="1">
        <v>34</v>
      </c>
      <c r="H1336" s="1" t="s">
        <v>50</v>
      </c>
      <c r="I1336" s="1" t="s">
        <v>50</v>
      </c>
      <c r="J1336" s="1" t="s">
        <v>50</v>
      </c>
      <c r="K1336" s="1" t="s">
        <v>50</v>
      </c>
      <c r="L1336">
        <f t="shared" si="133"/>
        <v>145.81890293924988</v>
      </c>
      <c r="M1336">
        <f t="shared" si="132"/>
        <v>217.21024133842053</v>
      </c>
      <c r="N1336">
        <f t="shared" si="134"/>
        <v>153.37368866307943</v>
      </c>
      <c r="O1336">
        <f t="shared" si="135"/>
        <v>270.48080963039234</v>
      </c>
      <c r="P1336" t="e">
        <f t="shared" si="136"/>
        <v>#N/A</v>
      </c>
      <c r="Q1336" t="e">
        <f t="shared" si="137"/>
        <v>#N/A</v>
      </c>
      <c r="U1336">
        <f>C1336/Navio!$J$4</f>
        <v>17.509569388234183</v>
      </c>
    </row>
    <row r="1337" spans="1:21" x14ac:dyDescent="0.3">
      <c r="A1337">
        <v>1335</v>
      </c>
      <c r="B1337" s="47">
        <v>796.06473963189228</v>
      </c>
      <c r="C1337" s="46">
        <v>335.23470347866908</v>
      </c>
      <c r="D1337" s="1">
        <v>41</v>
      </c>
      <c r="E1337" s="1">
        <v>36</v>
      </c>
      <c r="F1337" s="1">
        <v>35</v>
      </c>
      <c r="G1337" s="1">
        <v>34</v>
      </c>
      <c r="H1337" s="1" t="s">
        <v>50</v>
      </c>
      <c r="I1337" s="1" t="s">
        <v>50</v>
      </c>
      <c r="J1337" s="1" t="s">
        <v>50</v>
      </c>
      <c r="K1337" s="1" t="s">
        <v>50</v>
      </c>
      <c r="L1337">
        <f t="shared" si="133"/>
        <v>310</v>
      </c>
      <c r="M1337">
        <f t="shared" si="132"/>
        <v>217.21024133842053</v>
      </c>
      <c r="N1337">
        <f t="shared" si="134"/>
        <v>153.37368866307943</v>
      </c>
      <c r="O1337">
        <f t="shared" si="135"/>
        <v>270.48080963039234</v>
      </c>
      <c r="P1337" t="e">
        <f t="shared" si="136"/>
        <v>#N/A</v>
      </c>
      <c r="Q1337" t="e">
        <f t="shared" si="137"/>
        <v>#N/A</v>
      </c>
      <c r="U1337">
        <f>C1337/Navio!$J$4</f>
        <v>18.101241527998571</v>
      </c>
    </row>
    <row r="1338" spans="1:21" x14ac:dyDescent="0.3">
      <c r="A1338">
        <v>1336</v>
      </c>
      <c r="B1338" s="47">
        <v>730.45805590729992</v>
      </c>
      <c r="C1338" s="46">
        <v>326.58580616520135</v>
      </c>
      <c r="D1338" s="1">
        <v>40</v>
      </c>
      <c r="E1338" s="1">
        <v>35</v>
      </c>
      <c r="F1338" s="1">
        <v>37</v>
      </c>
      <c r="G1338" s="1">
        <v>34</v>
      </c>
      <c r="H1338" s="1" t="s">
        <v>50</v>
      </c>
      <c r="I1338" s="1" t="s">
        <v>50</v>
      </c>
      <c r="J1338" s="1" t="s">
        <v>50</v>
      </c>
      <c r="K1338" s="1" t="s">
        <v>50</v>
      </c>
      <c r="L1338">
        <f t="shared" si="133"/>
        <v>145.81890293924988</v>
      </c>
      <c r="M1338">
        <f t="shared" si="132"/>
        <v>153.37368866307943</v>
      </c>
      <c r="N1338">
        <f t="shared" si="134"/>
        <v>257.99725663407816</v>
      </c>
      <c r="O1338">
        <f t="shared" si="135"/>
        <v>270.48080963039234</v>
      </c>
      <c r="P1338" t="e">
        <f t="shared" si="136"/>
        <v>#N/A</v>
      </c>
      <c r="Q1338" t="e">
        <f t="shared" si="137"/>
        <v>#N/A</v>
      </c>
      <c r="U1338">
        <f>C1338/Navio!$J$4</f>
        <v>17.634238029860143</v>
      </c>
    </row>
    <row r="1339" spans="1:21" x14ac:dyDescent="0.3">
      <c r="A1339">
        <v>1337</v>
      </c>
      <c r="B1339" s="47">
        <v>836.85175492754991</v>
      </c>
      <c r="C1339" s="46">
        <v>337.51357141534788</v>
      </c>
      <c r="D1339" s="1">
        <v>41</v>
      </c>
      <c r="E1339" s="1">
        <v>35</v>
      </c>
      <c r="F1339" s="1">
        <v>37</v>
      </c>
      <c r="G1339" s="1">
        <v>34</v>
      </c>
      <c r="H1339" s="1" t="s">
        <v>50</v>
      </c>
      <c r="I1339" s="1" t="s">
        <v>50</v>
      </c>
      <c r="J1339" s="1" t="s">
        <v>50</v>
      </c>
      <c r="K1339" s="1" t="s">
        <v>50</v>
      </c>
      <c r="L1339">
        <f t="shared" si="133"/>
        <v>310</v>
      </c>
      <c r="M1339">
        <f t="shared" si="132"/>
        <v>153.37368866307943</v>
      </c>
      <c r="N1339">
        <f t="shared" si="134"/>
        <v>257.99725663407816</v>
      </c>
      <c r="O1339">
        <f t="shared" si="135"/>
        <v>270.48080963039234</v>
      </c>
      <c r="P1339" t="e">
        <f t="shared" si="136"/>
        <v>#N/A</v>
      </c>
      <c r="Q1339" t="e">
        <f t="shared" si="137"/>
        <v>#N/A</v>
      </c>
      <c r="U1339">
        <f>C1339/Navio!$J$4</f>
        <v>18.224290658963199</v>
      </c>
    </row>
    <row r="1340" spans="1:21" x14ac:dyDescent="0.3">
      <c r="A1340">
        <v>1338</v>
      </c>
      <c r="B1340" s="47">
        <v>693.48171655981173</v>
      </c>
      <c r="C1340" s="46">
        <v>324.52907165049976</v>
      </c>
      <c r="D1340" s="1">
        <v>40</v>
      </c>
      <c r="E1340" s="1">
        <v>38</v>
      </c>
      <c r="F1340" s="1">
        <v>35</v>
      </c>
      <c r="G1340" s="1">
        <v>34</v>
      </c>
      <c r="H1340" s="1" t="s">
        <v>50</v>
      </c>
      <c r="I1340" s="1" t="s">
        <v>50</v>
      </c>
      <c r="J1340" s="1" t="s">
        <v>50</v>
      </c>
      <c r="K1340" s="1" t="s">
        <v>50</v>
      </c>
      <c r="L1340">
        <f t="shared" si="133"/>
        <v>145.81890293924988</v>
      </c>
      <c r="M1340">
        <f t="shared" si="132"/>
        <v>221.02091728659002</v>
      </c>
      <c r="N1340">
        <f t="shared" si="134"/>
        <v>153.37368866307943</v>
      </c>
      <c r="O1340">
        <f t="shared" si="135"/>
        <v>270.48080963039234</v>
      </c>
      <c r="P1340" t="e">
        <f t="shared" si="136"/>
        <v>#N/A</v>
      </c>
      <c r="Q1340" t="e">
        <f t="shared" si="137"/>
        <v>#N/A</v>
      </c>
      <c r="U1340">
        <f>C1340/Navio!$J$4</f>
        <v>17.523183154504871</v>
      </c>
    </row>
    <row r="1341" spans="1:21" x14ac:dyDescent="0.3">
      <c r="A1341">
        <v>1339</v>
      </c>
      <c r="B1341" s="47">
        <v>799.87541558006183</v>
      </c>
      <c r="C1341" s="46">
        <v>335.49298572276223</v>
      </c>
      <c r="D1341" s="1">
        <v>41</v>
      </c>
      <c r="E1341" s="1">
        <v>38</v>
      </c>
      <c r="F1341" s="1">
        <v>35</v>
      </c>
      <c r="G1341" s="1">
        <v>34</v>
      </c>
      <c r="H1341" s="1" t="s">
        <v>50</v>
      </c>
      <c r="I1341" s="1" t="s">
        <v>50</v>
      </c>
      <c r="J1341" s="1" t="s">
        <v>50</v>
      </c>
      <c r="K1341" s="1" t="s">
        <v>50</v>
      </c>
      <c r="L1341">
        <f t="shared" si="133"/>
        <v>310</v>
      </c>
      <c r="M1341">
        <f t="shared" si="132"/>
        <v>221.02091728659002</v>
      </c>
      <c r="N1341">
        <f t="shared" si="134"/>
        <v>153.37368866307943</v>
      </c>
      <c r="O1341">
        <f t="shared" si="135"/>
        <v>270.48080963039234</v>
      </c>
      <c r="P1341" t="e">
        <f t="shared" si="136"/>
        <v>#N/A</v>
      </c>
      <c r="Q1341" t="e">
        <f t="shared" si="137"/>
        <v>#N/A</v>
      </c>
      <c r="U1341">
        <f>C1341/Navio!$J$4</f>
        <v>18.115187665538059</v>
      </c>
    </row>
    <row r="1342" spans="1:21" x14ac:dyDescent="0.3">
      <c r="A1342">
        <v>1340</v>
      </c>
      <c r="B1342" s="47">
        <v>627.46079927322171</v>
      </c>
      <c r="C1342" s="46">
        <v>335.17781605214589</v>
      </c>
      <c r="D1342" s="1">
        <v>41</v>
      </c>
      <c r="E1342" s="1">
        <v>40</v>
      </c>
      <c r="F1342" s="1">
        <v>35</v>
      </c>
      <c r="G1342" s="1">
        <v>34</v>
      </c>
      <c r="H1342" s="1" t="s">
        <v>50</v>
      </c>
      <c r="I1342" s="1" t="s">
        <v>50</v>
      </c>
      <c r="J1342" s="1" t="s">
        <v>50</v>
      </c>
      <c r="K1342" s="1" t="s">
        <v>50</v>
      </c>
      <c r="L1342">
        <f t="shared" si="133"/>
        <v>310</v>
      </c>
      <c r="M1342">
        <f t="shared" si="132"/>
        <v>145.81890293924988</v>
      </c>
      <c r="N1342">
        <f t="shared" si="134"/>
        <v>153.37368866307943</v>
      </c>
      <c r="O1342">
        <f t="shared" si="135"/>
        <v>270.48080963039234</v>
      </c>
      <c r="P1342" t="e">
        <f t="shared" si="136"/>
        <v>#N/A</v>
      </c>
      <c r="Q1342" t="e">
        <f t="shared" si="137"/>
        <v>#N/A</v>
      </c>
      <c r="U1342">
        <f>C1342/Navio!$J$4</f>
        <v>18.098169850046624</v>
      </c>
    </row>
    <row r="1343" spans="1:21" x14ac:dyDescent="0.3">
      <c r="A1343">
        <v>1341</v>
      </c>
      <c r="B1343" s="47">
        <v>794.29460858264099</v>
      </c>
      <c r="C1343" s="46">
        <v>326.02960430558994</v>
      </c>
      <c r="D1343" s="1">
        <v>40</v>
      </c>
      <c r="E1343" s="1">
        <v>36</v>
      </c>
      <c r="F1343" s="1">
        <v>37</v>
      </c>
      <c r="G1343" s="1">
        <v>34</v>
      </c>
      <c r="H1343" s="1" t="s">
        <v>50</v>
      </c>
      <c r="I1343" s="1" t="s">
        <v>50</v>
      </c>
      <c r="J1343" s="1" t="s">
        <v>50</v>
      </c>
      <c r="K1343" s="1" t="s">
        <v>50</v>
      </c>
      <c r="L1343">
        <f t="shared" si="133"/>
        <v>145.81890293924988</v>
      </c>
      <c r="M1343">
        <f t="shared" si="132"/>
        <v>217.21024133842053</v>
      </c>
      <c r="N1343">
        <f t="shared" si="134"/>
        <v>257.99725663407816</v>
      </c>
      <c r="O1343">
        <f t="shared" si="135"/>
        <v>270.48080963039234</v>
      </c>
      <c r="P1343" t="e">
        <f t="shared" si="136"/>
        <v>#N/A</v>
      </c>
      <c r="Q1343" t="e">
        <f t="shared" si="137"/>
        <v>#N/A</v>
      </c>
      <c r="U1343">
        <f>C1343/Navio!$J$4</f>
        <v>17.604205506094925</v>
      </c>
    </row>
    <row r="1344" spans="1:21" x14ac:dyDescent="0.3">
      <c r="A1344">
        <v>1342</v>
      </c>
      <c r="B1344" s="47">
        <v>757.31826923515291</v>
      </c>
      <c r="C1344" s="46">
        <v>324.55493531824368</v>
      </c>
      <c r="D1344" s="1">
        <v>40</v>
      </c>
      <c r="E1344" s="1">
        <v>38</v>
      </c>
      <c r="F1344" s="1">
        <v>36</v>
      </c>
      <c r="G1344" s="1">
        <v>34</v>
      </c>
      <c r="H1344" s="1" t="s">
        <v>50</v>
      </c>
      <c r="I1344" s="1" t="s">
        <v>50</v>
      </c>
      <c r="J1344" s="1" t="s">
        <v>50</v>
      </c>
      <c r="K1344" s="1" t="s">
        <v>50</v>
      </c>
      <c r="L1344">
        <f t="shared" si="133"/>
        <v>145.81890293924988</v>
      </c>
      <c r="M1344">
        <f t="shared" si="132"/>
        <v>221.02091728659002</v>
      </c>
      <c r="N1344">
        <f t="shared" si="134"/>
        <v>217.21024133842053</v>
      </c>
      <c r="O1344">
        <f t="shared" si="135"/>
        <v>270.48080963039234</v>
      </c>
      <c r="P1344" t="e">
        <f t="shared" si="136"/>
        <v>#N/A</v>
      </c>
      <c r="Q1344" t="e">
        <f t="shared" si="137"/>
        <v>#N/A</v>
      </c>
      <c r="U1344">
        <f>C1344/Navio!$J$4</f>
        <v>17.524579682047438</v>
      </c>
    </row>
    <row r="1345" spans="1:21" x14ac:dyDescent="0.3">
      <c r="A1345">
        <v>1343</v>
      </c>
      <c r="B1345" s="47">
        <v>863.71196825540289</v>
      </c>
      <c r="C1345" s="46">
        <v>335.51884939050603</v>
      </c>
      <c r="D1345" s="1">
        <v>41</v>
      </c>
      <c r="E1345" s="1">
        <v>38</v>
      </c>
      <c r="F1345" s="1">
        <v>36</v>
      </c>
      <c r="G1345" s="1">
        <v>34</v>
      </c>
      <c r="H1345" s="1" t="s">
        <v>50</v>
      </c>
      <c r="I1345" s="1" t="s">
        <v>50</v>
      </c>
      <c r="J1345" s="1" t="s">
        <v>50</v>
      </c>
      <c r="K1345" s="1" t="s">
        <v>50</v>
      </c>
      <c r="L1345">
        <f t="shared" si="133"/>
        <v>310</v>
      </c>
      <c r="M1345">
        <f t="shared" si="132"/>
        <v>221.02091728659002</v>
      </c>
      <c r="N1345">
        <f t="shared" si="134"/>
        <v>217.21024133842053</v>
      </c>
      <c r="O1345">
        <f t="shared" si="135"/>
        <v>270.48080963039234</v>
      </c>
      <c r="P1345" t="e">
        <f t="shared" si="136"/>
        <v>#N/A</v>
      </c>
      <c r="Q1345" t="e">
        <f t="shared" si="137"/>
        <v>#N/A</v>
      </c>
      <c r="U1345">
        <f>C1345/Navio!$J$4</f>
        <v>18.116584193080623</v>
      </c>
    </row>
    <row r="1346" spans="1:21" x14ac:dyDescent="0.3">
      <c r="A1346">
        <v>1344</v>
      </c>
      <c r="B1346" s="47">
        <v>691.29735194856289</v>
      </c>
      <c r="C1346" s="46">
        <v>335.2284635771407</v>
      </c>
      <c r="D1346" s="1">
        <v>41</v>
      </c>
      <c r="E1346" s="1">
        <v>40</v>
      </c>
      <c r="F1346" s="1">
        <v>36</v>
      </c>
      <c r="G1346" s="1">
        <v>34</v>
      </c>
      <c r="H1346" s="1" t="s">
        <v>50</v>
      </c>
      <c r="I1346" s="1" t="s">
        <v>50</v>
      </c>
      <c r="J1346" s="1" t="s">
        <v>50</v>
      </c>
      <c r="K1346" s="1" t="s">
        <v>50</v>
      </c>
      <c r="L1346">
        <f t="shared" si="133"/>
        <v>310</v>
      </c>
      <c r="M1346">
        <f t="shared" si="132"/>
        <v>145.81890293924988</v>
      </c>
      <c r="N1346">
        <f t="shared" si="134"/>
        <v>217.21024133842053</v>
      </c>
      <c r="O1346">
        <f t="shared" si="135"/>
        <v>270.48080963039234</v>
      </c>
      <c r="P1346" t="e">
        <f t="shared" si="136"/>
        <v>#N/A</v>
      </c>
      <c r="Q1346" t="e">
        <f t="shared" si="137"/>
        <v>#N/A</v>
      </c>
      <c r="U1346">
        <f>C1346/Navio!$J$4</f>
        <v>18.100904599979174</v>
      </c>
    </row>
    <row r="1347" spans="1:21" x14ac:dyDescent="0.3">
      <c r="A1347">
        <v>1345</v>
      </c>
      <c r="B1347" s="47">
        <v>798.10528453081042</v>
      </c>
      <c r="C1347" s="46">
        <v>325.81904645670318</v>
      </c>
      <c r="D1347" s="1">
        <v>40</v>
      </c>
      <c r="E1347" s="1">
        <v>38</v>
      </c>
      <c r="F1347" s="1">
        <v>37</v>
      </c>
      <c r="G1347" s="1">
        <v>34</v>
      </c>
      <c r="H1347" s="1" t="s">
        <v>50</v>
      </c>
      <c r="I1347" s="1" t="s">
        <v>50</v>
      </c>
      <c r="J1347" s="1" t="s">
        <v>50</v>
      </c>
      <c r="K1347" s="1" t="s">
        <v>50</v>
      </c>
      <c r="L1347">
        <f t="shared" si="133"/>
        <v>145.81890293924988</v>
      </c>
      <c r="M1347">
        <f t="shared" ref="M1347:M1410" si="138">VLOOKUP(E1347,$Y$2:$Z$80,2)</f>
        <v>221.02091728659002</v>
      </c>
      <c r="N1347">
        <f t="shared" si="134"/>
        <v>257.99725663407816</v>
      </c>
      <c r="O1347">
        <f t="shared" si="135"/>
        <v>270.48080963039234</v>
      </c>
      <c r="P1347" t="e">
        <f t="shared" si="136"/>
        <v>#N/A</v>
      </c>
      <c r="Q1347" t="e">
        <f t="shared" si="137"/>
        <v>#N/A</v>
      </c>
      <c r="U1347">
        <f>C1347/Navio!$J$4</f>
        <v>17.592836281969962</v>
      </c>
    </row>
    <row r="1348" spans="1:21" x14ac:dyDescent="0.3">
      <c r="A1348">
        <v>1346</v>
      </c>
      <c r="B1348" s="47">
        <v>732.0843672442204</v>
      </c>
      <c r="C1348" s="46">
        <v>336.77861597338517</v>
      </c>
      <c r="D1348" s="1">
        <v>41</v>
      </c>
      <c r="E1348" s="1">
        <v>40</v>
      </c>
      <c r="F1348" s="1">
        <v>37</v>
      </c>
      <c r="G1348" s="1">
        <v>34</v>
      </c>
      <c r="H1348" s="1" t="s">
        <v>50</v>
      </c>
      <c r="I1348" s="1" t="s">
        <v>50</v>
      </c>
      <c r="J1348" s="1" t="s">
        <v>50</v>
      </c>
      <c r="K1348" s="1" t="s">
        <v>50</v>
      </c>
      <c r="L1348">
        <f t="shared" si="133"/>
        <v>310</v>
      </c>
      <c r="M1348">
        <f t="shared" si="138"/>
        <v>145.81890293924988</v>
      </c>
      <c r="N1348">
        <f t="shared" si="134"/>
        <v>257.99725663407816</v>
      </c>
      <c r="O1348">
        <f t="shared" si="135"/>
        <v>270.48080963039234</v>
      </c>
      <c r="P1348" t="e">
        <f t="shared" si="136"/>
        <v>#N/A</v>
      </c>
      <c r="Q1348" t="e">
        <f t="shared" si="137"/>
        <v>#N/A</v>
      </c>
      <c r="U1348">
        <f>C1348/Navio!$J$4</f>
        <v>18.184606205566116</v>
      </c>
    </row>
    <row r="1349" spans="1:21" x14ac:dyDescent="0.3">
      <c r="A1349">
        <v>1347</v>
      </c>
      <c r="B1349" s="47">
        <v>695.10802789673232</v>
      </c>
      <c r="C1349" s="46">
        <v>335.41162859800403</v>
      </c>
      <c r="D1349" s="1">
        <v>41</v>
      </c>
      <c r="E1349" s="1">
        <v>40</v>
      </c>
      <c r="F1349" s="1">
        <v>38</v>
      </c>
      <c r="G1349" s="1">
        <v>34</v>
      </c>
      <c r="H1349" s="1" t="s">
        <v>50</v>
      </c>
      <c r="I1349" s="1" t="s">
        <v>50</v>
      </c>
      <c r="J1349" s="1" t="s">
        <v>50</v>
      </c>
      <c r="K1349" s="1" t="s">
        <v>50</v>
      </c>
      <c r="L1349">
        <f t="shared" si="133"/>
        <v>310</v>
      </c>
      <c r="M1349">
        <f t="shared" si="138"/>
        <v>145.81890293924988</v>
      </c>
      <c r="N1349">
        <f t="shared" si="134"/>
        <v>221.02091728659002</v>
      </c>
      <c r="O1349">
        <f t="shared" si="135"/>
        <v>270.48080963039234</v>
      </c>
      <c r="P1349" t="e">
        <f t="shared" si="136"/>
        <v>#N/A</v>
      </c>
      <c r="Q1349" t="e">
        <f t="shared" si="137"/>
        <v>#N/A</v>
      </c>
      <c r="U1349">
        <f>C1349/Navio!$J$4</f>
        <v>18.110794728440588</v>
      </c>
    </row>
    <row r="1350" spans="1:21" x14ac:dyDescent="0.3">
      <c r="A1350">
        <v>1348</v>
      </c>
      <c r="B1350" s="47">
        <v>849.60210392216811</v>
      </c>
      <c r="C1350" s="46">
        <v>317.67292030811024</v>
      </c>
      <c r="D1350" s="1">
        <v>38</v>
      </c>
      <c r="E1350" s="1">
        <v>36</v>
      </c>
      <c r="F1350" s="1">
        <v>35</v>
      </c>
      <c r="G1350" s="1">
        <v>37</v>
      </c>
      <c r="H1350" s="1" t="s">
        <v>50</v>
      </c>
      <c r="I1350" s="1" t="s">
        <v>50</v>
      </c>
      <c r="J1350" s="1" t="s">
        <v>50</v>
      </c>
      <c r="K1350" s="1" t="s">
        <v>50</v>
      </c>
      <c r="L1350">
        <f t="shared" si="133"/>
        <v>221.02091728659002</v>
      </c>
      <c r="M1350">
        <f t="shared" si="138"/>
        <v>217.21024133842053</v>
      </c>
      <c r="N1350">
        <f t="shared" si="134"/>
        <v>153.37368866307943</v>
      </c>
      <c r="O1350">
        <f t="shared" si="135"/>
        <v>257.99725663407816</v>
      </c>
      <c r="P1350" t="e">
        <f t="shared" si="136"/>
        <v>#N/A</v>
      </c>
      <c r="Q1350" t="e">
        <f t="shared" si="137"/>
        <v>#N/A</v>
      </c>
      <c r="U1350">
        <f>C1350/Navio!$J$4</f>
        <v>17.15298027839064</v>
      </c>
    </row>
    <row r="1351" spans="1:21" x14ac:dyDescent="0.3">
      <c r="A1351">
        <v>1349</v>
      </c>
      <c r="B1351" s="47">
        <v>677.18748761532811</v>
      </c>
      <c r="C1351" s="46">
        <v>325.84939051885829</v>
      </c>
      <c r="D1351" s="1">
        <v>40</v>
      </c>
      <c r="E1351" s="1">
        <v>36</v>
      </c>
      <c r="F1351" s="1">
        <v>35</v>
      </c>
      <c r="G1351" s="1">
        <v>37</v>
      </c>
      <c r="H1351" s="1" t="s">
        <v>50</v>
      </c>
      <c r="I1351" s="1" t="s">
        <v>50</v>
      </c>
      <c r="J1351" s="1" t="s">
        <v>50</v>
      </c>
      <c r="K1351" s="1" t="s">
        <v>50</v>
      </c>
      <c r="L1351">
        <f t="shared" si="133"/>
        <v>145.81890293924988</v>
      </c>
      <c r="M1351">
        <f t="shared" si="138"/>
        <v>217.21024133842053</v>
      </c>
      <c r="N1351">
        <f t="shared" si="134"/>
        <v>153.37368866307943</v>
      </c>
      <c r="O1351">
        <f t="shared" si="135"/>
        <v>257.99725663407816</v>
      </c>
      <c r="P1351" t="e">
        <f t="shared" si="136"/>
        <v>#N/A</v>
      </c>
      <c r="Q1351" t="e">
        <f t="shared" si="137"/>
        <v>#N/A</v>
      </c>
      <c r="U1351">
        <f>C1351/Navio!$J$4</f>
        <v>17.594474731665983</v>
      </c>
    </row>
    <row r="1352" spans="1:21" x14ac:dyDescent="0.3">
      <c r="A1352">
        <v>1350</v>
      </c>
      <c r="B1352" s="47">
        <v>783.58118663557809</v>
      </c>
      <c r="C1352" s="46">
        <v>336.8071490805404</v>
      </c>
      <c r="D1352" s="1">
        <v>41</v>
      </c>
      <c r="E1352" s="1">
        <v>36</v>
      </c>
      <c r="F1352" s="1">
        <v>35</v>
      </c>
      <c r="G1352" s="1">
        <v>37</v>
      </c>
      <c r="H1352" s="1" t="s">
        <v>50</v>
      </c>
      <c r="I1352" s="1" t="s">
        <v>50</v>
      </c>
      <c r="J1352" s="1" t="s">
        <v>50</v>
      </c>
      <c r="K1352" s="1" t="s">
        <v>50</v>
      </c>
      <c r="L1352">
        <f t="shared" si="133"/>
        <v>310</v>
      </c>
      <c r="M1352">
        <f t="shared" si="138"/>
        <v>217.21024133842053</v>
      </c>
      <c r="N1352">
        <f t="shared" si="134"/>
        <v>153.37368866307943</v>
      </c>
      <c r="O1352">
        <f t="shared" si="135"/>
        <v>257.99725663407816</v>
      </c>
      <c r="P1352" t="e">
        <f t="shared" si="136"/>
        <v>#N/A</v>
      </c>
      <c r="Q1352" t="e">
        <f t="shared" si="137"/>
        <v>#N/A</v>
      </c>
      <c r="U1352">
        <f>C1352/Navio!$J$4</f>
        <v>18.186146871430363</v>
      </c>
    </row>
    <row r="1353" spans="1:21" x14ac:dyDescent="0.3">
      <c r="A1353">
        <v>1351</v>
      </c>
      <c r="B1353" s="47">
        <v>640.21114826783992</v>
      </c>
      <c r="C1353" s="46">
        <v>320.02069667420841</v>
      </c>
      <c r="D1353" s="1">
        <v>40</v>
      </c>
      <c r="E1353" s="1">
        <v>38</v>
      </c>
      <c r="F1353" s="1">
        <v>36</v>
      </c>
      <c r="G1353" s="1">
        <v>35</v>
      </c>
      <c r="H1353" s="1" t="s">
        <v>50</v>
      </c>
      <c r="I1353" s="1" t="s">
        <v>50</v>
      </c>
      <c r="J1353" s="1" t="s">
        <v>50</v>
      </c>
      <c r="K1353" s="1" t="s">
        <v>50</v>
      </c>
      <c r="L1353">
        <f t="shared" si="133"/>
        <v>145.81890293924988</v>
      </c>
      <c r="M1353">
        <f t="shared" si="138"/>
        <v>221.02091728659002</v>
      </c>
      <c r="N1353">
        <f t="shared" si="134"/>
        <v>217.21024133842053</v>
      </c>
      <c r="O1353">
        <f t="shared" si="135"/>
        <v>153.37368866307943</v>
      </c>
      <c r="P1353" t="e">
        <f t="shared" si="136"/>
        <v>#N/A</v>
      </c>
      <c r="Q1353" t="e">
        <f t="shared" si="137"/>
        <v>#N/A</v>
      </c>
      <c r="U1353">
        <f>C1353/Navio!$J$4</f>
        <v>17.279750170097792</v>
      </c>
    </row>
    <row r="1354" spans="1:21" x14ac:dyDescent="0.3">
      <c r="A1354">
        <v>1352</v>
      </c>
      <c r="B1354" s="47">
        <v>746.60484728809001</v>
      </c>
      <c r="C1354" s="46">
        <v>330.98461074647082</v>
      </c>
      <c r="D1354" s="1">
        <v>41</v>
      </c>
      <c r="E1354" s="1">
        <v>38</v>
      </c>
      <c r="F1354" s="1">
        <v>36</v>
      </c>
      <c r="G1354" s="1">
        <v>35</v>
      </c>
      <c r="H1354" s="1" t="s">
        <v>50</v>
      </c>
      <c r="I1354" s="1" t="s">
        <v>50</v>
      </c>
      <c r="J1354" s="1" t="s">
        <v>50</v>
      </c>
      <c r="K1354" s="1" t="s">
        <v>50</v>
      </c>
      <c r="L1354">
        <f t="shared" si="133"/>
        <v>310</v>
      </c>
      <c r="M1354">
        <f t="shared" si="138"/>
        <v>221.02091728659002</v>
      </c>
      <c r="N1354">
        <f t="shared" si="134"/>
        <v>217.21024133842053</v>
      </c>
      <c r="O1354">
        <f t="shared" si="135"/>
        <v>153.37368866307943</v>
      </c>
      <c r="P1354" t="e">
        <f t="shared" si="136"/>
        <v>#N/A</v>
      </c>
      <c r="Q1354" t="e">
        <f t="shared" si="137"/>
        <v>#N/A</v>
      </c>
      <c r="U1354">
        <f>C1354/Navio!$J$4</f>
        <v>17.871754681130977</v>
      </c>
    </row>
    <row r="1355" spans="1:21" x14ac:dyDescent="0.3">
      <c r="A1355">
        <v>1353</v>
      </c>
      <c r="B1355" s="47">
        <v>574.1902309812499</v>
      </c>
      <c r="C1355" s="46">
        <v>330.69422493310549</v>
      </c>
      <c r="D1355" s="1">
        <v>41</v>
      </c>
      <c r="E1355" s="1">
        <v>40</v>
      </c>
      <c r="F1355" s="1">
        <v>36</v>
      </c>
      <c r="G1355" s="1">
        <v>35</v>
      </c>
      <c r="H1355" s="1" t="s">
        <v>50</v>
      </c>
      <c r="I1355" s="1" t="s">
        <v>50</v>
      </c>
      <c r="J1355" s="1" t="s">
        <v>50</v>
      </c>
      <c r="K1355" s="1" t="s">
        <v>50</v>
      </c>
      <c r="L1355">
        <f t="shared" si="133"/>
        <v>310</v>
      </c>
      <c r="M1355">
        <f t="shared" si="138"/>
        <v>145.81890293924988</v>
      </c>
      <c r="N1355">
        <f t="shared" si="134"/>
        <v>217.21024133842053</v>
      </c>
      <c r="O1355">
        <f t="shared" si="135"/>
        <v>153.37368866307943</v>
      </c>
      <c r="P1355" t="e">
        <f t="shared" si="136"/>
        <v>#N/A</v>
      </c>
      <c r="Q1355" t="e">
        <f t="shared" si="137"/>
        <v>#N/A</v>
      </c>
      <c r="U1355">
        <f>C1355/Navio!$J$4</f>
        <v>17.856075088029531</v>
      </c>
    </row>
    <row r="1356" spans="1:21" x14ac:dyDescent="0.3">
      <c r="A1356">
        <v>1354</v>
      </c>
      <c r="B1356" s="47">
        <v>680.99816356349754</v>
      </c>
      <c r="C1356" s="46">
        <v>326.1015172523712</v>
      </c>
      <c r="D1356" s="1">
        <v>40</v>
      </c>
      <c r="E1356" s="1">
        <v>38</v>
      </c>
      <c r="F1356" s="1">
        <v>35</v>
      </c>
      <c r="G1356" s="1">
        <v>37</v>
      </c>
      <c r="H1356" s="1" t="s">
        <v>50</v>
      </c>
      <c r="I1356" s="1" t="s">
        <v>50</v>
      </c>
      <c r="J1356" s="1" t="s">
        <v>50</v>
      </c>
      <c r="K1356" s="1" t="s">
        <v>50</v>
      </c>
      <c r="L1356">
        <f t="shared" si="133"/>
        <v>145.81890293924988</v>
      </c>
      <c r="M1356">
        <f t="shared" si="138"/>
        <v>221.02091728659002</v>
      </c>
      <c r="N1356">
        <f t="shared" si="134"/>
        <v>153.37368866307943</v>
      </c>
      <c r="O1356">
        <f t="shared" si="135"/>
        <v>257.99725663407816</v>
      </c>
      <c r="P1356" t="e">
        <f t="shared" si="136"/>
        <v>#N/A</v>
      </c>
      <c r="Q1356" t="e">
        <f t="shared" si="137"/>
        <v>#N/A</v>
      </c>
      <c r="U1356">
        <f>C1356/Navio!$J$4</f>
        <v>17.60808849793667</v>
      </c>
    </row>
    <row r="1357" spans="1:21" x14ac:dyDescent="0.3">
      <c r="A1357">
        <v>1355</v>
      </c>
      <c r="B1357" s="47">
        <v>787.39186258374764</v>
      </c>
      <c r="C1357" s="46">
        <v>337.06543132463355</v>
      </c>
      <c r="D1357" s="1">
        <v>41</v>
      </c>
      <c r="E1357" s="1">
        <v>38</v>
      </c>
      <c r="F1357" s="1">
        <v>35</v>
      </c>
      <c r="G1357" s="1">
        <v>37</v>
      </c>
      <c r="H1357" s="1" t="s">
        <v>50</v>
      </c>
      <c r="I1357" s="1" t="s">
        <v>50</v>
      </c>
      <c r="J1357" s="1" t="s">
        <v>50</v>
      </c>
      <c r="K1357" s="1" t="s">
        <v>50</v>
      </c>
      <c r="L1357">
        <f t="shared" ref="L1357:L1420" si="139">VLOOKUP(D1357,$Y$2:$Z$80,2)</f>
        <v>310</v>
      </c>
      <c r="M1357">
        <f t="shared" si="138"/>
        <v>221.02091728659002</v>
      </c>
      <c r="N1357">
        <f t="shared" ref="N1357:N1420" si="140">VLOOKUP(F1357,$Y$2:$Z$80,2)</f>
        <v>153.37368866307943</v>
      </c>
      <c r="O1357">
        <f t="shared" ref="O1357:O1420" si="141">VLOOKUP(G1357,$Y$2:$Z$80,2)</f>
        <v>257.99725663407816</v>
      </c>
      <c r="P1357" t="e">
        <f t="shared" ref="P1357:P1420" si="142">VLOOKUP(H1357,$Y$2:$Z$80,2)</f>
        <v>#N/A</v>
      </c>
      <c r="Q1357" t="e">
        <f t="shared" ref="Q1357:Q1420" si="143">VLOOKUP(I1357,$Y$2:$Z$80,2)</f>
        <v>#N/A</v>
      </c>
      <c r="U1357">
        <f>C1357/Navio!$J$4</f>
        <v>18.200093008969851</v>
      </c>
    </row>
    <row r="1358" spans="1:21" x14ac:dyDescent="0.3">
      <c r="A1358">
        <v>1356</v>
      </c>
      <c r="B1358" s="47">
        <v>614.97724627690752</v>
      </c>
      <c r="C1358" s="46">
        <v>336.75026165401721</v>
      </c>
      <c r="D1358" s="1">
        <v>41</v>
      </c>
      <c r="E1358" s="1">
        <v>40</v>
      </c>
      <c r="F1358" s="1">
        <v>35</v>
      </c>
      <c r="G1358" s="1">
        <v>37</v>
      </c>
      <c r="H1358" s="1" t="s">
        <v>50</v>
      </c>
      <c r="I1358" s="1" t="s">
        <v>50</v>
      </c>
      <c r="J1358" s="1" t="s">
        <v>50</v>
      </c>
      <c r="K1358" s="1" t="s">
        <v>50</v>
      </c>
      <c r="L1358">
        <f t="shared" si="139"/>
        <v>310</v>
      </c>
      <c r="M1358">
        <f t="shared" si="138"/>
        <v>145.81890293924988</v>
      </c>
      <c r="N1358">
        <f t="shared" si="140"/>
        <v>153.37368866307943</v>
      </c>
      <c r="O1358">
        <f t="shared" si="141"/>
        <v>257.99725663407816</v>
      </c>
      <c r="P1358" t="e">
        <f t="shared" si="142"/>
        <v>#N/A</v>
      </c>
      <c r="Q1358" t="e">
        <f t="shared" si="143"/>
        <v>#N/A</v>
      </c>
      <c r="U1358">
        <f>C1358/Navio!$J$4</f>
        <v>18.183075193478416</v>
      </c>
    </row>
    <row r="1359" spans="1:21" x14ac:dyDescent="0.3">
      <c r="A1359">
        <v>1357</v>
      </c>
      <c r="B1359" s="47">
        <v>578.00090692941944</v>
      </c>
      <c r="C1359" s="46">
        <v>330.9463516666184</v>
      </c>
      <c r="D1359" s="1">
        <v>41</v>
      </c>
      <c r="E1359" s="1">
        <v>40</v>
      </c>
      <c r="F1359" s="1">
        <v>38</v>
      </c>
      <c r="G1359" s="1">
        <v>35</v>
      </c>
      <c r="H1359" s="1" t="s">
        <v>50</v>
      </c>
      <c r="I1359" s="1" t="s">
        <v>50</v>
      </c>
      <c r="J1359" s="1" t="s">
        <v>50</v>
      </c>
      <c r="K1359" s="1" t="s">
        <v>50</v>
      </c>
      <c r="L1359">
        <f t="shared" si="139"/>
        <v>310</v>
      </c>
      <c r="M1359">
        <f t="shared" si="138"/>
        <v>145.81890293924988</v>
      </c>
      <c r="N1359">
        <f t="shared" si="140"/>
        <v>221.02091728659002</v>
      </c>
      <c r="O1359">
        <f t="shared" si="141"/>
        <v>153.37368866307943</v>
      </c>
      <c r="P1359" t="e">
        <f t="shared" si="142"/>
        <v>#N/A</v>
      </c>
      <c r="Q1359" t="e">
        <f t="shared" si="143"/>
        <v>#N/A</v>
      </c>
      <c r="U1359">
        <f>C1359/Navio!$J$4</f>
        <v>17.869688854300218</v>
      </c>
    </row>
    <row r="1360" spans="1:21" x14ac:dyDescent="0.3">
      <c r="A1360">
        <v>1358</v>
      </c>
      <c r="B1360" s="47">
        <v>868.37465389312933</v>
      </c>
      <c r="C1360" s="46">
        <v>330.63319066737506</v>
      </c>
      <c r="D1360" s="1">
        <v>41</v>
      </c>
      <c r="E1360" s="1">
        <v>40</v>
      </c>
      <c r="F1360" s="1">
        <v>39</v>
      </c>
      <c r="G1360" s="1">
        <v>35</v>
      </c>
      <c r="H1360" s="1" t="s">
        <v>50</v>
      </c>
      <c r="I1360" s="1" t="s">
        <v>50</v>
      </c>
      <c r="J1360" s="1" t="s">
        <v>50</v>
      </c>
      <c r="K1360" s="1" t="s">
        <v>50</v>
      </c>
      <c r="L1360">
        <f t="shared" si="139"/>
        <v>310</v>
      </c>
      <c r="M1360">
        <f t="shared" si="138"/>
        <v>145.81890293924988</v>
      </c>
      <c r="N1360">
        <f t="shared" si="140"/>
        <v>511.39466425029991</v>
      </c>
      <c r="O1360">
        <f t="shared" si="141"/>
        <v>153.37368866307943</v>
      </c>
      <c r="P1360" t="e">
        <f t="shared" si="142"/>
        <v>#N/A</v>
      </c>
      <c r="Q1360" t="e">
        <f t="shared" si="143"/>
        <v>#N/A</v>
      </c>
      <c r="U1360">
        <f>C1360/Navio!$J$4</f>
        <v>17.852779498479862</v>
      </c>
    </row>
    <row r="1361" spans="1:21" x14ac:dyDescent="0.3">
      <c r="A1361">
        <v>1359</v>
      </c>
      <c r="B1361" s="47">
        <v>744.83471623883861</v>
      </c>
      <c r="C1361" s="46">
        <v>325.52053153550878</v>
      </c>
      <c r="D1361" s="1">
        <v>40</v>
      </c>
      <c r="E1361" s="1">
        <v>38</v>
      </c>
      <c r="F1361" s="1">
        <v>36</v>
      </c>
      <c r="G1361" s="1">
        <v>37</v>
      </c>
      <c r="H1361" s="1" t="s">
        <v>50</v>
      </c>
      <c r="I1361" s="1" t="s">
        <v>50</v>
      </c>
      <c r="J1361" s="1" t="s">
        <v>50</v>
      </c>
      <c r="K1361" s="1" t="s">
        <v>50</v>
      </c>
      <c r="L1361">
        <f t="shared" si="139"/>
        <v>145.81890293924988</v>
      </c>
      <c r="M1361">
        <f t="shared" si="138"/>
        <v>221.02091728659002</v>
      </c>
      <c r="N1361">
        <f t="shared" si="140"/>
        <v>217.21024133842053</v>
      </c>
      <c r="O1361">
        <f t="shared" si="141"/>
        <v>257.99725663407816</v>
      </c>
      <c r="P1361" t="e">
        <f t="shared" si="142"/>
        <v>#N/A</v>
      </c>
      <c r="Q1361" t="e">
        <f t="shared" si="143"/>
        <v>#N/A</v>
      </c>
      <c r="U1361">
        <f>C1361/Navio!$J$4</f>
        <v>17.576717751781469</v>
      </c>
    </row>
    <row r="1362" spans="1:21" x14ac:dyDescent="0.3">
      <c r="A1362">
        <v>1360</v>
      </c>
      <c r="B1362" s="47">
        <v>851.22841525908871</v>
      </c>
      <c r="C1362" s="46">
        <v>336.48444560777114</v>
      </c>
      <c r="D1362" s="1">
        <v>41</v>
      </c>
      <c r="E1362" s="1">
        <v>38</v>
      </c>
      <c r="F1362" s="1">
        <v>36</v>
      </c>
      <c r="G1362" s="1">
        <v>37</v>
      </c>
      <c r="H1362" s="1" t="s">
        <v>50</v>
      </c>
      <c r="I1362" s="1" t="s">
        <v>50</v>
      </c>
      <c r="J1362" s="1" t="s">
        <v>50</v>
      </c>
      <c r="K1362" s="1" t="s">
        <v>50</v>
      </c>
      <c r="L1362">
        <f t="shared" si="139"/>
        <v>310</v>
      </c>
      <c r="M1362">
        <f t="shared" si="138"/>
        <v>221.02091728659002</v>
      </c>
      <c r="N1362">
        <f t="shared" si="140"/>
        <v>217.21024133842053</v>
      </c>
      <c r="O1362">
        <f t="shared" si="141"/>
        <v>257.99725663407816</v>
      </c>
      <c r="P1362" t="e">
        <f t="shared" si="142"/>
        <v>#N/A</v>
      </c>
      <c r="Q1362" t="e">
        <f t="shared" si="143"/>
        <v>#N/A</v>
      </c>
      <c r="U1362">
        <f>C1362/Navio!$J$4</f>
        <v>18.168722262814651</v>
      </c>
    </row>
    <row r="1363" spans="1:21" x14ac:dyDescent="0.3">
      <c r="A1363">
        <v>1361</v>
      </c>
      <c r="B1363" s="47">
        <v>678.81379895224859</v>
      </c>
      <c r="C1363" s="46">
        <v>336.1940597944058</v>
      </c>
      <c r="D1363" s="1">
        <v>41</v>
      </c>
      <c r="E1363" s="1">
        <v>40</v>
      </c>
      <c r="F1363" s="1">
        <v>36</v>
      </c>
      <c r="G1363" s="1">
        <v>37</v>
      </c>
      <c r="H1363" s="1" t="s">
        <v>50</v>
      </c>
      <c r="I1363" s="1" t="s">
        <v>50</v>
      </c>
      <c r="J1363" s="1" t="s">
        <v>50</v>
      </c>
      <c r="K1363" s="1" t="s">
        <v>50</v>
      </c>
      <c r="L1363">
        <f t="shared" si="139"/>
        <v>310</v>
      </c>
      <c r="M1363">
        <f t="shared" si="138"/>
        <v>145.81890293924988</v>
      </c>
      <c r="N1363">
        <f t="shared" si="140"/>
        <v>217.21024133842053</v>
      </c>
      <c r="O1363">
        <f t="shared" si="141"/>
        <v>257.99725663407816</v>
      </c>
      <c r="P1363" t="e">
        <f t="shared" si="142"/>
        <v>#N/A</v>
      </c>
      <c r="Q1363" t="e">
        <f t="shared" si="143"/>
        <v>#N/A</v>
      </c>
      <c r="U1363">
        <f>C1363/Navio!$J$4</f>
        <v>18.153042669713201</v>
      </c>
    </row>
    <row r="1364" spans="1:21" x14ac:dyDescent="0.3">
      <c r="A1364">
        <v>1362</v>
      </c>
      <c r="B1364" s="47">
        <v>641.83745960476051</v>
      </c>
      <c r="C1364" s="46">
        <v>330.09709473294993</v>
      </c>
      <c r="D1364" s="1">
        <v>41</v>
      </c>
      <c r="E1364" s="1">
        <v>40</v>
      </c>
      <c r="F1364" s="1">
        <v>38</v>
      </c>
      <c r="G1364" s="1">
        <v>36</v>
      </c>
      <c r="H1364" s="1" t="s">
        <v>50</v>
      </c>
      <c r="I1364" s="1" t="s">
        <v>50</v>
      </c>
      <c r="J1364" s="1" t="s">
        <v>50</v>
      </c>
      <c r="K1364" s="1" t="s">
        <v>50</v>
      </c>
      <c r="L1364">
        <f t="shared" si="139"/>
        <v>310</v>
      </c>
      <c r="M1364">
        <f t="shared" si="138"/>
        <v>145.81890293924988</v>
      </c>
      <c r="N1364">
        <f t="shared" si="140"/>
        <v>221.02091728659002</v>
      </c>
      <c r="O1364">
        <f t="shared" si="141"/>
        <v>217.21024133842053</v>
      </c>
      <c r="P1364" t="e">
        <f t="shared" si="142"/>
        <v>#N/A</v>
      </c>
      <c r="Q1364" t="e">
        <f t="shared" si="143"/>
        <v>#N/A</v>
      </c>
      <c r="U1364">
        <f>C1364/Navio!$J$4</f>
        <v>17.823832608761968</v>
      </c>
    </row>
    <row r="1365" spans="1:21" x14ac:dyDescent="0.3">
      <c r="A1365">
        <v>1363</v>
      </c>
      <c r="B1365" s="47">
        <v>682.62447490041814</v>
      </c>
      <c r="C1365" s="46">
        <v>335.98350194551904</v>
      </c>
      <c r="D1365" s="1">
        <v>41</v>
      </c>
      <c r="E1365" s="1">
        <v>40</v>
      </c>
      <c r="F1365" s="1">
        <v>38</v>
      </c>
      <c r="G1365" s="1">
        <v>37</v>
      </c>
      <c r="H1365" s="1" t="s">
        <v>50</v>
      </c>
      <c r="I1365" s="1" t="s">
        <v>50</v>
      </c>
      <c r="J1365" s="1" t="s">
        <v>50</v>
      </c>
      <c r="K1365" s="1" t="s">
        <v>50</v>
      </c>
      <c r="L1365">
        <f t="shared" si="139"/>
        <v>310</v>
      </c>
      <c r="M1365">
        <f t="shared" si="138"/>
        <v>145.81890293924988</v>
      </c>
      <c r="N1365">
        <f t="shared" si="140"/>
        <v>221.02091728659002</v>
      </c>
      <c r="O1365">
        <f t="shared" si="141"/>
        <v>257.99725663407816</v>
      </c>
      <c r="P1365" t="e">
        <f t="shared" si="142"/>
        <v>#N/A</v>
      </c>
      <c r="Q1365" t="e">
        <f t="shared" si="143"/>
        <v>#N/A</v>
      </c>
      <c r="U1365">
        <f>C1365/Navio!$J$4</f>
        <v>18.141673445588236</v>
      </c>
    </row>
    <row r="1366" spans="1:21" x14ac:dyDescent="0.3">
      <c r="A1366">
        <v>1364</v>
      </c>
      <c r="B1366" s="47">
        <v>844.6710406116423</v>
      </c>
      <c r="C1366" s="46">
        <v>335.2452417044442</v>
      </c>
      <c r="D1366" s="1">
        <v>41</v>
      </c>
      <c r="E1366" s="1">
        <v>40</v>
      </c>
      <c r="F1366" s="1">
        <v>36</v>
      </c>
      <c r="G1366" s="1">
        <v>35</v>
      </c>
      <c r="H1366" s="1">
        <v>34</v>
      </c>
      <c r="I1366" s="1" t="s">
        <v>50</v>
      </c>
      <c r="J1366" s="1" t="s">
        <v>50</v>
      </c>
      <c r="K1366" s="1" t="s">
        <v>50</v>
      </c>
      <c r="L1366">
        <f t="shared" si="139"/>
        <v>310</v>
      </c>
      <c r="M1366">
        <f t="shared" si="138"/>
        <v>145.81890293924988</v>
      </c>
      <c r="N1366">
        <f t="shared" si="140"/>
        <v>217.21024133842053</v>
      </c>
      <c r="O1366">
        <f t="shared" si="141"/>
        <v>153.37368866307943</v>
      </c>
      <c r="P1366">
        <f t="shared" si="142"/>
        <v>270.48080963039234</v>
      </c>
      <c r="Q1366" t="e">
        <f t="shared" si="143"/>
        <v>#N/A</v>
      </c>
      <c r="U1366">
        <f>C1366/Navio!$J$4</f>
        <v>18.101810547160525</v>
      </c>
    </row>
    <row r="1367" spans="1:21" x14ac:dyDescent="0.3">
      <c r="A1367">
        <v>1365</v>
      </c>
      <c r="B1367" s="47">
        <v>885.45805590729992</v>
      </c>
      <c r="C1367" s="46">
        <v>337.5541029526587</v>
      </c>
      <c r="D1367" s="1">
        <v>41</v>
      </c>
      <c r="E1367" s="1">
        <v>40</v>
      </c>
      <c r="F1367" s="1">
        <v>35</v>
      </c>
      <c r="G1367" s="1">
        <v>37</v>
      </c>
      <c r="H1367" s="1">
        <v>34</v>
      </c>
      <c r="I1367" s="1" t="s">
        <v>50</v>
      </c>
      <c r="J1367" s="1" t="s">
        <v>50</v>
      </c>
      <c r="K1367" s="1" t="s">
        <v>50</v>
      </c>
      <c r="L1367">
        <f t="shared" si="139"/>
        <v>310</v>
      </c>
      <c r="M1367">
        <f t="shared" si="138"/>
        <v>145.81890293924988</v>
      </c>
      <c r="N1367">
        <f t="shared" si="140"/>
        <v>153.37368866307943</v>
      </c>
      <c r="O1367">
        <f t="shared" si="141"/>
        <v>257.99725663407816</v>
      </c>
      <c r="P1367">
        <f t="shared" si="142"/>
        <v>270.48080963039234</v>
      </c>
      <c r="Q1367" t="e">
        <f t="shared" si="143"/>
        <v>#N/A</v>
      </c>
      <c r="U1367">
        <f>C1367/Navio!$J$4</f>
        <v>18.226479188786485</v>
      </c>
    </row>
    <row r="1368" spans="1:21" x14ac:dyDescent="0.3">
      <c r="A1368">
        <v>1366</v>
      </c>
      <c r="B1368" s="47">
        <v>848.48171655981173</v>
      </c>
      <c r="C1368" s="46">
        <v>335.49736843795711</v>
      </c>
      <c r="D1368" s="1">
        <v>41</v>
      </c>
      <c r="E1368" s="1">
        <v>40</v>
      </c>
      <c r="F1368" s="1">
        <v>38</v>
      </c>
      <c r="G1368" s="1">
        <v>35</v>
      </c>
      <c r="H1368" s="1">
        <v>34</v>
      </c>
      <c r="I1368" s="1" t="s">
        <v>50</v>
      </c>
      <c r="J1368" s="1" t="s">
        <v>50</v>
      </c>
      <c r="K1368" s="1" t="s">
        <v>50</v>
      </c>
      <c r="L1368">
        <f t="shared" si="139"/>
        <v>310</v>
      </c>
      <c r="M1368">
        <f t="shared" si="138"/>
        <v>145.81890293924988</v>
      </c>
      <c r="N1368">
        <f t="shared" si="140"/>
        <v>221.02091728659002</v>
      </c>
      <c r="O1368">
        <f t="shared" si="141"/>
        <v>153.37368866307943</v>
      </c>
      <c r="P1368">
        <f t="shared" si="142"/>
        <v>270.48080963039234</v>
      </c>
      <c r="Q1368" t="e">
        <f t="shared" si="143"/>
        <v>#N/A</v>
      </c>
      <c r="U1368">
        <f>C1368/Navio!$J$4</f>
        <v>18.115424313431216</v>
      </c>
    </row>
    <row r="1369" spans="1:21" x14ac:dyDescent="0.3">
      <c r="A1369">
        <v>1367</v>
      </c>
      <c r="B1369" s="47">
        <v>898.20840490191813</v>
      </c>
      <c r="C1369" s="46">
        <v>326.14415904741855</v>
      </c>
      <c r="D1369" s="1">
        <v>40</v>
      </c>
      <c r="E1369" s="1">
        <v>38</v>
      </c>
      <c r="F1369" s="1">
        <v>36</v>
      </c>
      <c r="G1369" s="1">
        <v>35</v>
      </c>
      <c r="H1369" s="1">
        <v>37</v>
      </c>
      <c r="I1369" s="1" t="s">
        <v>50</v>
      </c>
      <c r="J1369" s="1" t="s">
        <v>50</v>
      </c>
      <c r="K1369" s="1" t="s">
        <v>50</v>
      </c>
      <c r="L1369">
        <f t="shared" si="139"/>
        <v>145.81890293924988</v>
      </c>
      <c r="M1369">
        <f t="shared" si="138"/>
        <v>221.02091728659002</v>
      </c>
      <c r="N1369">
        <f t="shared" si="140"/>
        <v>217.21024133842053</v>
      </c>
      <c r="O1369">
        <f t="shared" si="141"/>
        <v>153.37368866307943</v>
      </c>
      <c r="P1369">
        <f t="shared" si="142"/>
        <v>257.99725663407816</v>
      </c>
      <c r="Q1369" t="e">
        <f t="shared" si="143"/>
        <v>#N/A</v>
      </c>
      <c r="U1369">
        <f>C1369/Navio!$J$4</f>
        <v>17.610390972660589</v>
      </c>
    </row>
    <row r="1370" spans="1:21" x14ac:dyDescent="0.3">
      <c r="A1370">
        <v>1368</v>
      </c>
      <c r="B1370" s="47">
        <v>832.18748761532811</v>
      </c>
      <c r="C1370" s="46">
        <v>336.81768730631563</v>
      </c>
      <c r="D1370" s="1">
        <v>41</v>
      </c>
      <c r="E1370" s="1">
        <v>40</v>
      </c>
      <c r="F1370" s="1">
        <v>36</v>
      </c>
      <c r="G1370" s="1">
        <v>35</v>
      </c>
      <c r="H1370" s="1">
        <v>37</v>
      </c>
      <c r="I1370" s="1" t="s">
        <v>50</v>
      </c>
      <c r="J1370" s="1" t="s">
        <v>50</v>
      </c>
      <c r="K1370" s="1" t="s">
        <v>50</v>
      </c>
      <c r="L1370">
        <f t="shared" si="139"/>
        <v>310</v>
      </c>
      <c r="M1370">
        <f t="shared" si="138"/>
        <v>145.81890293924988</v>
      </c>
      <c r="N1370">
        <f t="shared" si="140"/>
        <v>217.21024133842053</v>
      </c>
      <c r="O1370">
        <f t="shared" si="141"/>
        <v>153.37368866307943</v>
      </c>
      <c r="P1370">
        <f t="shared" si="142"/>
        <v>257.99725663407816</v>
      </c>
      <c r="Q1370" t="e">
        <f t="shared" si="143"/>
        <v>#N/A</v>
      </c>
      <c r="U1370">
        <f>C1370/Navio!$J$4</f>
        <v>18.186715890592325</v>
      </c>
    </row>
    <row r="1371" spans="1:21" x14ac:dyDescent="0.3">
      <c r="A1371">
        <v>1369</v>
      </c>
      <c r="B1371" s="47">
        <v>795.21114826783992</v>
      </c>
      <c r="C1371" s="46">
        <v>330.98899346166576</v>
      </c>
      <c r="D1371" s="1">
        <v>41</v>
      </c>
      <c r="E1371" s="1">
        <v>40</v>
      </c>
      <c r="F1371" s="1">
        <v>38</v>
      </c>
      <c r="G1371" s="1">
        <v>36</v>
      </c>
      <c r="H1371" s="1">
        <v>35</v>
      </c>
      <c r="I1371" s="1" t="s">
        <v>50</v>
      </c>
      <c r="J1371" s="1" t="s">
        <v>50</v>
      </c>
      <c r="K1371" s="1" t="s">
        <v>50</v>
      </c>
      <c r="L1371">
        <f t="shared" si="139"/>
        <v>310</v>
      </c>
      <c r="M1371">
        <f t="shared" si="138"/>
        <v>145.81890293924988</v>
      </c>
      <c r="N1371">
        <f t="shared" si="140"/>
        <v>221.02091728659002</v>
      </c>
      <c r="O1371">
        <f t="shared" si="141"/>
        <v>217.21024133842053</v>
      </c>
      <c r="P1371">
        <f t="shared" si="142"/>
        <v>153.37368866307943</v>
      </c>
      <c r="Q1371" t="e">
        <f t="shared" si="143"/>
        <v>#N/A</v>
      </c>
      <c r="U1371">
        <f>C1371/Navio!$J$4</f>
        <v>17.871991329024137</v>
      </c>
    </row>
    <row r="1372" spans="1:21" x14ac:dyDescent="0.3">
      <c r="A1372">
        <v>1370</v>
      </c>
      <c r="B1372" s="47">
        <v>835.99816356349754</v>
      </c>
      <c r="C1372" s="46">
        <v>337.06981403982854</v>
      </c>
      <c r="D1372" s="1">
        <v>41</v>
      </c>
      <c r="E1372" s="1">
        <v>40</v>
      </c>
      <c r="F1372" s="1">
        <v>38</v>
      </c>
      <c r="G1372" s="1">
        <v>35</v>
      </c>
      <c r="H1372" s="1">
        <v>37</v>
      </c>
      <c r="I1372" s="1" t="s">
        <v>50</v>
      </c>
      <c r="J1372" s="1" t="s">
        <v>50</v>
      </c>
      <c r="K1372" s="1" t="s">
        <v>50</v>
      </c>
      <c r="L1372">
        <f t="shared" si="139"/>
        <v>310</v>
      </c>
      <c r="M1372">
        <f t="shared" si="138"/>
        <v>145.81890293924988</v>
      </c>
      <c r="N1372">
        <f t="shared" si="140"/>
        <v>221.02091728659002</v>
      </c>
      <c r="O1372">
        <f t="shared" si="141"/>
        <v>153.37368866307943</v>
      </c>
      <c r="P1372">
        <f t="shared" si="142"/>
        <v>257.99725663407816</v>
      </c>
      <c r="Q1372" t="e">
        <f t="shared" si="143"/>
        <v>#N/A</v>
      </c>
      <c r="U1372">
        <f>C1372/Navio!$J$4</f>
        <v>18.200329656863016</v>
      </c>
    </row>
    <row r="1373" spans="1:21" x14ac:dyDescent="0.3">
      <c r="A1373">
        <v>1371</v>
      </c>
      <c r="B1373" s="47">
        <v>899.83471623883861</v>
      </c>
      <c r="C1373" s="46">
        <v>336.48882832296613</v>
      </c>
      <c r="D1373" s="1">
        <v>41</v>
      </c>
      <c r="E1373" s="1">
        <v>40</v>
      </c>
      <c r="F1373" s="1">
        <v>38</v>
      </c>
      <c r="G1373" s="1">
        <v>36</v>
      </c>
      <c r="H1373" s="1">
        <v>37</v>
      </c>
      <c r="I1373" s="1" t="s">
        <v>50</v>
      </c>
      <c r="J1373" s="1" t="s">
        <v>50</v>
      </c>
      <c r="K1373" s="1" t="s">
        <v>50</v>
      </c>
      <c r="L1373">
        <f t="shared" si="139"/>
        <v>310</v>
      </c>
      <c r="M1373">
        <f t="shared" si="138"/>
        <v>145.81890293924988</v>
      </c>
      <c r="N1373">
        <f t="shared" si="140"/>
        <v>221.02091728659002</v>
      </c>
      <c r="O1373">
        <f t="shared" si="141"/>
        <v>217.21024133842053</v>
      </c>
      <c r="P1373">
        <f t="shared" si="142"/>
        <v>257.99725663407816</v>
      </c>
      <c r="Q1373" t="e">
        <f t="shared" si="143"/>
        <v>#N/A</v>
      </c>
      <c r="U1373">
        <f>C1373/Navio!$J$4</f>
        <v>18.168958910707811</v>
      </c>
    </row>
    <row r="1374" spans="1:21" x14ac:dyDescent="0.3">
      <c r="A1374">
        <v>1372</v>
      </c>
      <c r="B1374" s="47">
        <v>211.53340681752402</v>
      </c>
      <c r="C1374" s="46">
        <v>314.49419099317464</v>
      </c>
      <c r="D1374" s="1">
        <v>42</v>
      </c>
      <c r="E1374" s="1" t="s">
        <v>50</v>
      </c>
      <c r="F1374" s="1" t="s">
        <v>50</v>
      </c>
      <c r="G1374" s="1" t="s">
        <v>50</v>
      </c>
      <c r="H1374" s="1" t="s">
        <v>50</v>
      </c>
      <c r="I1374" s="1" t="s">
        <v>50</v>
      </c>
      <c r="J1374" s="1" t="s">
        <v>50</v>
      </c>
      <c r="K1374" s="1" t="s">
        <v>50</v>
      </c>
      <c r="L1374">
        <f t="shared" si="139"/>
        <v>211.53340681752402</v>
      </c>
      <c r="M1374" t="e">
        <f t="shared" si="138"/>
        <v>#N/A</v>
      </c>
      <c r="N1374" t="e">
        <f t="shared" si="140"/>
        <v>#N/A</v>
      </c>
      <c r="O1374" t="e">
        <f t="shared" si="141"/>
        <v>#N/A</v>
      </c>
      <c r="P1374" t="e">
        <f t="shared" si="142"/>
        <v>#N/A</v>
      </c>
      <c r="Q1374" t="e">
        <f t="shared" si="143"/>
        <v>#N/A</v>
      </c>
      <c r="S1374" s="48">
        <f>B1374-L1374</f>
        <v>0</v>
      </c>
      <c r="U1374">
        <f>C1374/Navio!$J$4</f>
        <v>16.981342478113081</v>
      </c>
    </row>
    <row r="1375" spans="1:21" x14ac:dyDescent="0.3">
      <c r="A1375">
        <v>1373</v>
      </c>
      <c r="B1375" s="47">
        <v>364.08810064884096</v>
      </c>
      <c r="C1375" s="46">
        <v>320.01782017864787</v>
      </c>
      <c r="D1375" s="1">
        <v>43</v>
      </c>
      <c r="E1375" s="1" t="s">
        <v>50</v>
      </c>
      <c r="F1375" s="1" t="s">
        <v>50</v>
      </c>
      <c r="G1375" s="1" t="s">
        <v>50</v>
      </c>
      <c r="H1375" s="1" t="s">
        <v>50</v>
      </c>
      <c r="I1375" s="1" t="s">
        <v>50</v>
      </c>
      <c r="J1375" s="1" t="s">
        <v>50</v>
      </c>
      <c r="K1375" s="1" t="s">
        <v>50</v>
      </c>
      <c r="L1375">
        <f t="shared" si="139"/>
        <v>364.08810064884096</v>
      </c>
      <c r="M1375" t="e">
        <f t="shared" si="138"/>
        <v>#N/A</v>
      </c>
      <c r="N1375" t="e">
        <f t="shared" si="140"/>
        <v>#N/A</v>
      </c>
      <c r="O1375" t="e">
        <f t="shared" si="141"/>
        <v>#N/A</v>
      </c>
      <c r="P1375" t="e">
        <f t="shared" si="142"/>
        <v>#N/A</v>
      </c>
      <c r="Q1375" t="e">
        <f t="shared" si="143"/>
        <v>#N/A</v>
      </c>
      <c r="S1375" s="48">
        <f t="shared" ref="S1375:S1381" si="144">B1375-L1375</f>
        <v>0</v>
      </c>
      <c r="U1375">
        <f>C1375/Navio!$J$4</f>
        <v>17.279594851628804</v>
      </c>
    </row>
    <row r="1376" spans="1:21" x14ac:dyDescent="0.3">
      <c r="A1376">
        <v>1374</v>
      </c>
      <c r="B1376" s="47">
        <v>197.82461126156434</v>
      </c>
      <c r="C1376" s="46">
        <v>324.85623288363865</v>
      </c>
      <c r="D1376" s="1">
        <v>44</v>
      </c>
      <c r="E1376" s="1" t="s">
        <v>50</v>
      </c>
      <c r="F1376" s="1" t="s">
        <v>50</v>
      </c>
      <c r="G1376" s="1" t="s">
        <v>50</v>
      </c>
      <c r="H1376" s="1" t="s">
        <v>50</v>
      </c>
      <c r="I1376" s="1" t="s">
        <v>50</v>
      </c>
      <c r="J1376" s="1" t="s">
        <v>50</v>
      </c>
      <c r="K1376" s="1" t="s">
        <v>50</v>
      </c>
      <c r="L1376">
        <f t="shared" si="139"/>
        <v>197.82461126156434</v>
      </c>
      <c r="M1376" t="e">
        <f t="shared" si="138"/>
        <v>#N/A</v>
      </c>
      <c r="N1376" t="e">
        <f t="shared" si="140"/>
        <v>#N/A</v>
      </c>
      <c r="O1376" t="e">
        <f t="shared" si="141"/>
        <v>#N/A</v>
      </c>
      <c r="P1376" t="e">
        <f t="shared" si="142"/>
        <v>#N/A</v>
      </c>
      <c r="Q1376" t="e">
        <f t="shared" si="143"/>
        <v>#N/A</v>
      </c>
      <c r="S1376" s="48">
        <f t="shared" si="144"/>
        <v>0</v>
      </c>
      <c r="U1376">
        <f>C1376/Navio!$J$4</f>
        <v>17.540848463132509</v>
      </c>
    </row>
    <row r="1377" spans="1:21" x14ac:dyDescent="0.3">
      <c r="A1377">
        <v>1375</v>
      </c>
      <c r="B1377" s="47">
        <v>104.16132807466707</v>
      </c>
      <c r="C1377" s="46">
        <v>332.89889713187813</v>
      </c>
      <c r="D1377" s="1">
        <v>45</v>
      </c>
      <c r="E1377" s="1" t="s">
        <v>50</v>
      </c>
      <c r="F1377" s="1" t="s">
        <v>50</v>
      </c>
      <c r="G1377" s="1" t="s">
        <v>50</v>
      </c>
      <c r="H1377" s="1" t="s">
        <v>50</v>
      </c>
      <c r="I1377" s="1" t="s">
        <v>50</v>
      </c>
      <c r="J1377" s="1" t="s">
        <v>50</v>
      </c>
      <c r="K1377" s="1" t="s">
        <v>50</v>
      </c>
      <c r="L1377">
        <f t="shared" si="139"/>
        <v>104.16132807466707</v>
      </c>
      <c r="M1377" t="e">
        <f t="shared" si="138"/>
        <v>#N/A</v>
      </c>
      <c r="N1377" t="e">
        <f t="shared" si="140"/>
        <v>#N/A</v>
      </c>
      <c r="O1377" t="e">
        <f t="shared" si="141"/>
        <v>#N/A</v>
      </c>
      <c r="P1377" t="e">
        <f t="shared" si="142"/>
        <v>#N/A</v>
      </c>
      <c r="Q1377" t="e">
        <f t="shared" si="143"/>
        <v>#N/A</v>
      </c>
      <c r="S1377" s="48">
        <f t="shared" si="144"/>
        <v>0</v>
      </c>
      <c r="U1377">
        <f>C1377/Navio!$J$4</f>
        <v>17.975117966186048</v>
      </c>
    </row>
    <row r="1378" spans="1:21" x14ac:dyDescent="0.3">
      <c r="A1378">
        <v>1376</v>
      </c>
      <c r="B1378" s="47">
        <v>263.73042443663246</v>
      </c>
      <c r="C1378" s="46">
        <v>333.0502860863586</v>
      </c>
      <c r="D1378" s="1">
        <v>46</v>
      </c>
      <c r="E1378" s="1" t="s">
        <v>50</v>
      </c>
      <c r="F1378" s="1" t="s">
        <v>50</v>
      </c>
      <c r="G1378" s="1" t="s">
        <v>50</v>
      </c>
      <c r="H1378" s="1" t="s">
        <v>50</v>
      </c>
      <c r="I1378" s="1" t="s">
        <v>50</v>
      </c>
      <c r="J1378" s="1" t="s">
        <v>50</v>
      </c>
      <c r="K1378" s="1" t="s">
        <v>50</v>
      </c>
      <c r="L1378">
        <f t="shared" si="139"/>
        <v>527.46084887326492</v>
      </c>
      <c r="M1378" t="e">
        <f t="shared" si="138"/>
        <v>#N/A</v>
      </c>
      <c r="N1378" t="e">
        <f t="shared" si="140"/>
        <v>#N/A</v>
      </c>
      <c r="O1378" t="e">
        <f t="shared" si="141"/>
        <v>#N/A</v>
      </c>
      <c r="P1378" t="e">
        <f t="shared" si="142"/>
        <v>#N/A</v>
      </c>
      <c r="Q1378" t="e">
        <f t="shared" si="143"/>
        <v>#N/A</v>
      </c>
      <c r="S1378" s="48">
        <f t="shared" si="144"/>
        <v>-263.73042443663246</v>
      </c>
      <c r="U1378">
        <f>C1378/Navio!$J$4</f>
        <v>17.983292322842104</v>
      </c>
    </row>
    <row r="1379" spans="1:21" x14ac:dyDescent="0.3">
      <c r="A1379">
        <v>1377</v>
      </c>
      <c r="B1379" s="47">
        <v>341.491467583023</v>
      </c>
      <c r="C1379" s="46">
        <v>351.41529000480597</v>
      </c>
      <c r="D1379" s="1">
        <v>47</v>
      </c>
      <c r="E1379" s="1" t="s">
        <v>50</v>
      </c>
      <c r="F1379" s="1" t="s">
        <v>50</v>
      </c>
      <c r="G1379" s="1" t="s">
        <v>50</v>
      </c>
      <c r="H1379" s="1" t="s">
        <v>50</v>
      </c>
      <c r="I1379" s="1" t="s">
        <v>50</v>
      </c>
      <c r="J1379" s="1" t="s">
        <v>50</v>
      </c>
      <c r="K1379" s="1" t="s">
        <v>50</v>
      </c>
      <c r="L1379">
        <f t="shared" si="139"/>
        <v>341.491467583023</v>
      </c>
      <c r="M1379" t="e">
        <f t="shared" si="138"/>
        <v>#N/A</v>
      </c>
      <c r="N1379" t="e">
        <f t="shared" si="140"/>
        <v>#N/A</v>
      </c>
      <c r="O1379" t="e">
        <f t="shared" si="141"/>
        <v>#N/A</v>
      </c>
      <c r="P1379" t="e">
        <f t="shared" si="142"/>
        <v>#N/A</v>
      </c>
      <c r="Q1379" t="e">
        <f t="shared" si="143"/>
        <v>#N/A</v>
      </c>
      <c r="S1379" s="48">
        <f t="shared" si="144"/>
        <v>0</v>
      </c>
      <c r="U1379">
        <f>C1379/Navio!$J$4</f>
        <v>18.974924060669057</v>
      </c>
    </row>
    <row r="1380" spans="1:21" x14ac:dyDescent="0.3">
      <c r="A1380">
        <v>1378</v>
      </c>
      <c r="B1380" s="47">
        <v>70.547877930081995</v>
      </c>
      <c r="C1380" s="46">
        <v>353.48475836784246</v>
      </c>
      <c r="D1380" s="1">
        <v>48</v>
      </c>
      <c r="E1380" s="1" t="s">
        <v>50</v>
      </c>
      <c r="F1380" s="1" t="s">
        <v>50</v>
      </c>
      <c r="G1380" s="1" t="s">
        <v>50</v>
      </c>
      <c r="H1380" s="1" t="s">
        <v>50</v>
      </c>
      <c r="I1380" s="1" t="s">
        <v>50</v>
      </c>
      <c r="J1380" s="1" t="s">
        <v>50</v>
      </c>
      <c r="K1380" s="1" t="s">
        <v>50</v>
      </c>
      <c r="L1380">
        <f t="shared" si="139"/>
        <v>211.64363379024599</v>
      </c>
      <c r="M1380" t="e">
        <f t="shared" si="138"/>
        <v>#N/A</v>
      </c>
      <c r="N1380" t="e">
        <f t="shared" si="140"/>
        <v>#N/A</v>
      </c>
      <c r="O1380" t="e">
        <f t="shared" si="141"/>
        <v>#N/A</v>
      </c>
      <c r="P1380" t="e">
        <f t="shared" si="142"/>
        <v>#N/A</v>
      </c>
      <c r="Q1380" t="e">
        <f t="shared" si="143"/>
        <v>#N/A</v>
      </c>
      <c r="S1380" s="48">
        <f t="shared" si="144"/>
        <v>-141.09575586016399</v>
      </c>
      <c r="U1380">
        <f>C1380/Navio!$J$4</f>
        <v>19.086666509422603</v>
      </c>
    </row>
    <row r="1381" spans="1:21" x14ac:dyDescent="0.3">
      <c r="A1381">
        <v>1379</v>
      </c>
      <c r="B1381" s="47">
        <v>224.72476401833561</v>
      </c>
      <c r="C1381" s="46">
        <v>357.62691865270068</v>
      </c>
      <c r="D1381" s="1">
        <v>49</v>
      </c>
      <c r="E1381" s="1" t="s">
        <v>50</v>
      </c>
      <c r="F1381" s="1" t="s">
        <v>50</v>
      </c>
      <c r="G1381" s="1" t="s">
        <v>50</v>
      </c>
      <c r="H1381" s="1" t="s">
        <v>50</v>
      </c>
      <c r="I1381" s="1" t="s">
        <v>50</v>
      </c>
      <c r="J1381" s="1" t="s">
        <v>50</v>
      </c>
      <c r="K1381" s="1" t="s">
        <v>50</v>
      </c>
      <c r="L1381">
        <f t="shared" si="139"/>
        <v>224.72476401833561</v>
      </c>
      <c r="M1381" t="e">
        <f t="shared" si="138"/>
        <v>#N/A</v>
      </c>
      <c r="N1381" t="e">
        <f t="shared" si="140"/>
        <v>#N/A</v>
      </c>
      <c r="O1381" t="e">
        <f t="shared" si="141"/>
        <v>#N/A</v>
      </c>
      <c r="P1381" t="e">
        <f t="shared" si="142"/>
        <v>#N/A</v>
      </c>
      <c r="Q1381" t="e">
        <f t="shared" si="143"/>
        <v>#N/A</v>
      </c>
      <c r="S1381" s="48">
        <f t="shared" si="144"/>
        <v>0</v>
      </c>
      <c r="U1381">
        <f>C1381/Navio!$J$4</f>
        <v>19.310325465329811</v>
      </c>
    </row>
    <row r="1382" spans="1:21" x14ac:dyDescent="0.3">
      <c r="A1382">
        <v>1380</v>
      </c>
      <c r="B1382" s="47">
        <v>575.62150746636496</v>
      </c>
      <c r="C1382" s="46">
        <v>322.34704965639457</v>
      </c>
      <c r="D1382" s="1">
        <v>42</v>
      </c>
      <c r="E1382" s="1">
        <v>43</v>
      </c>
      <c r="F1382" s="1" t="s">
        <v>50</v>
      </c>
      <c r="G1382" s="1" t="s">
        <v>50</v>
      </c>
      <c r="H1382" s="1" t="s">
        <v>50</v>
      </c>
      <c r="I1382" s="1" t="s">
        <v>50</v>
      </c>
      <c r="J1382" s="1" t="s">
        <v>50</v>
      </c>
      <c r="K1382" s="1" t="s">
        <v>50</v>
      </c>
      <c r="L1382">
        <f t="shared" si="139"/>
        <v>211.53340681752402</v>
      </c>
      <c r="M1382">
        <f t="shared" si="138"/>
        <v>364.08810064884096</v>
      </c>
      <c r="N1382" t="e">
        <f t="shared" si="140"/>
        <v>#N/A</v>
      </c>
      <c r="O1382" t="e">
        <f t="shared" si="141"/>
        <v>#N/A</v>
      </c>
      <c r="P1382" t="e">
        <f t="shared" si="142"/>
        <v>#N/A</v>
      </c>
      <c r="Q1382" t="e">
        <f t="shared" si="143"/>
        <v>#N/A</v>
      </c>
      <c r="U1382">
        <f>C1382/Navio!$J$4</f>
        <v>17.405363290615941</v>
      </c>
    </row>
    <row r="1383" spans="1:21" x14ac:dyDescent="0.3">
      <c r="A1383">
        <v>1381</v>
      </c>
      <c r="B1383" s="47">
        <v>409.35801807908837</v>
      </c>
      <c r="C1383" s="46">
        <v>325.32911469915939</v>
      </c>
      <c r="D1383" s="1">
        <v>42</v>
      </c>
      <c r="E1383" s="1">
        <v>44</v>
      </c>
      <c r="F1383" s="1" t="s">
        <v>50</v>
      </c>
      <c r="G1383" s="1" t="s">
        <v>50</v>
      </c>
      <c r="H1383" s="1" t="s">
        <v>50</v>
      </c>
      <c r="I1383" s="1" t="s">
        <v>50</v>
      </c>
      <c r="J1383" s="1" t="s">
        <v>50</v>
      </c>
      <c r="K1383" s="1" t="s">
        <v>50</v>
      </c>
      <c r="L1383">
        <f t="shared" si="139"/>
        <v>211.53340681752402</v>
      </c>
      <c r="M1383">
        <f t="shared" si="138"/>
        <v>197.82461126156434</v>
      </c>
      <c r="N1383" t="e">
        <f t="shared" si="140"/>
        <v>#N/A</v>
      </c>
      <c r="O1383" t="e">
        <f t="shared" si="141"/>
        <v>#N/A</v>
      </c>
      <c r="P1383" t="e">
        <f t="shared" si="142"/>
        <v>#N/A</v>
      </c>
      <c r="Q1383" t="e">
        <f t="shared" si="143"/>
        <v>#N/A</v>
      </c>
      <c r="U1383">
        <f>C1383/Navio!$J$4</f>
        <v>17.566382060543862</v>
      </c>
    </row>
    <row r="1384" spans="1:21" x14ac:dyDescent="0.3">
      <c r="A1384">
        <v>1382</v>
      </c>
      <c r="B1384" s="47">
        <v>315.69473489219109</v>
      </c>
      <c r="C1384" s="46">
        <v>333.41172703664233</v>
      </c>
      <c r="D1384" s="1">
        <v>42</v>
      </c>
      <c r="E1384" s="1">
        <v>45</v>
      </c>
      <c r="F1384" s="1" t="s">
        <v>50</v>
      </c>
      <c r="G1384" s="1" t="s">
        <v>50</v>
      </c>
      <c r="H1384" s="1" t="s">
        <v>50</v>
      </c>
      <c r="I1384" s="1" t="s">
        <v>50</v>
      </c>
      <c r="J1384" s="1" t="s">
        <v>50</v>
      </c>
      <c r="K1384" s="1" t="s">
        <v>50</v>
      </c>
      <c r="L1384">
        <f t="shared" si="139"/>
        <v>211.53340681752402</v>
      </c>
      <c r="M1384">
        <f t="shared" si="138"/>
        <v>104.16132807466707</v>
      </c>
      <c r="N1384" t="e">
        <f t="shared" si="140"/>
        <v>#N/A</v>
      </c>
      <c r="O1384" t="e">
        <f t="shared" si="141"/>
        <v>#N/A</v>
      </c>
      <c r="P1384" t="e">
        <f t="shared" si="142"/>
        <v>#N/A</v>
      </c>
      <c r="Q1384" t="e">
        <f t="shared" si="143"/>
        <v>#N/A</v>
      </c>
      <c r="U1384">
        <f>C1384/Navio!$J$4</f>
        <v>18.002808589718128</v>
      </c>
    </row>
    <row r="1385" spans="1:21" x14ac:dyDescent="0.3">
      <c r="A1385">
        <v>1383</v>
      </c>
      <c r="B1385" s="47">
        <v>475.26383125415646</v>
      </c>
      <c r="C1385" s="46">
        <v>333.2863965780914</v>
      </c>
      <c r="D1385" s="1">
        <v>42</v>
      </c>
      <c r="E1385" s="1">
        <v>46</v>
      </c>
      <c r="F1385" s="1" t="s">
        <v>50</v>
      </c>
      <c r="G1385" s="1" t="s">
        <v>50</v>
      </c>
      <c r="H1385" s="1" t="s">
        <v>50</v>
      </c>
      <c r="I1385" s="1" t="s">
        <v>50</v>
      </c>
      <c r="J1385" s="1" t="s">
        <v>50</v>
      </c>
      <c r="K1385" s="1" t="s">
        <v>50</v>
      </c>
      <c r="L1385">
        <f t="shared" si="139"/>
        <v>211.53340681752402</v>
      </c>
      <c r="M1385">
        <f t="shared" si="138"/>
        <v>527.46084887326492</v>
      </c>
      <c r="N1385" t="e">
        <f t="shared" si="140"/>
        <v>#N/A</v>
      </c>
      <c r="O1385" t="e">
        <f t="shared" si="141"/>
        <v>#N/A</v>
      </c>
      <c r="P1385" t="e">
        <f t="shared" si="142"/>
        <v>#N/A</v>
      </c>
      <c r="Q1385" t="e">
        <f t="shared" si="143"/>
        <v>#N/A</v>
      </c>
      <c r="U1385">
        <f>C1385/Navio!$J$4</f>
        <v>17.996041280494161</v>
      </c>
    </row>
    <row r="1386" spans="1:21" x14ac:dyDescent="0.3">
      <c r="A1386">
        <v>1384</v>
      </c>
      <c r="B1386" s="47">
        <v>553.02487440054699</v>
      </c>
      <c r="C1386" s="46">
        <v>351.51742836780204</v>
      </c>
      <c r="D1386" s="1">
        <v>42</v>
      </c>
      <c r="E1386" s="1">
        <v>47</v>
      </c>
      <c r="F1386" s="1" t="s">
        <v>50</v>
      </c>
      <c r="G1386" s="1" t="s">
        <v>50</v>
      </c>
      <c r="H1386" s="1" t="s">
        <v>50</v>
      </c>
      <c r="I1386" s="1" t="s">
        <v>50</v>
      </c>
      <c r="J1386" s="1" t="s">
        <v>50</v>
      </c>
      <c r="K1386" s="1" t="s">
        <v>50</v>
      </c>
      <c r="L1386">
        <f t="shared" si="139"/>
        <v>211.53340681752402</v>
      </c>
      <c r="M1386">
        <f t="shared" si="138"/>
        <v>341.491467583023</v>
      </c>
      <c r="N1386" t="e">
        <f t="shared" si="140"/>
        <v>#N/A</v>
      </c>
      <c r="O1386" t="e">
        <f t="shared" si="141"/>
        <v>#N/A</v>
      </c>
      <c r="P1386" t="e">
        <f t="shared" si="142"/>
        <v>#N/A</v>
      </c>
      <c r="Q1386" t="e">
        <f t="shared" si="143"/>
        <v>#N/A</v>
      </c>
      <c r="U1386">
        <f>C1386/Navio!$J$4</f>
        <v>18.98043909583302</v>
      </c>
    </row>
    <row r="1387" spans="1:21" x14ac:dyDescent="0.3">
      <c r="A1387">
        <v>1385</v>
      </c>
      <c r="B1387" s="47">
        <v>282.08128474760599</v>
      </c>
      <c r="C1387" s="46">
        <v>353.58611845181304</v>
      </c>
      <c r="D1387" s="1">
        <v>42</v>
      </c>
      <c r="E1387" s="1">
        <v>48</v>
      </c>
      <c r="F1387" s="1" t="s">
        <v>50</v>
      </c>
      <c r="G1387" s="1" t="s">
        <v>50</v>
      </c>
      <c r="H1387" s="1" t="s">
        <v>50</v>
      </c>
      <c r="I1387" s="1" t="s">
        <v>50</v>
      </c>
      <c r="J1387" s="1" t="s">
        <v>50</v>
      </c>
      <c r="K1387" s="1" t="s">
        <v>50</v>
      </c>
      <c r="L1387">
        <f t="shared" si="139"/>
        <v>211.53340681752402</v>
      </c>
      <c r="M1387">
        <f t="shared" si="138"/>
        <v>211.64363379024599</v>
      </c>
      <c r="N1387" t="e">
        <f t="shared" si="140"/>
        <v>#N/A</v>
      </c>
      <c r="O1387" t="e">
        <f t="shared" si="141"/>
        <v>#N/A</v>
      </c>
      <c r="P1387" t="e">
        <f t="shared" si="142"/>
        <v>#N/A</v>
      </c>
      <c r="Q1387" t="e">
        <f t="shared" si="143"/>
        <v>#N/A</v>
      </c>
      <c r="U1387">
        <f>C1387/Navio!$J$4</f>
        <v>19.092139520844782</v>
      </c>
    </row>
    <row r="1388" spans="1:21" x14ac:dyDescent="0.3">
      <c r="A1388">
        <v>1386</v>
      </c>
      <c r="B1388" s="47">
        <v>436.25817083585963</v>
      </c>
      <c r="C1388" s="46">
        <v>357.7354738020847</v>
      </c>
      <c r="D1388" s="1">
        <v>42</v>
      </c>
      <c r="E1388" s="1">
        <v>49</v>
      </c>
      <c r="F1388" s="1" t="s">
        <v>50</v>
      </c>
      <c r="G1388" s="1" t="s">
        <v>50</v>
      </c>
      <c r="H1388" s="1" t="s">
        <v>50</v>
      </c>
      <c r="I1388" s="1" t="s">
        <v>50</v>
      </c>
      <c r="J1388" s="1" t="s">
        <v>50</v>
      </c>
      <c r="K1388" s="1" t="s">
        <v>50</v>
      </c>
      <c r="L1388">
        <f t="shared" si="139"/>
        <v>211.53340681752402</v>
      </c>
      <c r="M1388">
        <f t="shared" si="138"/>
        <v>224.72476401833561</v>
      </c>
      <c r="N1388" t="e">
        <f t="shared" si="140"/>
        <v>#N/A</v>
      </c>
      <c r="O1388" t="e">
        <f t="shared" si="141"/>
        <v>#N/A</v>
      </c>
      <c r="P1388" t="e">
        <f t="shared" si="142"/>
        <v>#N/A</v>
      </c>
      <c r="Q1388" t="e">
        <f t="shared" si="143"/>
        <v>#N/A</v>
      </c>
      <c r="U1388">
        <f>C1388/Navio!$J$4</f>
        <v>19.316186979539761</v>
      </c>
    </row>
    <row r="1389" spans="1:21" x14ac:dyDescent="0.3">
      <c r="A1389">
        <v>1387</v>
      </c>
      <c r="B1389" s="47">
        <v>561.91271191040528</v>
      </c>
      <c r="C1389" s="46">
        <v>325.61671496515044</v>
      </c>
      <c r="D1389" s="1">
        <v>43</v>
      </c>
      <c r="E1389" s="1">
        <v>44</v>
      </c>
      <c r="F1389" s="1" t="s">
        <v>50</v>
      </c>
      <c r="G1389" s="1" t="s">
        <v>50</v>
      </c>
      <c r="H1389" s="1" t="s">
        <v>50</v>
      </c>
      <c r="I1389" s="1" t="s">
        <v>50</v>
      </c>
      <c r="J1389" s="1" t="s">
        <v>50</v>
      </c>
      <c r="K1389" s="1" t="s">
        <v>50</v>
      </c>
      <c r="L1389">
        <f t="shared" si="139"/>
        <v>364.08810064884096</v>
      </c>
      <c r="M1389">
        <f t="shared" si="138"/>
        <v>197.82461126156434</v>
      </c>
      <c r="N1389" t="e">
        <f t="shared" si="140"/>
        <v>#N/A</v>
      </c>
      <c r="O1389" t="e">
        <f t="shared" si="141"/>
        <v>#N/A</v>
      </c>
      <c r="P1389" t="e">
        <f t="shared" si="142"/>
        <v>#N/A</v>
      </c>
      <c r="Q1389" t="e">
        <f t="shared" si="143"/>
        <v>#N/A</v>
      </c>
      <c r="U1389">
        <f>C1389/Navio!$J$4</f>
        <v>17.581911245989762</v>
      </c>
    </row>
    <row r="1390" spans="1:21" x14ac:dyDescent="0.3">
      <c r="A1390">
        <v>1388</v>
      </c>
      <c r="B1390" s="47">
        <v>468.249428723508</v>
      </c>
      <c r="C1390" s="46">
        <v>336.37586058112987</v>
      </c>
      <c r="D1390" s="1">
        <v>43</v>
      </c>
      <c r="E1390" s="1">
        <v>45</v>
      </c>
      <c r="F1390" s="1" t="s">
        <v>50</v>
      </c>
      <c r="G1390" s="1" t="s">
        <v>50</v>
      </c>
      <c r="H1390" s="1" t="s">
        <v>50</v>
      </c>
      <c r="I1390" s="1" t="s">
        <v>50</v>
      </c>
      <c r="J1390" s="1" t="s">
        <v>50</v>
      </c>
      <c r="K1390" s="1" t="s">
        <v>50</v>
      </c>
      <c r="L1390">
        <f t="shared" si="139"/>
        <v>364.08810064884096</v>
      </c>
      <c r="M1390">
        <f t="shared" si="138"/>
        <v>104.16132807466707</v>
      </c>
      <c r="N1390" t="e">
        <f t="shared" si="140"/>
        <v>#N/A</v>
      </c>
      <c r="O1390" t="e">
        <f t="shared" si="141"/>
        <v>#N/A</v>
      </c>
      <c r="P1390" t="e">
        <f t="shared" si="142"/>
        <v>#N/A</v>
      </c>
      <c r="Q1390" t="e">
        <f t="shared" si="143"/>
        <v>#N/A</v>
      </c>
      <c r="U1390">
        <f>C1390/Navio!$J$4</f>
        <v>18.162859135360478</v>
      </c>
    </row>
    <row r="1391" spans="1:21" x14ac:dyDescent="0.3">
      <c r="A1391">
        <v>1389</v>
      </c>
      <c r="B1391" s="47">
        <v>627.81852508547342</v>
      </c>
      <c r="C1391" s="46">
        <v>335.75611862310961</v>
      </c>
      <c r="D1391" s="1">
        <v>43</v>
      </c>
      <c r="E1391" s="1">
        <v>46</v>
      </c>
      <c r="F1391" s="1" t="s">
        <v>50</v>
      </c>
      <c r="G1391" s="1" t="s">
        <v>50</v>
      </c>
      <c r="H1391" s="1" t="s">
        <v>50</v>
      </c>
      <c r="I1391" s="1" t="s">
        <v>50</v>
      </c>
      <c r="J1391" s="1" t="s">
        <v>50</v>
      </c>
      <c r="K1391" s="1" t="s">
        <v>50</v>
      </c>
      <c r="L1391">
        <f t="shared" si="139"/>
        <v>364.08810064884096</v>
      </c>
      <c r="M1391">
        <f t="shared" si="138"/>
        <v>527.46084887326492</v>
      </c>
      <c r="N1391" t="e">
        <f t="shared" si="140"/>
        <v>#N/A</v>
      </c>
      <c r="O1391" t="e">
        <f t="shared" si="141"/>
        <v>#N/A</v>
      </c>
      <c r="P1391" t="e">
        <f t="shared" si="142"/>
        <v>#N/A</v>
      </c>
      <c r="Q1391" t="e">
        <f t="shared" si="143"/>
        <v>#N/A</v>
      </c>
      <c r="U1391">
        <f>C1391/Navio!$J$4</f>
        <v>18.129395717788395</v>
      </c>
    </row>
    <row r="1392" spans="1:21" x14ac:dyDescent="0.3">
      <c r="A1392">
        <v>1390</v>
      </c>
      <c r="B1392" s="47">
        <v>705.57956823186396</v>
      </c>
      <c r="C1392" s="46">
        <v>352.70095290205234</v>
      </c>
      <c r="D1392" s="1">
        <v>43</v>
      </c>
      <c r="E1392" s="1">
        <v>47</v>
      </c>
      <c r="F1392" s="1" t="s">
        <v>50</v>
      </c>
      <c r="G1392" s="1" t="s">
        <v>50</v>
      </c>
      <c r="H1392" s="1" t="s">
        <v>50</v>
      </c>
      <c r="I1392" s="1" t="s">
        <v>50</v>
      </c>
      <c r="J1392" s="1" t="s">
        <v>50</v>
      </c>
      <c r="K1392" s="1" t="s">
        <v>50</v>
      </c>
      <c r="L1392">
        <f t="shared" si="139"/>
        <v>364.08810064884096</v>
      </c>
      <c r="M1392">
        <f t="shared" si="138"/>
        <v>341.491467583023</v>
      </c>
      <c r="N1392" t="e">
        <f t="shared" si="140"/>
        <v>#N/A</v>
      </c>
      <c r="O1392" t="e">
        <f t="shared" si="141"/>
        <v>#N/A</v>
      </c>
      <c r="P1392" t="e">
        <f t="shared" si="142"/>
        <v>#N/A</v>
      </c>
      <c r="Q1392" t="e">
        <f t="shared" si="143"/>
        <v>#N/A</v>
      </c>
      <c r="U1392">
        <f>C1392/Navio!$J$4</f>
        <v>19.044344363475279</v>
      </c>
    </row>
    <row r="1393" spans="1:21" x14ac:dyDescent="0.3">
      <c r="A1393">
        <v>1391</v>
      </c>
      <c r="B1393" s="47">
        <v>434.63597857892296</v>
      </c>
      <c r="C1393" s="46">
        <v>354.71807379120077</v>
      </c>
      <c r="D1393" s="1">
        <v>43</v>
      </c>
      <c r="E1393" s="1">
        <v>48</v>
      </c>
      <c r="F1393" s="1" t="s">
        <v>50</v>
      </c>
      <c r="G1393" s="1" t="s">
        <v>50</v>
      </c>
      <c r="H1393" s="1" t="s">
        <v>50</v>
      </c>
      <c r="I1393" s="1" t="s">
        <v>50</v>
      </c>
      <c r="J1393" s="1" t="s">
        <v>50</v>
      </c>
      <c r="K1393" s="1" t="s">
        <v>50</v>
      </c>
      <c r="L1393">
        <f t="shared" si="139"/>
        <v>364.08810064884096</v>
      </c>
      <c r="M1393">
        <f t="shared" si="138"/>
        <v>211.64363379024599</v>
      </c>
      <c r="N1393" t="e">
        <f t="shared" si="140"/>
        <v>#N/A</v>
      </c>
      <c r="O1393" t="e">
        <f t="shared" si="141"/>
        <v>#N/A</v>
      </c>
      <c r="P1393" t="e">
        <f t="shared" si="142"/>
        <v>#N/A</v>
      </c>
      <c r="Q1393" t="e">
        <f t="shared" si="143"/>
        <v>#N/A</v>
      </c>
      <c r="U1393">
        <f>C1393/Navio!$J$4</f>
        <v>19.15326027231993</v>
      </c>
    </row>
    <row r="1394" spans="1:21" x14ac:dyDescent="0.3">
      <c r="A1394">
        <v>1392</v>
      </c>
      <c r="B1394" s="47">
        <v>588.81286466717654</v>
      </c>
      <c r="C1394" s="46">
        <v>358.80031335791369</v>
      </c>
      <c r="D1394" s="1">
        <v>43</v>
      </c>
      <c r="E1394" s="1">
        <v>49</v>
      </c>
      <c r="F1394" s="1" t="s">
        <v>50</v>
      </c>
      <c r="G1394" s="1" t="s">
        <v>50</v>
      </c>
      <c r="H1394" s="1" t="s">
        <v>50</v>
      </c>
      <c r="I1394" s="1" t="s">
        <v>50</v>
      </c>
      <c r="J1394" s="1" t="s">
        <v>50</v>
      </c>
      <c r="K1394" s="1" t="s">
        <v>50</v>
      </c>
      <c r="L1394">
        <f t="shared" si="139"/>
        <v>364.08810064884096</v>
      </c>
      <c r="M1394">
        <f t="shared" si="138"/>
        <v>224.72476401833561</v>
      </c>
      <c r="N1394" t="e">
        <f t="shared" si="140"/>
        <v>#N/A</v>
      </c>
      <c r="O1394" t="e">
        <f t="shared" si="141"/>
        <v>#N/A</v>
      </c>
      <c r="P1394" t="e">
        <f t="shared" si="142"/>
        <v>#N/A</v>
      </c>
      <c r="Q1394" t="e">
        <f t="shared" si="143"/>
        <v>#N/A</v>
      </c>
      <c r="U1394">
        <f>C1394/Navio!$J$4</f>
        <v>19.373683765488874</v>
      </c>
    </row>
    <row r="1395" spans="1:21" x14ac:dyDescent="0.3">
      <c r="A1395">
        <v>1393</v>
      </c>
      <c r="B1395" s="47">
        <v>301.98593933623141</v>
      </c>
      <c r="C1395" s="46">
        <v>335.68624103257139</v>
      </c>
      <c r="D1395" s="1">
        <v>44</v>
      </c>
      <c r="E1395" s="1">
        <v>45</v>
      </c>
      <c r="F1395" s="1" t="s">
        <v>50</v>
      </c>
      <c r="G1395" s="1" t="s">
        <v>50</v>
      </c>
      <c r="H1395" s="1" t="s">
        <v>50</v>
      </c>
      <c r="I1395" s="1" t="s">
        <v>50</v>
      </c>
      <c r="J1395" s="1" t="s">
        <v>50</v>
      </c>
      <c r="K1395" s="1" t="s">
        <v>50</v>
      </c>
      <c r="L1395">
        <f t="shared" si="139"/>
        <v>197.82461126156434</v>
      </c>
      <c r="M1395">
        <f t="shared" si="138"/>
        <v>104.16132807466707</v>
      </c>
      <c r="N1395" t="e">
        <f t="shared" si="140"/>
        <v>#N/A</v>
      </c>
      <c r="O1395" t="e">
        <f t="shared" si="141"/>
        <v>#N/A</v>
      </c>
      <c r="P1395" t="e">
        <f t="shared" si="142"/>
        <v>#N/A</v>
      </c>
      <c r="Q1395" t="e">
        <f t="shared" si="143"/>
        <v>#N/A</v>
      </c>
      <c r="U1395">
        <f>C1395/Navio!$J$4</f>
        <v>18.125622626486685</v>
      </c>
    </row>
    <row r="1396" spans="1:21" x14ac:dyDescent="0.3">
      <c r="A1396">
        <v>1394</v>
      </c>
      <c r="B1396" s="47">
        <v>461.55503569819678</v>
      </c>
      <c r="C1396" s="46">
        <v>335.01688237715553</v>
      </c>
      <c r="D1396" s="1">
        <v>44</v>
      </c>
      <c r="E1396" s="1">
        <v>46</v>
      </c>
      <c r="F1396" s="1" t="s">
        <v>50</v>
      </c>
      <c r="G1396" s="1" t="s">
        <v>50</v>
      </c>
      <c r="H1396" s="1" t="s">
        <v>50</v>
      </c>
      <c r="I1396" s="1" t="s">
        <v>50</v>
      </c>
      <c r="J1396" s="1" t="s">
        <v>50</v>
      </c>
      <c r="K1396" s="1" t="s">
        <v>50</v>
      </c>
      <c r="L1396">
        <f t="shared" si="139"/>
        <v>197.82461126156434</v>
      </c>
      <c r="M1396">
        <f t="shared" si="138"/>
        <v>527.46084887326492</v>
      </c>
      <c r="N1396" t="e">
        <f t="shared" si="140"/>
        <v>#N/A</v>
      </c>
      <c r="O1396" t="e">
        <f t="shared" si="141"/>
        <v>#N/A</v>
      </c>
      <c r="P1396" t="e">
        <f t="shared" si="142"/>
        <v>#N/A</v>
      </c>
      <c r="Q1396" t="e">
        <f t="shared" si="143"/>
        <v>#N/A</v>
      </c>
      <c r="U1396">
        <f>C1396/Navio!$J$4</f>
        <v>18.08948011926768</v>
      </c>
    </row>
    <row r="1397" spans="1:21" x14ac:dyDescent="0.3">
      <c r="A1397">
        <v>1395</v>
      </c>
      <c r="B1397" s="47">
        <v>539.31607884458731</v>
      </c>
      <c r="C1397" s="46">
        <v>352.1155399769757</v>
      </c>
      <c r="D1397" s="1">
        <v>44</v>
      </c>
      <c r="E1397" s="1">
        <v>47</v>
      </c>
      <c r="F1397" s="1" t="s">
        <v>50</v>
      </c>
      <c r="G1397" s="1" t="s">
        <v>50</v>
      </c>
      <c r="H1397" s="1" t="s">
        <v>50</v>
      </c>
      <c r="I1397" s="1" t="s">
        <v>50</v>
      </c>
      <c r="J1397" s="1" t="s">
        <v>50</v>
      </c>
      <c r="K1397" s="1" t="s">
        <v>50</v>
      </c>
      <c r="L1397">
        <f t="shared" si="139"/>
        <v>197.82461126156434</v>
      </c>
      <c r="M1397">
        <f t="shared" si="138"/>
        <v>341.491467583023</v>
      </c>
      <c r="N1397" t="e">
        <f t="shared" si="140"/>
        <v>#N/A</v>
      </c>
      <c r="O1397" t="e">
        <f t="shared" si="141"/>
        <v>#N/A</v>
      </c>
      <c r="P1397" t="e">
        <f t="shared" si="142"/>
        <v>#N/A</v>
      </c>
      <c r="Q1397" t="e">
        <f t="shared" si="143"/>
        <v>#N/A</v>
      </c>
      <c r="U1397">
        <f>C1397/Navio!$J$4</f>
        <v>19.012734566993991</v>
      </c>
    </row>
    <row r="1398" spans="1:21" x14ac:dyDescent="0.3">
      <c r="A1398">
        <v>1396</v>
      </c>
      <c r="B1398" s="47">
        <v>268.37248919164631</v>
      </c>
      <c r="C1398" s="46">
        <v>354.15245013569154</v>
      </c>
      <c r="D1398" s="1">
        <v>44</v>
      </c>
      <c r="E1398" s="1">
        <v>48</v>
      </c>
      <c r="F1398" s="1" t="s">
        <v>50</v>
      </c>
      <c r="G1398" s="1" t="s">
        <v>50</v>
      </c>
      <c r="H1398" s="1" t="s">
        <v>50</v>
      </c>
      <c r="I1398" s="1" t="s">
        <v>50</v>
      </c>
      <c r="J1398" s="1" t="s">
        <v>50</v>
      </c>
      <c r="K1398" s="1" t="s">
        <v>50</v>
      </c>
      <c r="L1398">
        <f t="shared" si="139"/>
        <v>197.82461126156434</v>
      </c>
      <c r="M1398">
        <f t="shared" si="138"/>
        <v>211.64363379024599</v>
      </c>
      <c r="N1398" t="e">
        <f t="shared" si="140"/>
        <v>#N/A</v>
      </c>
      <c r="O1398" t="e">
        <f t="shared" si="141"/>
        <v>#N/A</v>
      </c>
      <c r="P1398" t="e">
        <f t="shared" si="142"/>
        <v>#N/A</v>
      </c>
      <c r="Q1398" t="e">
        <f t="shared" si="143"/>
        <v>#N/A</v>
      </c>
      <c r="U1398">
        <f>C1398/Navio!$J$4</f>
        <v>19.122719011835621</v>
      </c>
    </row>
    <row r="1399" spans="1:21" x14ac:dyDescent="0.3">
      <c r="A1399">
        <v>1397</v>
      </c>
      <c r="B1399" s="47">
        <v>422.54937527989995</v>
      </c>
      <c r="C1399" s="46">
        <v>358.26461204112582</v>
      </c>
      <c r="D1399" s="1">
        <v>44</v>
      </c>
      <c r="E1399" s="1">
        <v>49</v>
      </c>
      <c r="F1399" s="1" t="s">
        <v>50</v>
      </c>
      <c r="G1399" s="1" t="s">
        <v>50</v>
      </c>
      <c r="H1399" s="1" t="s">
        <v>50</v>
      </c>
      <c r="I1399" s="1" t="s">
        <v>50</v>
      </c>
      <c r="J1399" s="1" t="s">
        <v>50</v>
      </c>
      <c r="K1399" s="1" t="s">
        <v>50</v>
      </c>
      <c r="L1399">
        <f t="shared" si="139"/>
        <v>197.82461126156434</v>
      </c>
      <c r="M1399">
        <f t="shared" si="138"/>
        <v>224.72476401833561</v>
      </c>
      <c r="N1399" t="e">
        <f t="shared" si="140"/>
        <v>#N/A</v>
      </c>
      <c r="O1399" t="e">
        <f t="shared" si="141"/>
        <v>#N/A</v>
      </c>
      <c r="P1399" t="e">
        <f t="shared" si="142"/>
        <v>#N/A</v>
      </c>
      <c r="Q1399" t="e">
        <f t="shared" si="143"/>
        <v>#N/A</v>
      </c>
      <c r="U1399">
        <f>C1399/Navio!$J$4</f>
        <v>19.34475818343719</v>
      </c>
    </row>
    <row r="1400" spans="1:21" x14ac:dyDescent="0.3">
      <c r="A1400">
        <v>1398</v>
      </c>
      <c r="B1400" s="47">
        <v>367.8917525112995</v>
      </c>
      <c r="C1400" s="46">
        <v>334.01548468637714</v>
      </c>
      <c r="D1400" s="1">
        <v>45</v>
      </c>
      <c r="E1400" s="1">
        <v>46</v>
      </c>
      <c r="F1400" s="1" t="s">
        <v>50</v>
      </c>
      <c r="G1400" s="1" t="s">
        <v>50</v>
      </c>
      <c r="H1400" s="1" t="s">
        <v>50</v>
      </c>
      <c r="I1400" s="1" t="s">
        <v>50</v>
      </c>
      <c r="J1400" s="1" t="s">
        <v>50</v>
      </c>
      <c r="K1400" s="1" t="s">
        <v>50</v>
      </c>
      <c r="L1400">
        <f t="shared" si="139"/>
        <v>104.16132807466707</v>
      </c>
      <c r="M1400">
        <f t="shared" si="138"/>
        <v>527.46084887326492</v>
      </c>
      <c r="N1400" t="e">
        <f t="shared" si="140"/>
        <v>#N/A</v>
      </c>
      <c r="O1400" t="e">
        <f t="shared" si="141"/>
        <v>#N/A</v>
      </c>
      <c r="P1400" t="e">
        <f t="shared" si="142"/>
        <v>#N/A</v>
      </c>
      <c r="Q1400" t="e">
        <f t="shared" si="143"/>
        <v>#N/A</v>
      </c>
      <c r="U1400">
        <f>C1400/Navio!$J$4</f>
        <v>18.035408922943837</v>
      </c>
    </row>
    <row r="1401" spans="1:21" x14ac:dyDescent="0.3">
      <c r="A1401">
        <v>1399</v>
      </c>
      <c r="B1401" s="47">
        <v>445.65279565769004</v>
      </c>
      <c r="C1401" s="46">
        <v>351.50498064922976</v>
      </c>
      <c r="D1401" s="1">
        <v>45</v>
      </c>
      <c r="E1401" s="1">
        <v>47</v>
      </c>
      <c r="F1401" s="1" t="s">
        <v>50</v>
      </c>
      <c r="G1401" s="1" t="s">
        <v>50</v>
      </c>
      <c r="H1401" s="1" t="s">
        <v>50</v>
      </c>
      <c r="I1401" s="1" t="s">
        <v>50</v>
      </c>
      <c r="J1401" s="1" t="s">
        <v>50</v>
      </c>
      <c r="K1401" s="1" t="s">
        <v>50</v>
      </c>
      <c r="L1401">
        <f t="shared" si="139"/>
        <v>104.16132807466707</v>
      </c>
      <c r="M1401">
        <f t="shared" si="138"/>
        <v>341.491467583023</v>
      </c>
      <c r="N1401" t="e">
        <f t="shared" si="140"/>
        <v>#N/A</v>
      </c>
      <c r="O1401" t="e">
        <f t="shared" si="141"/>
        <v>#N/A</v>
      </c>
      <c r="P1401" t="e">
        <f t="shared" si="142"/>
        <v>#N/A</v>
      </c>
      <c r="Q1401" t="e">
        <f t="shared" si="143"/>
        <v>#N/A</v>
      </c>
      <c r="U1401">
        <f>C1401/Navio!$J$4</f>
        <v>18.979766972219291</v>
      </c>
    </row>
    <row r="1402" spans="1:21" x14ac:dyDescent="0.3">
      <c r="A1402">
        <v>1400</v>
      </c>
      <c r="B1402" s="47">
        <v>174.70920600474906</v>
      </c>
      <c r="C1402" s="46">
        <v>353.56089049966295</v>
      </c>
      <c r="D1402" s="1">
        <v>45</v>
      </c>
      <c r="E1402" s="1">
        <v>48</v>
      </c>
      <c r="F1402" s="1" t="s">
        <v>50</v>
      </c>
      <c r="G1402" s="1" t="s">
        <v>50</v>
      </c>
      <c r="H1402" s="1" t="s">
        <v>50</v>
      </c>
      <c r="I1402" s="1" t="s">
        <v>50</v>
      </c>
      <c r="J1402" s="1" t="s">
        <v>50</v>
      </c>
      <c r="K1402" s="1" t="s">
        <v>50</v>
      </c>
      <c r="L1402">
        <f t="shared" si="139"/>
        <v>104.16132807466707</v>
      </c>
      <c r="M1402">
        <f t="shared" si="138"/>
        <v>211.64363379024599</v>
      </c>
      <c r="N1402" t="e">
        <f t="shared" si="140"/>
        <v>#N/A</v>
      </c>
      <c r="O1402" t="e">
        <f t="shared" si="141"/>
        <v>#N/A</v>
      </c>
      <c r="P1402" t="e">
        <f t="shared" si="142"/>
        <v>#N/A</v>
      </c>
      <c r="Q1402" t="e">
        <f t="shared" si="143"/>
        <v>#N/A</v>
      </c>
      <c r="U1402">
        <f>C1402/Navio!$J$4</f>
        <v>19.090777319227865</v>
      </c>
    </row>
    <row r="1403" spans="1:21" x14ac:dyDescent="0.3">
      <c r="A1403">
        <v>1401</v>
      </c>
      <c r="B1403" s="47">
        <v>328.88609209300267</v>
      </c>
      <c r="C1403" s="46">
        <v>357.67508430868065</v>
      </c>
      <c r="D1403" s="1">
        <v>45</v>
      </c>
      <c r="E1403" s="1">
        <v>49</v>
      </c>
      <c r="F1403" s="1" t="s">
        <v>50</v>
      </c>
      <c r="G1403" s="1" t="s">
        <v>50</v>
      </c>
      <c r="H1403" s="1" t="s">
        <v>50</v>
      </c>
      <c r="I1403" s="1" t="s">
        <v>50</v>
      </c>
      <c r="J1403" s="1" t="s">
        <v>50</v>
      </c>
      <c r="K1403" s="1" t="s">
        <v>50</v>
      </c>
      <c r="L1403">
        <f t="shared" si="139"/>
        <v>104.16132807466707</v>
      </c>
      <c r="M1403">
        <f t="shared" si="138"/>
        <v>224.72476401833561</v>
      </c>
      <c r="N1403" t="e">
        <f t="shared" si="140"/>
        <v>#N/A</v>
      </c>
      <c r="O1403" t="e">
        <f t="shared" si="141"/>
        <v>#N/A</v>
      </c>
      <c r="P1403" t="e">
        <f t="shared" si="142"/>
        <v>#N/A</v>
      </c>
      <c r="Q1403" t="e">
        <f t="shared" si="143"/>
        <v>#N/A</v>
      </c>
      <c r="U1403">
        <f>C1403/Navio!$J$4</f>
        <v>19.312926204940599</v>
      </c>
    </row>
    <row r="1404" spans="1:21" x14ac:dyDescent="0.3">
      <c r="A1404">
        <v>1402</v>
      </c>
      <c r="B1404" s="47">
        <v>605.22189201965546</v>
      </c>
      <c r="C1404" s="46">
        <v>351.41805831364331</v>
      </c>
      <c r="D1404" s="1">
        <v>46</v>
      </c>
      <c r="E1404" s="1">
        <v>47</v>
      </c>
      <c r="F1404" s="1" t="s">
        <v>50</v>
      </c>
      <c r="G1404" s="1" t="s">
        <v>50</v>
      </c>
      <c r="H1404" s="1" t="s">
        <v>50</v>
      </c>
      <c r="I1404" s="1" t="s">
        <v>50</v>
      </c>
      <c r="J1404" s="1" t="s">
        <v>50</v>
      </c>
      <c r="K1404" s="1" t="s">
        <v>50</v>
      </c>
      <c r="L1404">
        <f t="shared" si="139"/>
        <v>527.46084887326492</v>
      </c>
      <c r="M1404">
        <f t="shared" si="138"/>
        <v>341.491467583023</v>
      </c>
      <c r="N1404" t="e">
        <f t="shared" si="140"/>
        <v>#N/A</v>
      </c>
      <c r="O1404" t="e">
        <f t="shared" si="141"/>
        <v>#N/A</v>
      </c>
      <c r="P1404" t="e">
        <f t="shared" si="142"/>
        <v>#N/A</v>
      </c>
      <c r="Q1404" t="e">
        <f t="shared" si="143"/>
        <v>#N/A</v>
      </c>
      <c r="U1404">
        <f>C1404/Navio!$J$4</f>
        <v>18.975073537517272</v>
      </c>
    </row>
    <row r="1405" spans="1:21" x14ac:dyDescent="0.3">
      <c r="A1405">
        <v>1403</v>
      </c>
      <c r="B1405" s="47">
        <v>334.27830236671446</v>
      </c>
      <c r="C1405" s="46">
        <v>353.48642842532672</v>
      </c>
      <c r="D1405" s="1">
        <v>46</v>
      </c>
      <c r="E1405" s="1">
        <v>48</v>
      </c>
      <c r="F1405" s="1" t="s">
        <v>50</v>
      </c>
      <c r="G1405" s="1" t="s">
        <v>50</v>
      </c>
      <c r="H1405" s="1" t="s">
        <v>50</v>
      </c>
      <c r="I1405" s="1" t="s">
        <v>50</v>
      </c>
      <c r="J1405" s="1" t="s">
        <v>50</v>
      </c>
      <c r="K1405" s="1" t="s">
        <v>50</v>
      </c>
      <c r="L1405">
        <f t="shared" si="139"/>
        <v>527.46084887326492</v>
      </c>
      <c r="M1405">
        <f t="shared" si="138"/>
        <v>211.64363379024599</v>
      </c>
      <c r="N1405" t="e">
        <f t="shared" si="140"/>
        <v>#N/A</v>
      </c>
      <c r="O1405" t="e">
        <f t="shared" si="141"/>
        <v>#N/A</v>
      </c>
      <c r="P1405" t="e">
        <f t="shared" si="142"/>
        <v>#N/A</v>
      </c>
      <c r="Q1405" t="e">
        <f t="shared" si="143"/>
        <v>#N/A</v>
      </c>
      <c r="U1405">
        <f>C1405/Navio!$J$4</f>
        <v>19.086756685390586</v>
      </c>
    </row>
    <row r="1406" spans="1:21" x14ac:dyDescent="0.3">
      <c r="A1406">
        <v>1404</v>
      </c>
      <c r="B1406" s="47">
        <v>488.45518845496804</v>
      </c>
      <c r="C1406" s="46">
        <v>357.6269299404712</v>
      </c>
      <c r="D1406" s="1">
        <v>46</v>
      </c>
      <c r="E1406" s="1">
        <v>49</v>
      </c>
      <c r="F1406" s="1" t="s">
        <v>50</v>
      </c>
      <c r="G1406" s="1" t="s">
        <v>50</v>
      </c>
      <c r="H1406" s="1" t="s">
        <v>50</v>
      </c>
      <c r="I1406" s="1" t="s">
        <v>50</v>
      </c>
      <c r="J1406" s="1" t="s">
        <v>50</v>
      </c>
      <c r="K1406" s="1" t="s">
        <v>50</v>
      </c>
      <c r="L1406">
        <f t="shared" si="139"/>
        <v>527.46084887326492</v>
      </c>
      <c r="M1406">
        <f t="shared" si="138"/>
        <v>224.72476401833561</v>
      </c>
      <c r="N1406" t="e">
        <f t="shared" si="140"/>
        <v>#N/A</v>
      </c>
      <c r="O1406" t="e">
        <f t="shared" si="141"/>
        <v>#N/A</v>
      </c>
      <c r="P1406" t="e">
        <f t="shared" si="142"/>
        <v>#N/A</v>
      </c>
      <c r="Q1406" t="e">
        <f t="shared" si="143"/>
        <v>#N/A</v>
      </c>
      <c r="U1406">
        <f>C1406/Navio!$J$4</f>
        <v>19.310326074821187</v>
      </c>
    </row>
    <row r="1407" spans="1:21" x14ac:dyDescent="0.3">
      <c r="A1407">
        <v>1405</v>
      </c>
      <c r="B1407" s="47">
        <v>412.03934551310499</v>
      </c>
      <c r="C1407" s="46">
        <v>353.48563253353791</v>
      </c>
      <c r="D1407" s="1">
        <v>47</v>
      </c>
      <c r="E1407" s="1">
        <v>48</v>
      </c>
      <c r="F1407" s="1" t="s">
        <v>50</v>
      </c>
      <c r="G1407" s="1" t="s">
        <v>50</v>
      </c>
      <c r="H1407" s="1" t="s">
        <v>50</v>
      </c>
      <c r="I1407" s="1" t="s">
        <v>50</v>
      </c>
      <c r="J1407" s="1" t="s">
        <v>50</v>
      </c>
      <c r="K1407" s="1" t="s">
        <v>50</v>
      </c>
      <c r="L1407">
        <f t="shared" si="139"/>
        <v>341.491467583023</v>
      </c>
      <c r="M1407">
        <f t="shared" si="138"/>
        <v>211.64363379024599</v>
      </c>
      <c r="N1407" t="e">
        <f t="shared" si="140"/>
        <v>#N/A</v>
      </c>
      <c r="O1407" t="e">
        <f t="shared" si="141"/>
        <v>#N/A</v>
      </c>
      <c r="P1407" t="e">
        <f t="shared" si="142"/>
        <v>#N/A</v>
      </c>
      <c r="Q1407" t="e">
        <f t="shared" si="143"/>
        <v>#N/A</v>
      </c>
      <c r="U1407">
        <f>C1407/Navio!$J$4</f>
        <v>19.086713710634843</v>
      </c>
    </row>
    <row r="1408" spans="1:21" x14ac:dyDescent="0.3">
      <c r="A1408">
        <v>1406</v>
      </c>
      <c r="B1408" s="47">
        <v>566.21623160135857</v>
      </c>
      <c r="C1408" s="46">
        <v>357.63445937734184</v>
      </c>
      <c r="D1408" s="1">
        <v>47</v>
      </c>
      <c r="E1408" s="1">
        <v>49</v>
      </c>
      <c r="F1408" s="1" t="s">
        <v>50</v>
      </c>
      <c r="G1408" s="1" t="s">
        <v>50</v>
      </c>
      <c r="H1408" s="1" t="s">
        <v>50</v>
      </c>
      <c r="I1408" s="1" t="s">
        <v>50</v>
      </c>
      <c r="J1408" s="1" t="s">
        <v>50</v>
      </c>
      <c r="K1408" s="1" t="s">
        <v>50</v>
      </c>
      <c r="L1408">
        <f t="shared" si="139"/>
        <v>341.491467583023</v>
      </c>
      <c r="M1408">
        <f t="shared" si="138"/>
        <v>224.72476401833561</v>
      </c>
      <c r="N1408" t="e">
        <f t="shared" si="140"/>
        <v>#N/A</v>
      </c>
      <c r="O1408" t="e">
        <f t="shared" si="141"/>
        <v>#N/A</v>
      </c>
      <c r="P1408" t="e">
        <f t="shared" si="142"/>
        <v>#N/A</v>
      </c>
      <c r="Q1408" t="e">
        <f t="shared" si="143"/>
        <v>#N/A</v>
      </c>
      <c r="U1408">
        <f>C1408/Navio!$J$4</f>
        <v>19.310732632238874</v>
      </c>
    </row>
    <row r="1409" spans="1:21" x14ac:dyDescent="0.3">
      <c r="A1409">
        <v>1407</v>
      </c>
      <c r="B1409" s="47">
        <v>295.27264194841757</v>
      </c>
      <c r="C1409" s="46">
        <v>357.63423829047611</v>
      </c>
      <c r="D1409" s="1">
        <v>48</v>
      </c>
      <c r="E1409" s="1">
        <v>49</v>
      </c>
      <c r="F1409" s="1" t="s">
        <v>50</v>
      </c>
      <c r="G1409" s="1" t="s">
        <v>50</v>
      </c>
      <c r="H1409" s="1" t="s">
        <v>50</v>
      </c>
      <c r="I1409" s="1" t="s">
        <v>50</v>
      </c>
      <c r="J1409" s="1" t="s">
        <v>50</v>
      </c>
      <c r="K1409" s="1" t="s">
        <v>50</v>
      </c>
      <c r="L1409">
        <f t="shared" si="139"/>
        <v>211.64363379024599</v>
      </c>
      <c r="M1409">
        <f t="shared" si="138"/>
        <v>224.72476401833561</v>
      </c>
      <c r="N1409" t="e">
        <f t="shared" si="140"/>
        <v>#N/A</v>
      </c>
      <c r="O1409" t="e">
        <f t="shared" si="141"/>
        <v>#N/A</v>
      </c>
      <c r="P1409" t="e">
        <f t="shared" si="142"/>
        <v>#N/A</v>
      </c>
      <c r="Q1409" t="e">
        <f t="shared" si="143"/>
        <v>#N/A</v>
      </c>
      <c r="U1409">
        <f>C1409/Navio!$J$4</f>
        <v>19.310720694492829</v>
      </c>
    </row>
    <row r="1410" spans="1:21" x14ac:dyDescent="0.3">
      <c r="A1410">
        <v>1408</v>
      </c>
      <c r="B1410" s="47">
        <v>773.44611872792939</v>
      </c>
      <c r="C1410" s="46">
        <v>326.08959678067117</v>
      </c>
      <c r="D1410" s="1">
        <v>43</v>
      </c>
      <c r="E1410" s="1">
        <v>44</v>
      </c>
      <c r="F1410" s="1">
        <v>42</v>
      </c>
      <c r="G1410" s="1" t="s">
        <v>50</v>
      </c>
      <c r="H1410" s="1" t="s">
        <v>50</v>
      </c>
      <c r="I1410" s="1" t="s">
        <v>50</v>
      </c>
      <c r="J1410" s="1" t="s">
        <v>50</v>
      </c>
      <c r="K1410" s="1" t="s">
        <v>50</v>
      </c>
      <c r="L1410">
        <f t="shared" si="139"/>
        <v>364.08810064884096</v>
      </c>
      <c r="M1410">
        <f t="shared" si="138"/>
        <v>197.82461126156434</v>
      </c>
      <c r="N1410">
        <f t="shared" si="140"/>
        <v>211.53340681752402</v>
      </c>
      <c r="O1410" t="e">
        <f t="shared" si="141"/>
        <v>#N/A</v>
      </c>
      <c r="P1410" t="e">
        <f t="shared" si="142"/>
        <v>#N/A</v>
      </c>
      <c r="Q1410" t="e">
        <f t="shared" si="143"/>
        <v>#N/A</v>
      </c>
      <c r="U1410">
        <f>C1410/Navio!$J$4</f>
        <v>17.607444843401115</v>
      </c>
    </row>
    <row r="1411" spans="1:21" x14ac:dyDescent="0.3">
      <c r="A1411">
        <v>1409</v>
      </c>
      <c r="B1411" s="47">
        <v>679.782835541032</v>
      </c>
      <c r="C1411" s="46">
        <v>336.88869048589413</v>
      </c>
      <c r="D1411" s="1">
        <v>43</v>
      </c>
      <c r="E1411" s="1">
        <v>45</v>
      </c>
      <c r="F1411" s="1">
        <v>42</v>
      </c>
      <c r="G1411" s="1" t="s">
        <v>50</v>
      </c>
      <c r="H1411" s="1" t="s">
        <v>50</v>
      </c>
      <c r="I1411" s="1" t="s">
        <v>50</v>
      </c>
      <c r="J1411" s="1" t="s">
        <v>50</v>
      </c>
      <c r="K1411" s="1" t="s">
        <v>50</v>
      </c>
      <c r="L1411">
        <f t="shared" si="139"/>
        <v>364.08810064884096</v>
      </c>
      <c r="M1411">
        <f t="shared" ref="M1411:M1474" si="145">VLOOKUP(E1411,$Y$2:$Z$80,2)</f>
        <v>104.16132807466707</v>
      </c>
      <c r="N1411">
        <f t="shared" si="140"/>
        <v>211.53340681752402</v>
      </c>
      <c r="O1411" t="e">
        <f t="shared" si="141"/>
        <v>#N/A</v>
      </c>
      <c r="P1411" t="e">
        <f t="shared" si="142"/>
        <v>#N/A</v>
      </c>
      <c r="Q1411" t="e">
        <f t="shared" si="143"/>
        <v>#N/A</v>
      </c>
      <c r="U1411">
        <f>C1411/Navio!$J$4</f>
        <v>18.190549758892562</v>
      </c>
    </row>
    <row r="1412" spans="1:21" x14ac:dyDescent="0.3">
      <c r="A1412">
        <v>1410</v>
      </c>
      <c r="B1412" s="47">
        <v>839.35193190299742</v>
      </c>
      <c r="C1412" s="46">
        <v>335.99222911484242</v>
      </c>
      <c r="D1412" s="1">
        <v>43</v>
      </c>
      <c r="E1412" s="1">
        <v>46</v>
      </c>
      <c r="F1412" s="1">
        <v>42</v>
      </c>
      <c r="G1412" s="1" t="s">
        <v>50</v>
      </c>
      <c r="H1412" s="1" t="s">
        <v>50</v>
      </c>
      <c r="I1412" s="1" t="s">
        <v>50</v>
      </c>
      <c r="J1412" s="1" t="s">
        <v>50</v>
      </c>
      <c r="K1412" s="1" t="s">
        <v>50</v>
      </c>
      <c r="L1412">
        <f t="shared" si="139"/>
        <v>364.08810064884096</v>
      </c>
      <c r="M1412">
        <f t="shared" si="145"/>
        <v>527.46084887326492</v>
      </c>
      <c r="N1412">
        <f t="shared" si="140"/>
        <v>211.53340681752402</v>
      </c>
      <c r="O1412" t="e">
        <f t="shared" si="141"/>
        <v>#N/A</v>
      </c>
      <c r="P1412" t="e">
        <f t="shared" si="142"/>
        <v>#N/A</v>
      </c>
      <c r="Q1412" t="e">
        <f t="shared" si="143"/>
        <v>#N/A</v>
      </c>
      <c r="U1412">
        <f>C1412/Navio!$J$4</f>
        <v>18.142144675440456</v>
      </c>
    </row>
    <row r="1413" spans="1:21" x14ac:dyDescent="0.3">
      <c r="A1413">
        <v>1411</v>
      </c>
      <c r="B1413" s="47">
        <v>646.16938539644696</v>
      </c>
      <c r="C1413" s="46">
        <v>354.8194338751714</v>
      </c>
      <c r="D1413" s="1">
        <v>43</v>
      </c>
      <c r="E1413" s="1">
        <v>48</v>
      </c>
      <c r="F1413" s="1">
        <v>42</v>
      </c>
      <c r="G1413" s="1" t="s">
        <v>50</v>
      </c>
      <c r="H1413" s="1" t="s">
        <v>50</v>
      </c>
      <c r="I1413" s="1" t="s">
        <v>50</v>
      </c>
      <c r="J1413" s="1" t="s">
        <v>50</v>
      </c>
      <c r="K1413" s="1" t="s">
        <v>50</v>
      </c>
      <c r="L1413">
        <f t="shared" si="139"/>
        <v>364.08810064884096</v>
      </c>
      <c r="M1413">
        <f t="shared" si="145"/>
        <v>211.64363379024599</v>
      </c>
      <c r="N1413">
        <f t="shared" si="140"/>
        <v>211.53340681752402</v>
      </c>
      <c r="O1413" t="e">
        <f t="shared" si="141"/>
        <v>#N/A</v>
      </c>
      <c r="P1413" t="e">
        <f t="shared" si="142"/>
        <v>#N/A</v>
      </c>
      <c r="Q1413" t="e">
        <f t="shared" si="143"/>
        <v>#N/A</v>
      </c>
      <c r="U1413">
        <f>C1413/Navio!$J$4</f>
        <v>19.158733283742112</v>
      </c>
    </row>
    <row r="1414" spans="1:21" x14ac:dyDescent="0.3">
      <c r="A1414">
        <v>1412</v>
      </c>
      <c r="B1414" s="47">
        <v>800.34627148470054</v>
      </c>
      <c r="C1414" s="46">
        <v>358.90886850729771</v>
      </c>
      <c r="D1414" s="1">
        <v>43</v>
      </c>
      <c r="E1414" s="1">
        <v>49</v>
      </c>
      <c r="F1414" s="1">
        <v>42</v>
      </c>
      <c r="G1414" s="1" t="s">
        <v>50</v>
      </c>
      <c r="H1414" s="1" t="s">
        <v>50</v>
      </c>
      <c r="I1414" s="1" t="s">
        <v>50</v>
      </c>
      <c r="J1414" s="1" t="s">
        <v>50</v>
      </c>
      <c r="K1414" s="1" t="s">
        <v>50</v>
      </c>
      <c r="L1414">
        <f t="shared" si="139"/>
        <v>364.08810064884096</v>
      </c>
      <c r="M1414">
        <f t="shared" si="145"/>
        <v>224.72476401833561</v>
      </c>
      <c r="N1414">
        <f t="shared" si="140"/>
        <v>211.53340681752402</v>
      </c>
      <c r="O1414" t="e">
        <f t="shared" si="141"/>
        <v>#N/A</v>
      </c>
      <c r="P1414" t="e">
        <f t="shared" si="142"/>
        <v>#N/A</v>
      </c>
      <c r="Q1414" t="e">
        <f t="shared" si="143"/>
        <v>#N/A</v>
      </c>
      <c r="U1414">
        <f>C1414/Navio!$J$4</f>
        <v>19.379545279698821</v>
      </c>
    </row>
    <row r="1415" spans="1:21" x14ac:dyDescent="0.3">
      <c r="A1415">
        <v>1413</v>
      </c>
      <c r="B1415" s="47">
        <v>513.51934615375546</v>
      </c>
      <c r="C1415" s="46">
        <v>336.15912284809212</v>
      </c>
      <c r="D1415" s="1">
        <v>45</v>
      </c>
      <c r="E1415" s="1">
        <v>44</v>
      </c>
      <c r="F1415" s="1">
        <v>42</v>
      </c>
      <c r="G1415" s="1" t="s">
        <v>50</v>
      </c>
      <c r="H1415" s="1" t="s">
        <v>50</v>
      </c>
      <c r="I1415" s="1" t="s">
        <v>50</v>
      </c>
      <c r="J1415" s="1" t="s">
        <v>50</v>
      </c>
      <c r="K1415" s="1" t="s">
        <v>50</v>
      </c>
      <c r="L1415">
        <f t="shared" si="139"/>
        <v>104.16132807466707</v>
      </c>
      <c r="M1415">
        <f t="shared" si="145"/>
        <v>197.82461126156434</v>
      </c>
      <c r="N1415">
        <f t="shared" si="140"/>
        <v>211.53340681752402</v>
      </c>
      <c r="O1415" t="e">
        <f t="shared" si="141"/>
        <v>#N/A</v>
      </c>
      <c r="P1415" t="e">
        <f t="shared" si="142"/>
        <v>#N/A</v>
      </c>
      <c r="Q1415" t="e">
        <f t="shared" si="143"/>
        <v>#N/A</v>
      </c>
      <c r="U1415">
        <f>C1415/Navio!$J$4</f>
        <v>18.151156223898038</v>
      </c>
    </row>
    <row r="1416" spans="1:21" x14ac:dyDescent="0.3">
      <c r="A1416">
        <v>1414</v>
      </c>
      <c r="B1416" s="47">
        <v>673.08844251572077</v>
      </c>
      <c r="C1416" s="46">
        <v>335.25299286888833</v>
      </c>
      <c r="D1416" s="1">
        <v>44</v>
      </c>
      <c r="E1416" s="1">
        <v>46</v>
      </c>
      <c r="F1416" s="1">
        <v>42</v>
      </c>
      <c r="G1416" s="1" t="s">
        <v>50</v>
      </c>
      <c r="H1416" s="1" t="s">
        <v>50</v>
      </c>
      <c r="I1416" s="1" t="s">
        <v>50</v>
      </c>
      <c r="J1416" s="1" t="s">
        <v>50</v>
      </c>
      <c r="K1416" s="1" t="s">
        <v>50</v>
      </c>
      <c r="L1416">
        <f t="shared" si="139"/>
        <v>197.82461126156434</v>
      </c>
      <c r="M1416">
        <f t="shared" si="145"/>
        <v>527.46084887326492</v>
      </c>
      <c r="N1416">
        <f t="shared" si="140"/>
        <v>211.53340681752402</v>
      </c>
      <c r="O1416" t="e">
        <f t="shared" si="141"/>
        <v>#N/A</v>
      </c>
      <c r="P1416" t="e">
        <f t="shared" si="142"/>
        <v>#N/A</v>
      </c>
      <c r="Q1416" t="e">
        <f t="shared" si="143"/>
        <v>#N/A</v>
      </c>
      <c r="U1416">
        <f>C1416/Navio!$J$4</f>
        <v>18.102229076919738</v>
      </c>
    </row>
    <row r="1417" spans="1:21" x14ac:dyDescent="0.3">
      <c r="A1417">
        <v>1415</v>
      </c>
      <c r="B1417" s="47">
        <v>750.84948566211142</v>
      </c>
      <c r="C1417" s="46">
        <v>352.21767833997171</v>
      </c>
      <c r="D1417" s="1">
        <v>44</v>
      </c>
      <c r="E1417" s="1">
        <v>47</v>
      </c>
      <c r="F1417" s="1">
        <v>42</v>
      </c>
      <c r="G1417" s="1" t="s">
        <v>50</v>
      </c>
      <c r="H1417" s="1" t="s">
        <v>50</v>
      </c>
      <c r="I1417" s="1" t="s">
        <v>50</v>
      </c>
      <c r="J1417" s="1" t="s">
        <v>50</v>
      </c>
      <c r="K1417" s="1" t="s">
        <v>50</v>
      </c>
      <c r="L1417">
        <f t="shared" si="139"/>
        <v>197.82461126156434</v>
      </c>
      <c r="M1417">
        <f t="shared" si="145"/>
        <v>341.491467583023</v>
      </c>
      <c r="N1417">
        <f t="shared" si="140"/>
        <v>211.53340681752402</v>
      </c>
      <c r="O1417" t="e">
        <f t="shared" si="141"/>
        <v>#N/A</v>
      </c>
      <c r="P1417" t="e">
        <f t="shared" si="142"/>
        <v>#N/A</v>
      </c>
      <c r="Q1417" t="e">
        <f t="shared" si="143"/>
        <v>#N/A</v>
      </c>
      <c r="U1417">
        <f>C1417/Navio!$J$4</f>
        <v>19.018249602157955</v>
      </c>
    </row>
    <row r="1418" spans="1:21" x14ac:dyDescent="0.3">
      <c r="A1418">
        <v>1416</v>
      </c>
      <c r="B1418" s="47">
        <v>479.90589600917036</v>
      </c>
      <c r="C1418" s="46">
        <v>354.25381021966211</v>
      </c>
      <c r="D1418" s="1">
        <v>44</v>
      </c>
      <c r="E1418" s="1">
        <v>48</v>
      </c>
      <c r="F1418" s="1">
        <v>42</v>
      </c>
      <c r="G1418" s="1" t="s">
        <v>50</v>
      </c>
      <c r="H1418" s="1" t="s">
        <v>50</v>
      </c>
      <c r="I1418" s="1" t="s">
        <v>50</v>
      </c>
      <c r="J1418" s="1" t="s">
        <v>50</v>
      </c>
      <c r="K1418" s="1" t="s">
        <v>50</v>
      </c>
      <c r="L1418">
        <f t="shared" si="139"/>
        <v>197.82461126156434</v>
      </c>
      <c r="M1418">
        <f t="shared" si="145"/>
        <v>211.64363379024599</v>
      </c>
      <c r="N1418">
        <f t="shared" si="140"/>
        <v>211.53340681752402</v>
      </c>
      <c r="O1418" t="e">
        <f t="shared" si="141"/>
        <v>#N/A</v>
      </c>
      <c r="P1418" t="e">
        <f t="shared" si="142"/>
        <v>#N/A</v>
      </c>
      <c r="Q1418" t="e">
        <f t="shared" si="143"/>
        <v>#N/A</v>
      </c>
      <c r="U1418">
        <f>C1418/Navio!$J$4</f>
        <v>19.1281920232578</v>
      </c>
    </row>
    <row r="1419" spans="1:21" x14ac:dyDescent="0.3">
      <c r="A1419">
        <v>1417</v>
      </c>
      <c r="B1419" s="47">
        <v>634.082782097424</v>
      </c>
      <c r="C1419" s="46">
        <v>358.37316719050989</v>
      </c>
      <c r="D1419" s="1">
        <v>44</v>
      </c>
      <c r="E1419" s="1">
        <v>49</v>
      </c>
      <c r="F1419" s="1">
        <v>42</v>
      </c>
      <c r="G1419" s="1" t="s">
        <v>50</v>
      </c>
      <c r="H1419" s="1" t="s">
        <v>50</v>
      </c>
      <c r="I1419" s="1" t="s">
        <v>50</v>
      </c>
      <c r="J1419" s="1" t="s">
        <v>50</v>
      </c>
      <c r="K1419" s="1" t="s">
        <v>50</v>
      </c>
      <c r="L1419">
        <f t="shared" si="139"/>
        <v>197.82461126156434</v>
      </c>
      <c r="M1419">
        <f t="shared" si="145"/>
        <v>224.72476401833561</v>
      </c>
      <c r="N1419">
        <f t="shared" si="140"/>
        <v>211.53340681752402</v>
      </c>
      <c r="O1419" t="e">
        <f t="shared" si="141"/>
        <v>#N/A</v>
      </c>
      <c r="P1419" t="e">
        <f t="shared" si="142"/>
        <v>#N/A</v>
      </c>
      <c r="Q1419" t="e">
        <f t="shared" si="143"/>
        <v>#N/A</v>
      </c>
      <c r="U1419">
        <f>C1419/Navio!$J$4</f>
        <v>19.35061969764714</v>
      </c>
    </row>
    <row r="1420" spans="1:21" x14ac:dyDescent="0.3">
      <c r="A1420">
        <v>1418</v>
      </c>
      <c r="B1420" s="47">
        <v>579.42515932882361</v>
      </c>
      <c r="C1420" s="46">
        <v>334.25159517810994</v>
      </c>
      <c r="D1420" s="1">
        <v>45</v>
      </c>
      <c r="E1420" s="1">
        <v>46</v>
      </c>
      <c r="F1420" s="1">
        <v>42</v>
      </c>
      <c r="G1420" s="1" t="s">
        <v>50</v>
      </c>
      <c r="H1420" s="1" t="s">
        <v>50</v>
      </c>
      <c r="I1420" s="1" t="s">
        <v>50</v>
      </c>
      <c r="J1420" s="1" t="s">
        <v>50</v>
      </c>
      <c r="K1420" s="1" t="s">
        <v>50</v>
      </c>
      <c r="L1420">
        <f t="shared" si="139"/>
        <v>104.16132807466707</v>
      </c>
      <c r="M1420">
        <f t="shared" si="145"/>
        <v>527.46084887326492</v>
      </c>
      <c r="N1420">
        <f t="shared" si="140"/>
        <v>211.53340681752402</v>
      </c>
      <c r="O1420" t="e">
        <f t="shared" si="141"/>
        <v>#N/A</v>
      </c>
      <c r="P1420" t="e">
        <f t="shared" si="142"/>
        <v>#N/A</v>
      </c>
      <c r="Q1420" t="e">
        <f t="shared" si="143"/>
        <v>#N/A</v>
      </c>
      <c r="U1420">
        <f>C1420/Navio!$J$4</f>
        <v>18.048157880595898</v>
      </c>
    </row>
    <row r="1421" spans="1:21" x14ac:dyDescent="0.3">
      <c r="A1421">
        <v>1419</v>
      </c>
      <c r="B1421" s="47">
        <v>657.18620247521403</v>
      </c>
      <c r="C1421" s="46">
        <v>351.60711901222589</v>
      </c>
      <c r="D1421" s="1">
        <v>45</v>
      </c>
      <c r="E1421" s="1">
        <v>47</v>
      </c>
      <c r="F1421" s="1">
        <v>42</v>
      </c>
      <c r="G1421" s="1" t="s">
        <v>50</v>
      </c>
      <c r="H1421" s="1" t="s">
        <v>50</v>
      </c>
      <c r="I1421" s="1" t="s">
        <v>50</v>
      </c>
      <c r="J1421" s="1" t="s">
        <v>50</v>
      </c>
      <c r="K1421" s="1" t="s">
        <v>50</v>
      </c>
      <c r="L1421">
        <f t="shared" ref="L1421:L1484" si="146">VLOOKUP(D1421,$Y$2:$Z$80,2)</f>
        <v>104.16132807466707</v>
      </c>
      <c r="M1421">
        <f t="shared" si="145"/>
        <v>341.491467583023</v>
      </c>
      <c r="N1421">
        <f t="shared" ref="N1421:N1484" si="147">VLOOKUP(F1421,$Y$2:$Z$80,2)</f>
        <v>211.53340681752402</v>
      </c>
      <c r="O1421" t="e">
        <f t="shared" ref="O1421:O1484" si="148">VLOOKUP(G1421,$Y$2:$Z$80,2)</f>
        <v>#N/A</v>
      </c>
      <c r="P1421" t="e">
        <f t="shared" ref="P1421:P1484" si="149">VLOOKUP(H1421,$Y$2:$Z$80,2)</f>
        <v>#N/A</v>
      </c>
      <c r="Q1421" t="e">
        <f t="shared" ref="Q1421:Q1484" si="150">VLOOKUP(I1421,$Y$2:$Z$80,2)</f>
        <v>#N/A</v>
      </c>
      <c r="U1421">
        <f>C1421/Navio!$J$4</f>
        <v>18.985282007383262</v>
      </c>
    </row>
    <row r="1422" spans="1:21" x14ac:dyDescent="0.3">
      <c r="A1422">
        <v>1420</v>
      </c>
      <c r="B1422" s="47">
        <v>386.24261282227309</v>
      </c>
      <c r="C1422" s="46">
        <v>353.66225058363352</v>
      </c>
      <c r="D1422" s="1">
        <v>45</v>
      </c>
      <c r="E1422" s="1">
        <v>48</v>
      </c>
      <c r="F1422" s="1">
        <v>42</v>
      </c>
      <c r="G1422" s="1" t="s">
        <v>50</v>
      </c>
      <c r="H1422" s="1" t="s">
        <v>50</v>
      </c>
      <c r="I1422" s="1" t="s">
        <v>50</v>
      </c>
      <c r="J1422" s="1" t="s">
        <v>50</v>
      </c>
      <c r="K1422" s="1" t="s">
        <v>50</v>
      </c>
      <c r="L1422">
        <f t="shared" si="146"/>
        <v>104.16132807466707</v>
      </c>
      <c r="M1422">
        <f t="shared" si="145"/>
        <v>211.64363379024599</v>
      </c>
      <c r="N1422">
        <f t="shared" si="147"/>
        <v>211.53340681752402</v>
      </c>
      <c r="O1422" t="e">
        <f t="shared" si="148"/>
        <v>#N/A</v>
      </c>
      <c r="P1422" t="e">
        <f t="shared" si="149"/>
        <v>#N/A</v>
      </c>
      <c r="Q1422" t="e">
        <f t="shared" si="150"/>
        <v>#N/A</v>
      </c>
      <c r="U1422">
        <f>C1422/Navio!$J$4</f>
        <v>19.096250330650044</v>
      </c>
    </row>
    <row r="1423" spans="1:21" x14ac:dyDescent="0.3">
      <c r="A1423">
        <v>1421</v>
      </c>
      <c r="B1423" s="47">
        <v>540.41949891052673</v>
      </c>
      <c r="C1423" s="46">
        <v>357.78363945806473</v>
      </c>
      <c r="D1423" s="1">
        <v>45</v>
      </c>
      <c r="E1423" s="1">
        <v>49</v>
      </c>
      <c r="F1423" s="1">
        <v>42</v>
      </c>
      <c r="G1423" s="1" t="s">
        <v>50</v>
      </c>
      <c r="H1423" s="1" t="s">
        <v>50</v>
      </c>
      <c r="I1423" s="1" t="s">
        <v>50</v>
      </c>
      <c r="J1423" s="1" t="s">
        <v>50</v>
      </c>
      <c r="K1423" s="1" t="s">
        <v>50</v>
      </c>
      <c r="L1423">
        <f t="shared" si="146"/>
        <v>104.16132807466707</v>
      </c>
      <c r="M1423">
        <f t="shared" si="145"/>
        <v>224.72476401833561</v>
      </c>
      <c r="N1423">
        <f t="shared" si="147"/>
        <v>211.53340681752402</v>
      </c>
      <c r="O1423" t="e">
        <f t="shared" si="148"/>
        <v>#N/A</v>
      </c>
      <c r="P1423" t="e">
        <f t="shared" si="149"/>
        <v>#N/A</v>
      </c>
      <c r="Q1423" t="e">
        <f t="shared" si="150"/>
        <v>#N/A</v>
      </c>
      <c r="U1423">
        <f>C1423/Navio!$J$4</f>
        <v>19.318787719150553</v>
      </c>
    </row>
    <row r="1424" spans="1:21" x14ac:dyDescent="0.3">
      <c r="A1424">
        <v>1422</v>
      </c>
      <c r="B1424" s="47">
        <v>816.75529883717945</v>
      </c>
      <c r="C1424" s="46">
        <v>351.52019667663944</v>
      </c>
      <c r="D1424" s="1">
        <v>46</v>
      </c>
      <c r="E1424" s="1">
        <v>47</v>
      </c>
      <c r="F1424" s="1">
        <v>42</v>
      </c>
      <c r="G1424" s="1" t="s">
        <v>50</v>
      </c>
      <c r="H1424" s="1" t="s">
        <v>50</v>
      </c>
      <c r="I1424" s="1" t="s">
        <v>50</v>
      </c>
      <c r="J1424" s="1" t="s">
        <v>50</v>
      </c>
      <c r="K1424" s="1" t="s">
        <v>50</v>
      </c>
      <c r="L1424">
        <f t="shared" si="146"/>
        <v>527.46084887326492</v>
      </c>
      <c r="M1424">
        <f t="shared" si="145"/>
        <v>341.491467583023</v>
      </c>
      <c r="N1424">
        <f t="shared" si="147"/>
        <v>211.53340681752402</v>
      </c>
      <c r="O1424" t="e">
        <f t="shared" si="148"/>
        <v>#N/A</v>
      </c>
      <c r="P1424" t="e">
        <f t="shared" si="149"/>
        <v>#N/A</v>
      </c>
      <c r="Q1424" t="e">
        <f t="shared" si="150"/>
        <v>#N/A</v>
      </c>
      <c r="U1424">
        <f>C1424/Navio!$J$4</f>
        <v>18.980588572681242</v>
      </c>
    </row>
    <row r="1425" spans="1:21" x14ac:dyDescent="0.3">
      <c r="A1425">
        <v>1423</v>
      </c>
      <c r="B1425" s="47">
        <v>545.81170918423845</v>
      </c>
      <c r="C1425" s="46">
        <v>353.5877885092973</v>
      </c>
      <c r="D1425" s="1">
        <v>46</v>
      </c>
      <c r="E1425" s="1">
        <v>48</v>
      </c>
      <c r="F1425" s="1">
        <v>42</v>
      </c>
      <c r="G1425" s="1" t="s">
        <v>50</v>
      </c>
      <c r="H1425" s="1" t="s">
        <v>50</v>
      </c>
      <c r="I1425" s="1" t="s">
        <v>50</v>
      </c>
      <c r="J1425" s="1" t="s">
        <v>50</v>
      </c>
      <c r="K1425" s="1" t="s">
        <v>50</v>
      </c>
      <c r="L1425">
        <f t="shared" si="146"/>
        <v>527.46084887326492</v>
      </c>
      <c r="M1425">
        <f t="shared" si="145"/>
        <v>211.64363379024599</v>
      </c>
      <c r="N1425">
        <f t="shared" si="147"/>
        <v>211.53340681752402</v>
      </c>
      <c r="O1425" t="e">
        <f t="shared" si="148"/>
        <v>#N/A</v>
      </c>
      <c r="P1425" t="e">
        <f t="shared" si="149"/>
        <v>#N/A</v>
      </c>
      <c r="Q1425" t="e">
        <f t="shared" si="150"/>
        <v>#N/A</v>
      </c>
      <c r="U1425">
        <f>C1425/Navio!$J$4</f>
        <v>19.092229696812765</v>
      </c>
    </row>
    <row r="1426" spans="1:21" x14ac:dyDescent="0.3">
      <c r="A1426">
        <v>1424</v>
      </c>
      <c r="B1426" s="47">
        <v>699.98859527249215</v>
      </c>
      <c r="C1426" s="46">
        <v>357.73548508985516</v>
      </c>
      <c r="D1426" s="1">
        <v>46</v>
      </c>
      <c r="E1426" s="1">
        <v>49</v>
      </c>
      <c r="F1426" s="1">
        <v>42</v>
      </c>
      <c r="G1426" s="1" t="s">
        <v>50</v>
      </c>
      <c r="H1426" s="1" t="s">
        <v>50</v>
      </c>
      <c r="I1426" s="1" t="s">
        <v>50</v>
      </c>
      <c r="J1426" s="1" t="s">
        <v>50</v>
      </c>
      <c r="K1426" s="1" t="s">
        <v>50</v>
      </c>
      <c r="L1426">
        <f t="shared" si="146"/>
        <v>527.46084887326492</v>
      </c>
      <c r="M1426">
        <f t="shared" si="145"/>
        <v>224.72476401833561</v>
      </c>
      <c r="N1426">
        <f t="shared" si="147"/>
        <v>211.53340681752402</v>
      </c>
      <c r="O1426" t="e">
        <f t="shared" si="148"/>
        <v>#N/A</v>
      </c>
      <c r="P1426" t="e">
        <f t="shared" si="149"/>
        <v>#N/A</v>
      </c>
      <c r="Q1426" t="e">
        <f t="shared" si="150"/>
        <v>#N/A</v>
      </c>
      <c r="U1426">
        <f>C1426/Navio!$J$4</f>
        <v>19.316187589031131</v>
      </c>
    </row>
    <row r="1427" spans="1:21" x14ac:dyDescent="0.3">
      <c r="A1427">
        <v>1425</v>
      </c>
      <c r="B1427" s="47">
        <v>623.57275233062899</v>
      </c>
      <c r="C1427" s="46">
        <v>353.58699261750849</v>
      </c>
      <c r="D1427" s="1">
        <v>47</v>
      </c>
      <c r="E1427" s="1">
        <v>48</v>
      </c>
      <c r="F1427" s="1">
        <v>42</v>
      </c>
      <c r="G1427" s="1" t="s">
        <v>50</v>
      </c>
      <c r="H1427" s="1" t="s">
        <v>50</v>
      </c>
      <c r="I1427" s="1" t="s">
        <v>50</v>
      </c>
      <c r="J1427" s="1" t="s">
        <v>50</v>
      </c>
      <c r="K1427" s="1" t="s">
        <v>50</v>
      </c>
      <c r="L1427">
        <f t="shared" si="146"/>
        <v>341.491467583023</v>
      </c>
      <c r="M1427">
        <f t="shared" si="145"/>
        <v>211.64363379024599</v>
      </c>
      <c r="N1427">
        <f t="shared" si="147"/>
        <v>211.53340681752402</v>
      </c>
      <c r="O1427" t="e">
        <f t="shared" si="148"/>
        <v>#N/A</v>
      </c>
      <c r="P1427" t="e">
        <f t="shared" si="149"/>
        <v>#N/A</v>
      </c>
      <c r="Q1427" t="e">
        <f t="shared" si="150"/>
        <v>#N/A</v>
      </c>
      <c r="U1427">
        <f>C1427/Navio!$J$4</f>
        <v>19.092186722057022</v>
      </c>
    </row>
    <row r="1428" spans="1:21" x14ac:dyDescent="0.3">
      <c r="A1428">
        <v>1426</v>
      </c>
      <c r="B1428" s="47">
        <v>777.74963841888257</v>
      </c>
      <c r="C1428" s="46">
        <v>357.73659774033786</v>
      </c>
      <c r="D1428" s="1">
        <v>49</v>
      </c>
      <c r="E1428" s="1">
        <v>47</v>
      </c>
      <c r="F1428" s="1">
        <v>42</v>
      </c>
      <c r="G1428" s="1" t="s">
        <v>50</v>
      </c>
      <c r="H1428" s="1" t="s">
        <v>50</v>
      </c>
      <c r="I1428" s="1" t="s">
        <v>50</v>
      </c>
      <c r="J1428" s="1" t="s">
        <v>50</v>
      </c>
      <c r="K1428" s="1" t="s">
        <v>50</v>
      </c>
      <c r="L1428">
        <f t="shared" si="146"/>
        <v>224.72476401833561</v>
      </c>
      <c r="M1428">
        <f t="shared" si="145"/>
        <v>341.491467583023</v>
      </c>
      <c r="N1428">
        <f t="shared" si="147"/>
        <v>211.53340681752402</v>
      </c>
      <c r="O1428" t="e">
        <f t="shared" si="148"/>
        <v>#N/A</v>
      </c>
      <c r="P1428" t="e">
        <f t="shared" si="149"/>
        <v>#N/A</v>
      </c>
      <c r="Q1428" t="e">
        <f t="shared" si="150"/>
        <v>#N/A</v>
      </c>
      <c r="U1428">
        <f>C1428/Navio!$J$4</f>
        <v>19.316247667402834</v>
      </c>
    </row>
    <row r="1429" spans="1:21" x14ac:dyDescent="0.3">
      <c r="A1429">
        <v>1427</v>
      </c>
      <c r="B1429" s="47">
        <v>506.80604876594163</v>
      </c>
      <c r="C1429" s="46">
        <v>357.73559837444674</v>
      </c>
      <c r="D1429" s="1">
        <v>49</v>
      </c>
      <c r="E1429" s="1">
        <v>48</v>
      </c>
      <c r="F1429" s="1">
        <v>42</v>
      </c>
      <c r="G1429" s="1" t="s">
        <v>50</v>
      </c>
      <c r="H1429" s="1" t="s">
        <v>50</v>
      </c>
      <c r="I1429" s="1" t="s">
        <v>50</v>
      </c>
      <c r="J1429" s="1" t="s">
        <v>50</v>
      </c>
      <c r="K1429" s="1" t="s">
        <v>50</v>
      </c>
      <c r="L1429">
        <f t="shared" si="146"/>
        <v>224.72476401833561</v>
      </c>
      <c r="M1429">
        <f t="shared" si="145"/>
        <v>211.64363379024599</v>
      </c>
      <c r="N1429">
        <f t="shared" si="147"/>
        <v>211.53340681752402</v>
      </c>
      <c r="O1429" t="e">
        <f t="shared" si="148"/>
        <v>#N/A</v>
      </c>
      <c r="P1429" t="e">
        <f t="shared" si="149"/>
        <v>#N/A</v>
      </c>
      <c r="Q1429" t="e">
        <f t="shared" si="150"/>
        <v>#N/A</v>
      </c>
      <c r="U1429">
        <f>C1429/Navio!$J$4</f>
        <v>19.316193705915012</v>
      </c>
    </row>
    <row r="1430" spans="1:21" x14ac:dyDescent="0.3">
      <c r="A1430">
        <v>1428</v>
      </c>
      <c r="B1430" s="47">
        <v>666.07403998507243</v>
      </c>
      <c r="C1430" s="46">
        <v>336.44672311408317</v>
      </c>
      <c r="D1430" s="1">
        <v>45</v>
      </c>
      <c r="E1430" s="1">
        <v>44</v>
      </c>
      <c r="F1430" s="1">
        <v>43</v>
      </c>
      <c r="G1430" s="1" t="s">
        <v>50</v>
      </c>
      <c r="H1430" s="1" t="s">
        <v>50</v>
      </c>
      <c r="I1430" s="1" t="s">
        <v>50</v>
      </c>
      <c r="J1430" s="1" t="s">
        <v>50</v>
      </c>
      <c r="K1430" s="1" t="s">
        <v>50</v>
      </c>
      <c r="L1430">
        <f t="shared" si="146"/>
        <v>104.16132807466707</v>
      </c>
      <c r="M1430">
        <f t="shared" si="145"/>
        <v>197.82461126156434</v>
      </c>
      <c r="N1430">
        <f t="shared" si="147"/>
        <v>364.08810064884096</v>
      </c>
      <c r="O1430" t="e">
        <f t="shared" si="148"/>
        <v>#N/A</v>
      </c>
      <c r="P1430" t="e">
        <f t="shared" si="149"/>
        <v>#N/A</v>
      </c>
      <c r="Q1430" t="e">
        <f t="shared" si="150"/>
        <v>#N/A</v>
      </c>
      <c r="U1430">
        <f>C1430/Navio!$J$4</f>
        <v>18.166685409343938</v>
      </c>
    </row>
    <row r="1431" spans="1:21" x14ac:dyDescent="0.3">
      <c r="A1431">
        <v>1429</v>
      </c>
      <c r="B1431" s="47">
        <v>825.64313634703774</v>
      </c>
      <c r="C1431" s="46">
        <v>335.77736445866731</v>
      </c>
      <c r="D1431" s="1">
        <v>46</v>
      </c>
      <c r="E1431" s="1">
        <v>44</v>
      </c>
      <c r="F1431" s="1">
        <v>43</v>
      </c>
      <c r="G1431" s="1" t="s">
        <v>50</v>
      </c>
      <c r="H1431" s="1" t="s">
        <v>50</v>
      </c>
      <c r="I1431" s="1" t="s">
        <v>50</v>
      </c>
      <c r="J1431" s="1" t="s">
        <v>50</v>
      </c>
      <c r="K1431" s="1" t="s">
        <v>50</v>
      </c>
      <c r="L1431">
        <f t="shared" si="146"/>
        <v>527.46084887326492</v>
      </c>
      <c r="M1431">
        <f t="shared" si="145"/>
        <v>197.82461126156434</v>
      </c>
      <c r="N1431">
        <f t="shared" si="147"/>
        <v>364.08810064884096</v>
      </c>
      <c r="O1431" t="e">
        <f t="shared" si="148"/>
        <v>#N/A</v>
      </c>
      <c r="P1431" t="e">
        <f t="shared" si="149"/>
        <v>#N/A</v>
      </c>
      <c r="Q1431" t="e">
        <f t="shared" si="150"/>
        <v>#N/A</v>
      </c>
      <c r="U1431">
        <f>C1431/Navio!$J$4</f>
        <v>18.13054290212493</v>
      </c>
    </row>
    <row r="1432" spans="1:21" x14ac:dyDescent="0.3">
      <c r="A1432">
        <v>1430</v>
      </c>
      <c r="B1432" s="47">
        <v>632.46058984048727</v>
      </c>
      <c r="C1432" s="46">
        <v>354.91293221720332</v>
      </c>
      <c r="D1432" s="1">
        <v>48</v>
      </c>
      <c r="E1432" s="1">
        <v>44</v>
      </c>
      <c r="F1432" s="1">
        <v>43</v>
      </c>
      <c r="G1432" s="1" t="s">
        <v>50</v>
      </c>
      <c r="H1432" s="1" t="s">
        <v>50</v>
      </c>
      <c r="I1432" s="1" t="s">
        <v>50</v>
      </c>
      <c r="J1432" s="1" t="s">
        <v>50</v>
      </c>
      <c r="K1432" s="1" t="s">
        <v>50</v>
      </c>
      <c r="L1432">
        <f t="shared" si="146"/>
        <v>211.64363379024599</v>
      </c>
      <c r="M1432">
        <f t="shared" si="145"/>
        <v>197.82461126156434</v>
      </c>
      <c r="N1432">
        <f t="shared" si="147"/>
        <v>364.08810064884096</v>
      </c>
      <c r="O1432" t="e">
        <f t="shared" si="148"/>
        <v>#N/A</v>
      </c>
      <c r="P1432" t="e">
        <f t="shared" si="149"/>
        <v>#N/A</v>
      </c>
      <c r="Q1432" t="e">
        <f t="shared" si="150"/>
        <v>#N/A</v>
      </c>
      <c r="U1432">
        <f>C1432/Navio!$J$4</f>
        <v>19.163781794692873</v>
      </c>
    </row>
    <row r="1433" spans="1:21" x14ac:dyDescent="0.3">
      <c r="A1433">
        <v>1431</v>
      </c>
      <c r="B1433" s="47">
        <v>786.63747592874097</v>
      </c>
      <c r="C1433" s="46">
        <v>359.0250941226376</v>
      </c>
      <c r="D1433" s="1">
        <v>49</v>
      </c>
      <c r="E1433" s="1">
        <v>44</v>
      </c>
      <c r="F1433" s="1">
        <v>43</v>
      </c>
      <c r="G1433" s="1" t="s">
        <v>50</v>
      </c>
      <c r="H1433" s="1" t="s">
        <v>50</v>
      </c>
      <c r="I1433" s="1" t="s">
        <v>50</v>
      </c>
      <c r="J1433" s="1" t="s">
        <v>50</v>
      </c>
      <c r="K1433" s="1" t="s">
        <v>50</v>
      </c>
      <c r="L1433">
        <f t="shared" si="146"/>
        <v>224.72476401833561</v>
      </c>
      <c r="M1433">
        <f t="shared" si="145"/>
        <v>197.82461126156434</v>
      </c>
      <c r="N1433">
        <f t="shared" si="147"/>
        <v>364.08810064884096</v>
      </c>
      <c r="O1433" t="e">
        <f t="shared" si="148"/>
        <v>#N/A</v>
      </c>
      <c r="P1433" t="e">
        <f t="shared" si="149"/>
        <v>#N/A</v>
      </c>
      <c r="Q1433" t="e">
        <f t="shared" si="150"/>
        <v>#N/A</v>
      </c>
      <c r="U1433">
        <f>C1433/Navio!$J$4</f>
        <v>19.385820966294439</v>
      </c>
    </row>
    <row r="1434" spans="1:21" x14ac:dyDescent="0.3">
      <c r="A1434">
        <v>1432</v>
      </c>
      <c r="B1434" s="47">
        <v>731.97985316014046</v>
      </c>
      <c r="C1434" s="46">
        <v>336.72131722312815</v>
      </c>
      <c r="D1434" s="1">
        <v>45</v>
      </c>
      <c r="E1434" s="1">
        <v>46</v>
      </c>
      <c r="F1434" s="1">
        <v>43</v>
      </c>
      <c r="G1434" s="1" t="s">
        <v>50</v>
      </c>
      <c r="H1434" s="1" t="s">
        <v>50</v>
      </c>
      <c r="I1434" s="1" t="s">
        <v>50</v>
      </c>
      <c r="J1434" s="1" t="s">
        <v>50</v>
      </c>
      <c r="K1434" s="1" t="s">
        <v>50</v>
      </c>
      <c r="L1434">
        <f t="shared" si="146"/>
        <v>104.16132807466707</v>
      </c>
      <c r="M1434">
        <f t="shared" si="145"/>
        <v>527.46084887326492</v>
      </c>
      <c r="N1434">
        <f t="shared" si="147"/>
        <v>364.08810064884096</v>
      </c>
      <c r="O1434" t="e">
        <f t="shared" si="148"/>
        <v>#N/A</v>
      </c>
      <c r="P1434" t="e">
        <f t="shared" si="149"/>
        <v>#N/A</v>
      </c>
      <c r="Q1434" t="e">
        <f t="shared" si="150"/>
        <v>#N/A</v>
      </c>
      <c r="U1434">
        <f>C1434/Navio!$J$4</f>
        <v>18.181512317890132</v>
      </c>
    </row>
    <row r="1435" spans="1:21" x14ac:dyDescent="0.3">
      <c r="A1435">
        <v>1433</v>
      </c>
      <c r="B1435" s="47">
        <v>809.740896306531</v>
      </c>
      <c r="C1435" s="46">
        <v>352.79064354647608</v>
      </c>
      <c r="D1435" s="1">
        <v>45</v>
      </c>
      <c r="E1435" s="1">
        <v>47</v>
      </c>
      <c r="F1435" s="1">
        <v>43</v>
      </c>
      <c r="G1435" s="1" t="s">
        <v>50</v>
      </c>
      <c r="H1435" s="1" t="s">
        <v>50</v>
      </c>
      <c r="I1435" s="1" t="s">
        <v>50</v>
      </c>
      <c r="J1435" s="1" t="s">
        <v>50</v>
      </c>
      <c r="K1435" s="1" t="s">
        <v>50</v>
      </c>
      <c r="L1435">
        <f t="shared" si="146"/>
        <v>104.16132807466707</v>
      </c>
      <c r="M1435">
        <f t="shared" si="145"/>
        <v>341.491467583023</v>
      </c>
      <c r="N1435">
        <f t="shared" si="147"/>
        <v>364.08810064884096</v>
      </c>
      <c r="O1435" t="e">
        <f t="shared" si="148"/>
        <v>#N/A</v>
      </c>
      <c r="P1435" t="e">
        <f t="shared" si="149"/>
        <v>#N/A</v>
      </c>
      <c r="Q1435" t="e">
        <f t="shared" si="150"/>
        <v>#N/A</v>
      </c>
      <c r="U1435">
        <f>C1435/Navio!$J$4</f>
        <v>19.04918727502551</v>
      </c>
    </row>
    <row r="1436" spans="1:21" x14ac:dyDescent="0.3">
      <c r="A1436">
        <v>1434</v>
      </c>
      <c r="B1436" s="47">
        <v>538.79730665359</v>
      </c>
      <c r="C1436" s="46">
        <v>354.7942059230212</v>
      </c>
      <c r="D1436" s="1">
        <v>45</v>
      </c>
      <c r="E1436" s="1">
        <v>48</v>
      </c>
      <c r="F1436" s="1">
        <v>43</v>
      </c>
      <c r="G1436" s="1" t="s">
        <v>50</v>
      </c>
      <c r="H1436" s="1" t="s">
        <v>50</v>
      </c>
      <c r="I1436" s="1" t="s">
        <v>50</v>
      </c>
      <c r="J1436" s="1" t="s">
        <v>50</v>
      </c>
      <c r="K1436" s="1" t="s">
        <v>50</v>
      </c>
      <c r="L1436">
        <f t="shared" si="146"/>
        <v>104.16132807466707</v>
      </c>
      <c r="M1436">
        <f t="shared" si="145"/>
        <v>211.64363379024599</v>
      </c>
      <c r="N1436">
        <f t="shared" si="147"/>
        <v>364.08810064884096</v>
      </c>
      <c r="O1436" t="e">
        <f t="shared" si="148"/>
        <v>#N/A</v>
      </c>
      <c r="P1436" t="e">
        <f t="shared" si="149"/>
        <v>#N/A</v>
      </c>
      <c r="Q1436" t="e">
        <f t="shared" si="150"/>
        <v>#N/A</v>
      </c>
      <c r="U1436">
        <f>C1436/Navio!$J$4</f>
        <v>19.157371082125188</v>
      </c>
    </row>
    <row r="1437" spans="1:21" x14ac:dyDescent="0.3">
      <c r="A1437">
        <v>1435</v>
      </c>
      <c r="B1437" s="47">
        <v>692.97419274184358</v>
      </c>
      <c r="C1437" s="46">
        <v>358.84847901389367</v>
      </c>
      <c r="D1437" s="1">
        <v>45</v>
      </c>
      <c r="E1437" s="1">
        <v>49</v>
      </c>
      <c r="F1437" s="1">
        <v>43</v>
      </c>
      <c r="G1437" s="1" t="s">
        <v>50</v>
      </c>
      <c r="H1437" s="1" t="s">
        <v>50</v>
      </c>
      <c r="I1437" s="1" t="s">
        <v>50</v>
      </c>
      <c r="J1437" s="1" t="s">
        <v>50</v>
      </c>
      <c r="K1437" s="1" t="s">
        <v>50</v>
      </c>
      <c r="L1437">
        <f t="shared" si="146"/>
        <v>104.16132807466707</v>
      </c>
      <c r="M1437">
        <f t="shared" si="145"/>
        <v>224.72476401833561</v>
      </c>
      <c r="N1437">
        <f t="shared" si="147"/>
        <v>364.08810064884096</v>
      </c>
      <c r="O1437" t="e">
        <f t="shared" si="148"/>
        <v>#N/A</v>
      </c>
      <c r="P1437" t="e">
        <f t="shared" si="149"/>
        <v>#N/A</v>
      </c>
      <c r="Q1437" t="e">
        <f t="shared" si="150"/>
        <v>#N/A</v>
      </c>
      <c r="U1437">
        <f>C1437/Navio!$J$4</f>
        <v>19.376284505099662</v>
      </c>
    </row>
    <row r="1438" spans="1:21" x14ac:dyDescent="0.3">
      <c r="A1438">
        <v>1436</v>
      </c>
      <c r="B1438" s="47">
        <v>698.36640301555542</v>
      </c>
      <c r="C1438" s="46">
        <v>354.71974384868497</v>
      </c>
      <c r="D1438" s="1">
        <v>46</v>
      </c>
      <c r="E1438" s="1">
        <v>48</v>
      </c>
      <c r="F1438" s="1">
        <v>43</v>
      </c>
      <c r="G1438" s="1" t="s">
        <v>50</v>
      </c>
      <c r="H1438" s="1" t="s">
        <v>50</v>
      </c>
      <c r="I1438" s="1" t="s">
        <v>50</v>
      </c>
      <c r="J1438" s="1" t="s">
        <v>50</v>
      </c>
      <c r="K1438" s="1" t="s">
        <v>50</v>
      </c>
      <c r="L1438">
        <f t="shared" si="146"/>
        <v>527.46084887326492</v>
      </c>
      <c r="M1438">
        <f t="shared" si="145"/>
        <v>211.64363379024599</v>
      </c>
      <c r="N1438">
        <f t="shared" si="147"/>
        <v>364.08810064884096</v>
      </c>
      <c r="O1438" t="e">
        <f t="shared" si="148"/>
        <v>#N/A</v>
      </c>
      <c r="P1438" t="e">
        <f t="shared" si="149"/>
        <v>#N/A</v>
      </c>
      <c r="Q1438" t="e">
        <f t="shared" si="150"/>
        <v>#N/A</v>
      </c>
      <c r="U1438">
        <f>C1438/Navio!$J$4</f>
        <v>19.153350448287913</v>
      </c>
    </row>
    <row r="1439" spans="1:21" x14ac:dyDescent="0.3">
      <c r="A1439">
        <v>1437</v>
      </c>
      <c r="B1439" s="47">
        <v>852.543289103809</v>
      </c>
      <c r="C1439" s="46">
        <v>358.80032464568421</v>
      </c>
      <c r="D1439" s="1">
        <v>46</v>
      </c>
      <c r="E1439" s="1">
        <v>49</v>
      </c>
      <c r="F1439" s="1">
        <v>43</v>
      </c>
      <c r="G1439" s="1" t="s">
        <v>50</v>
      </c>
      <c r="H1439" s="1" t="s">
        <v>50</v>
      </c>
      <c r="I1439" s="1" t="s">
        <v>50</v>
      </c>
      <c r="J1439" s="1" t="s">
        <v>50</v>
      </c>
      <c r="K1439" s="1" t="s">
        <v>50</v>
      </c>
      <c r="L1439">
        <f t="shared" si="146"/>
        <v>527.46084887326492</v>
      </c>
      <c r="M1439">
        <f t="shared" si="145"/>
        <v>224.72476401833561</v>
      </c>
      <c r="N1439">
        <f t="shared" si="147"/>
        <v>364.08810064884096</v>
      </c>
      <c r="O1439" t="e">
        <f t="shared" si="148"/>
        <v>#N/A</v>
      </c>
      <c r="P1439" t="e">
        <f t="shared" si="149"/>
        <v>#N/A</v>
      </c>
      <c r="Q1439" t="e">
        <f t="shared" si="150"/>
        <v>#N/A</v>
      </c>
      <c r="U1439">
        <f>C1439/Navio!$J$4</f>
        <v>19.373684374980247</v>
      </c>
    </row>
    <row r="1440" spans="1:21" x14ac:dyDescent="0.3">
      <c r="A1440">
        <v>1438</v>
      </c>
      <c r="B1440" s="47">
        <v>776.12744616194595</v>
      </c>
      <c r="C1440" s="46">
        <v>354.71894795689622</v>
      </c>
      <c r="D1440" s="1">
        <v>47</v>
      </c>
      <c r="E1440" s="1">
        <v>48</v>
      </c>
      <c r="F1440" s="1">
        <v>43</v>
      </c>
      <c r="G1440" s="1" t="s">
        <v>50</v>
      </c>
      <c r="H1440" s="1" t="s">
        <v>50</v>
      </c>
      <c r="I1440" s="1" t="s">
        <v>50</v>
      </c>
      <c r="J1440" s="1" t="s">
        <v>50</v>
      </c>
      <c r="K1440" s="1" t="s">
        <v>50</v>
      </c>
      <c r="L1440">
        <f t="shared" si="146"/>
        <v>341.491467583023</v>
      </c>
      <c r="M1440">
        <f t="shared" si="145"/>
        <v>211.64363379024599</v>
      </c>
      <c r="N1440">
        <f t="shared" si="147"/>
        <v>364.08810064884096</v>
      </c>
      <c r="O1440" t="e">
        <f t="shared" si="148"/>
        <v>#N/A</v>
      </c>
      <c r="P1440" t="e">
        <f t="shared" si="149"/>
        <v>#N/A</v>
      </c>
      <c r="Q1440" t="e">
        <f t="shared" si="150"/>
        <v>#N/A</v>
      </c>
      <c r="U1440">
        <f>C1440/Navio!$J$4</f>
        <v>19.15330747353217</v>
      </c>
    </row>
    <row r="1441" spans="1:21" x14ac:dyDescent="0.3">
      <c r="A1441">
        <v>1439</v>
      </c>
      <c r="B1441" s="47">
        <v>659.36074259725854</v>
      </c>
      <c r="C1441" s="46">
        <v>358.80763299568912</v>
      </c>
      <c r="D1441" s="1">
        <v>48</v>
      </c>
      <c r="E1441" s="1">
        <v>49</v>
      </c>
      <c r="F1441" s="1">
        <v>43</v>
      </c>
      <c r="G1441" s="1" t="s">
        <v>50</v>
      </c>
      <c r="H1441" s="1" t="s">
        <v>50</v>
      </c>
      <c r="I1441" s="1" t="s">
        <v>50</v>
      </c>
      <c r="J1441" s="1" t="s">
        <v>50</v>
      </c>
      <c r="K1441" s="1" t="s">
        <v>50</v>
      </c>
      <c r="L1441">
        <f t="shared" si="146"/>
        <v>211.64363379024599</v>
      </c>
      <c r="M1441">
        <f t="shared" si="145"/>
        <v>224.72476401833561</v>
      </c>
      <c r="N1441">
        <f t="shared" si="147"/>
        <v>364.08810064884096</v>
      </c>
      <c r="O1441" t="e">
        <f t="shared" si="148"/>
        <v>#N/A</v>
      </c>
      <c r="P1441" t="e">
        <f t="shared" si="149"/>
        <v>#N/A</v>
      </c>
      <c r="Q1441" t="e">
        <f t="shared" si="150"/>
        <v>#N/A</v>
      </c>
      <c r="U1441">
        <f>C1441/Navio!$J$4</f>
        <v>19.374078994651892</v>
      </c>
    </row>
    <row r="1442" spans="1:21" x14ac:dyDescent="0.3">
      <c r="A1442">
        <v>1440</v>
      </c>
      <c r="B1442" s="47">
        <v>565.71636377286382</v>
      </c>
      <c r="C1442" s="46">
        <v>335.98208097717406</v>
      </c>
      <c r="D1442" s="1">
        <v>45</v>
      </c>
      <c r="E1442" s="1">
        <v>46</v>
      </c>
      <c r="F1442" s="1">
        <v>44</v>
      </c>
      <c r="G1442" s="1" t="s">
        <v>50</v>
      </c>
      <c r="H1442" s="1" t="s">
        <v>50</v>
      </c>
      <c r="I1442" s="1" t="s">
        <v>50</v>
      </c>
      <c r="J1442" s="1" t="s">
        <v>50</v>
      </c>
      <c r="K1442" s="1" t="s">
        <v>50</v>
      </c>
      <c r="L1442">
        <f t="shared" si="146"/>
        <v>104.16132807466707</v>
      </c>
      <c r="M1442">
        <f t="shared" si="145"/>
        <v>527.46084887326492</v>
      </c>
      <c r="N1442">
        <f t="shared" si="147"/>
        <v>197.82461126156434</v>
      </c>
      <c r="O1442" t="e">
        <f t="shared" si="148"/>
        <v>#N/A</v>
      </c>
      <c r="P1442" t="e">
        <f t="shared" si="149"/>
        <v>#N/A</v>
      </c>
      <c r="Q1442" t="e">
        <f t="shared" si="150"/>
        <v>#N/A</v>
      </c>
      <c r="U1442">
        <f>C1442/Navio!$J$4</f>
        <v>18.141596719369414</v>
      </c>
    </row>
    <row r="1443" spans="1:21" x14ac:dyDescent="0.3">
      <c r="A1443">
        <v>1441</v>
      </c>
      <c r="B1443" s="47">
        <v>643.47740691925446</v>
      </c>
      <c r="C1443" s="46">
        <v>352.20523062139944</v>
      </c>
      <c r="D1443" s="1">
        <v>45</v>
      </c>
      <c r="E1443" s="1">
        <v>47</v>
      </c>
      <c r="F1443" s="1">
        <v>44</v>
      </c>
      <c r="G1443" s="1" t="s">
        <v>50</v>
      </c>
      <c r="H1443" s="1" t="s">
        <v>50</v>
      </c>
      <c r="I1443" s="1" t="s">
        <v>50</v>
      </c>
      <c r="J1443" s="1" t="s">
        <v>50</v>
      </c>
      <c r="K1443" s="1" t="s">
        <v>50</v>
      </c>
      <c r="L1443">
        <f t="shared" si="146"/>
        <v>104.16132807466707</v>
      </c>
      <c r="M1443">
        <f t="shared" si="145"/>
        <v>341.491467583023</v>
      </c>
      <c r="N1443">
        <f t="shared" si="147"/>
        <v>197.82461126156434</v>
      </c>
      <c r="O1443" t="e">
        <f t="shared" si="148"/>
        <v>#N/A</v>
      </c>
      <c r="P1443" t="e">
        <f t="shared" si="149"/>
        <v>#N/A</v>
      </c>
      <c r="Q1443" t="e">
        <f t="shared" si="150"/>
        <v>#N/A</v>
      </c>
      <c r="U1443">
        <f>C1443/Navio!$J$4</f>
        <v>19.017577478544226</v>
      </c>
    </row>
    <row r="1444" spans="1:21" x14ac:dyDescent="0.3">
      <c r="A1444">
        <v>1442</v>
      </c>
      <c r="B1444" s="47">
        <v>372.53381726631341</v>
      </c>
      <c r="C1444" s="46">
        <v>354.22858226751202</v>
      </c>
      <c r="D1444" s="1">
        <v>45</v>
      </c>
      <c r="E1444" s="1">
        <v>48</v>
      </c>
      <c r="F1444" s="1">
        <v>44</v>
      </c>
      <c r="G1444" s="1" t="s">
        <v>50</v>
      </c>
      <c r="H1444" s="1" t="s">
        <v>50</v>
      </c>
      <c r="I1444" s="1" t="s">
        <v>50</v>
      </c>
      <c r="J1444" s="1" t="s">
        <v>50</v>
      </c>
      <c r="K1444" s="1" t="s">
        <v>50</v>
      </c>
      <c r="L1444">
        <f t="shared" si="146"/>
        <v>104.16132807466707</v>
      </c>
      <c r="M1444">
        <f t="shared" si="145"/>
        <v>211.64363379024599</v>
      </c>
      <c r="N1444">
        <f t="shared" si="147"/>
        <v>197.82461126156434</v>
      </c>
      <c r="O1444" t="e">
        <f t="shared" si="148"/>
        <v>#N/A</v>
      </c>
      <c r="P1444" t="e">
        <f t="shared" si="149"/>
        <v>#N/A</v>
      </c>
      <c r="Q1444" t="e">
        <f t="shared" si="150"/>
        <v>#N/A</v>
      </c>
      <c r="U1444">
        <f>C1444/Navio!$J$4</f>
        <v>19.126829821640882</v>
      </c>
    </row>
    <row r="1445" spans="1:21" x14ac:dyDescent="0.3">
      <c r="A1445">
        <v>1443</v>
      </c>
      <c r="B1445" s="47">
        <v>526.71070335456704</v>
      </c>
      <c r="C1445" s="46">
        <v>358.31277769710584</v>
      </c>
      <c r="D1445" s="1">
        <v>45</v>
      </c>
      <c r="E1445" s="1">
        <v>49</v>
      </c>
      <c r="F1445" s="1">
        <v>44</v>
      </c>
      <c r="G1445" s="1" t="s">
        <v>50</v>
      </c>
      <c r="H1445" s="1" t="s">
        <v>50</v>
      </c>
      <c r="I1445" s="1" t="s">
        <v>50</v>
      </c>
      <c r="J1445" s="1" t="s">
        <v>50</v>
      </c>
      <c r="K1445" s="1" t="s">
        <v>50</v>
      </c>
      <c r="L1445">
        <f t="shared" si="146"/>
        <v>104.16132807466707</v>
      </c>
      <c r="M1445">
        <f t="shared" si="145"/>
        <v>224.72476401833561</v>
      </c>
      <c r="N1445">
        <f t="shared" si="147"/>
        <v>197.82461126156434</v>
      </c>
      <c r="O1445" t="e">
        <f t="shared" si="148"/>
        <v>#N/A</v>
      </c>
      <c r="P1445" t="e">
        <f t="shared" si="149"/>
        <v>#N/A</v>
      </c>
      <c r="Q1445" t="e">
        <f t="shared" si="150"/>
        <v>#N/A</v>
      </c>
      <c r="U1445">
        <f>C1445/Navio!$J$4</f>
        <v>19.347358923047981</v>
      </c>
    </row>
    <row r="1446" spans="1:21" x14ac:dyDescent="0.3">
      <c r="A1446">
        <v>1444</v>
      </c>
      <c r="B1446" s="47">
        <v>803.04650328121977</v>
      </c>
      <c r="C1446" s="46">
        <v>352.11830828581304</v>
      </c>
      <c r="D1446" s="1">
        <v>46</v>
      </c>
      <c r="E1446" s="1">
        <v>47</v>
      </c>
      <c r="F1446" s="1">
        <v>44</v>
      </c>
      <c r="G1446" s="1" t="s">
        <v>50</v>
      </c>
      <c r="H1446" s="1" t="s">
        <v>50</v>
      </c>
      <c r="I1446" s="1" t="s">
        <v>50</v>
      </c>
      <c r="J1446" s="1" t="s">
        <v>50</v>
      </c>
      <c r="K1446" s="1" t="s">
        <v>50</v>
      </c>
      <c r="L1446">
        <f t="shared" si="146"/>
        <v>527.46084887326492</v>
      </c>
      <c r="M1446">
        <f t="shared" si="145"/>
        <v>341.491467583023</v>
      </c>
      <c r="N1446">
        <f t="shared" si="147"/>
        <v>197.82461126156434</v>
      </c>
      <c r="O1446" t="e">
        <f t="shared" si="148"/>
        <v>#N/A</v>
      </c>
      <c r="P1446" t="e">
        <f t="shared" si="149"/>
        <v>#N/A</v>
      </c>
      <c r="Q1446" t="e">
        <f t="shared" si="150"/>
        <v>#N/A</v>
      </c>
      <c r="U1446">
        <f>C1446/Navio!$J$4</f>
        <v>19.01288404384221</v>
      </c>
    </row>
    <row r="1447" spans="1:21" x14ac:dyDescent="0.3">
      <c r="A1447">
        <v>1445</v>
      </c>
      <c r="B1447" s="47">
        <v>532.10291362827877</v>
      </c>
      <c r="C1447" s="46">
        <v>354.1541201931758</v>
      </c>
      <c r="D1447" s="1">
        <v>46</v>
      </c>
      <c r="E1447" s="1">
        <v>48</v>
      </c>
      <c r="F1447" s="1">
        <v>44</v>
      </c>
      <c r="G1447" s="1" t="s">
        <v>50</v>
      </c>
      <c r="H1447" s="1" t="s">
        <v>50</v>
      </c>
      <c r="I1447" s="1" t="s">
        <v>50</v>
      </c>
      <c r="J1447" s="1" t="s">
        <v>50</v>
      </c>
      <c r="K1447" s="1" t="s">
        <v>50</v>
      </c>
      <c r="L1447">
        <f t="shared" si="146"/>
        <v>527.46084887326492</v>
      </c>
      <c r="M1447">
        <f t="shared" si="145"/>
        <v>211.64363379024599</v>
      </c>
      <c r="N1447">
        <f t="shared" si="147"/>
        <v>197.82461126156434</v>
      </c>
      <c r="O1447" t="e">
        <f t="shared" si="148"/>
        <v>#N/A</v>
      </c>
      <c r="P1447" t="e">
        <f t="shared" si="149"/>
        <v>#N/A</v>
      </c>
      <c r="Q1447" t="e">
        <f t="shared" si="150"/>
        <v>#N/A</v>
      </c>
      <c r="U1447">
        <f>C1447/Navio!$J$4</f>
        <v>19.122809187803608</v>
      </c>
    </row>
    <row r="1448" spans="1:21" x14ac:dyDescent="0.3">
      <c r="A1448">
        <v>1446</v>
      </c>
      <c r="B1448" s="47">
        <v>686.27979971653235</v>
      </c>
      <c r="C1448" s="46">
        <v>358.26462332889633</v>
      </c>
      <c r="D1448" s="1">
        <v>46</v>
      </c>
      <c r="E1448" s="1">
        <v>49</v>
      </c>
      <c r="F1448" s="1">
        <v>44</v>
      </c>
      <c r="G1448" s="1" t="s">
        <v>50</v>
      </c>
      <c r="H1448" s="1" t="s">
        <v>50</v>
      </c>
      <c r="I1448" s="1" t="s">
        <v>50</v>
      </c>
      <c r="J1448" s="1" t="s">
        <v>50</v>
      </c>
      <c r="K1448" s="1" t="s">
        <v>50</v>
      </c>
      <c r="L1448">
        <f t="shared" si="146"/>
        <v>527.46084887326492</v>
      </c>
      <c r="M1448">
        <f t="shared" si="145"/>
        <v>224.72476401833561</v>
      </c>
      <c r="N1448">
        <f t="shared" si="147"/>
        <v>197.82461126156434</v>
      </c>
      <c r="O1448" t="e">
        <f t="shared" si="148"/>
        <v>#N/A</v>
      </c>
      <c r="P1448" t="e">
        <f t="shared" si="149"/>
        <v>#N/A</v>
      </c>
      <c r="Q1448" t="e">
        <f t="shared" si="150"/>
        <v>#N/A</v>
      </c>
      <c r="U1448">
        <f>C1448/Navio!$J$4</f>
        <v>19.344758792928562</v>
      </c>
    </row>
    <row r="1449" spans="1:21" x14ac:dyDescent="0.3">
      <c r="A1449">
        <v>1447</v>
      </c>
      <c r="B1449" s="47">
        <v>609.8639567746693</v>
      </c>
      <c r="C1449" s="46">
        <v>354.15332430138699</v>
      </c>
      <c r="D1449" s="1">
        <v>47</v>
      </c>
      <c r="E1449" s="1">
        <v>48</v>
      </c>
      <c r="F1449" s="1">
        <v>44</v>
      </c>
      <c r="G1449" s="1" t="s">
        <v>50</v>
      </c>
      <c r="H1449" s="1" t="s">
        <v>50</v>
      </c>
      <c r="I1449" s="1" t="s">
        <v>50</v>
      </c>
      <c r="J1449" s="1" t="s">
        <v>50</v>
      </c>
      <c r="K1449" s="1" t="s">
        <v>50</v>
      </c>
      <c r="L1449">
        <f t="shared" si="146"/>
        <v>341.491467583023</v>
      </c>
      <c r="M1449">
        <f t="shared" si="145"/>
        <v>211.64363379024599</v>
      </c>
      <c r="N1449">
        <f t="shared" si="147"/>
        <v>197.82461126156434</v>
      </c>
      <c r="O1449" t="e">
        <f t="shared" si="148"/>
        <v>#N/A</v>
      </c>
      <c r="P1449" t="e">
        <f t="shared" si="149"/>
        <v>#N/A</v>
      </c>
      <c r="Q1449" t="e">
        <f t="shared" si="150"/>
        <v>#N/A</v>
      </c>
      <c r="U1449">
        <f>C1449/Navio!$J$4</f>
        <v>19.122766213047861</v>
      </c>
    </row>
    <row r="1450" spans="1:21" x14ac:dyDescent="0.3">
      <c r="A1450">
        <v>1448</v>
      </c>
      <c r="B1450" s="47">
        <v>764.040842862923</v>
      </c>
      <c r="C1450" s="46">
        <v>358.27215276576698</v>
      </c>
      <c r="D1450" s="1">
        <v>47</v>
      </c>
      <c r="E1450" s="1">
        <v>49</v>
      </c>
      <c r="F1450" s="1">
        <v>44</v>
      </c>
      <c r="G1450" s="1" t="s">
        <v>50</v>
      </c>
      <c r="H1450" s="1" t="s">
        <v>50</v>
      </c>
      <c r="I1450" s="1" t="s">
        <v>50</v>
      </c>
      <c r="J1450" s="1" t="s">
        <v>50</v>
      </c>
      <c r="K1450" s="1" t="s">
        <v>50</v>
      </c>
      <c r="L1450">
        <f t="shared" si="146"/>
        <v>341.491467583023</v>
      </c>
      <c r="M1450">
        <f t="shared" si="145"/>
        <v>224.72476401833561</v>
      </c>
      <c r="N1450">
        <f t="shared" si="147"/>
        <v>197.82461126156434</v>
      </c>
      <c r="O1450" t="e">
        <f t="shared" si="148"/>
        <v>#N/A</v>
      </c>
      <c r="P1450" t="e">
        <f t="shared" si="149"/>
        <v>#N/A</v>
      </c>
      <c r="Q1450" t="e">
        <f t="shared" si="150"/>
        <v>#N/A</v>
      </c>
      <c r="U1450">
        <f>C1450/Navio!$J$4</f>
        <v>19.34516535034625</v>
      </c>
    </row>
    <row r="1451" spans="1:21" x14ac:dyDescent="0.3">
      <c r="A1451">
        <v>1449</v>
      </c>
      <c r="B1451" s="47">
        <v>493.09725320998194</v>
      </c>
      <c r="C1451" s="46">
        <v>358.2719316789013</v>
      </c>
      <c r="D1451" s="1">
        <v>48</v>
      </c>
      <c r="E1451" s="1">
        <v>49</v>
      </c>
      <c r="F1451" s="1">
        <v>44</v>
      </c>
      <c r="G1451" s="1" t="s">
        <v>50</v>
      </c>
      <c r="H1451" s="1" t="s">
        <v>50</v>
      </c>
      <c r="I1451" s="1" t="s">
        <v>50</v>
      </c>
      <c r="J1451" s="1" t="s">
        <v>50</v>
      </c>
      <c r="K1451" s="1" t="s">
        <v>50</v>
      </c>
      <c r="L1451">
        <f t="shared" si="146"/>
        <v>211.64363379024599</v>
      </c>
      <c r="M1451">
        <f t="shared" si="145"/>
        <v>224.72476401833561</v>
      </c>
      <c r="N1451">
        <f t="shared" si="147"/>
        <v>197.82461126156434</v>
      </c>
      <c r="O1451" t="e">
        <f t="shared" si="148"/>
        <v>#N/A</v>
      </c>
      <c r="P1451" t="e">
        <f t="shared" si="149"/>
        <v>#N/A</v>
      </c>
      <c r="Q1451" t="e">
        <f t="shared" si="150"/>
        <v>#N/A</v>
      </c>
      <c r="U1451">
        <f>C1451/Navio!$J$4</f>
        <v>19.345153412600208</v>
      </c>
    </row>
    <row r="1452" spans="1:21" x14ac:dyDescent="0.3">
      <c r="A1452">
        <v>1450</v>
      </c>
      <c r="B1452" s="47">
        <v>709.3832200943225</v>
      </c>
      <c r="C1452" s="46">
        <v>351.50774895806717</v>
      </c>
      <c r="D1452" s="1">
        <v>46</v>
      </c>
      <c r="E1452" s="1">
        <v>47</v>
      </c>
      <c r="F1452" s="1">
        <v>45</v>
      </c>
      <c r="G1452" s="1" t="s">
        <v>50</v>
      </c>
      <c r="H1452" s="1" t="s">
        <v>50</v>
      </c>
      <c r="I1452" s="1" t="s">
        <v>50</v>
      </c>
      <c r="J1452" s="1" t="s">
        <v>50</v>
      </c>
      <c r="K1452" s="1" t="s">
        <v>50</v>
      </c>
      <c r="L1452">
        <f t="shared" si="146"/>
        <v>527.46084887326492</v>
      </c>
      <c r="M1452">
        <f t="shared" si="145"/>
        <v>341.491467583023</v>
      </c>
      <c r="N1452">
        <f t="shared" si="147"/>
        <v>104.16132807466707</v>
      </c>
      <c r="O1452" t="e">
        <f t="shared" si="148"/>
        <v>#N/A</v>
      </c>
      <c r="P1452" t="e">
        <f t="shared" si="149"/>
        <v>#N/A</v>
      </c>
      <c r="Q1452" t="e">
        <f t="shared" si="150"/>
        <v>#N/A</v>
      </c>
      <c r="U1452">
        <f>C1452/Navio!$J$4</f>
        <v>18.979916449067513</v>
      </c>
    </row>
    <row r="1453" spans="1:21" x14ac:dyDescent="0.3">
      <c r="A1453">
        <v>1451</v>
      </c>
      <c r="B1453" s="47">
        <v>438.4396304413815</v>
      </c>
      <c r="C1453" s="46">
        <v>353.56256055714715</v>
      </c>
      <c r="D1453" s="1">
        <v>46</v>
      </c>
      <c r="E1453" s="1">
        <v>48</v>
      </c>
      <c r="F1453" s="1">
        <v>45</v>
      </c>
      <c r="G1453" s="1" t="s">
        <v>50</v>
      </c>
      <c r="H1453" s="1" t="s">
        <v>50</v>
      </c>
      <c r="I1453" s="1" t="s">
        <v>50</v>
      </c>
      <c r="J1453" s="1" t="s">
        <v>50</v>
      </c>
      <c r="K1453" s="1" t="s">
        <v>50</v>
      </c>
      <c r="L1453">
        <f t="shared" si="146"/>
        <v>527.46084887326492</v>
      </c>
      <c r="M1453">
        <f t="shared" si="145"/>
        <v>211.64363379024599</v>
      </c>
      <c r="N1453">
        <f t="shared" si="147"/>
        <v>104.16132807466707</v>
      </c>
      <c r="O1453" t="e">
        <f t="shared" si="148"/>
        <v>#N/A</v>
      </c>
      <c r="P1453" t="e">
        <f t="shared" si="149"/>
        <v>#N/A</v>
      </c>
      <c r="Q1453" t="e">
        <f t="shared" si="150"/>
        <v>#N/A</v>
      </c>
      <c r="U1453">
        <f>C1453/Navio!$J$4</f>
        <v>19.090867495195845</v>
      </c>
    </row>
    <row r="1454" spans="1:21" x14ac:dyDescent="0.3">
      <c r="A1454">
        <v>1452</v>
      </c>
      <c r="B1454" s="47">
        <v>592.61651652963519</v>
      </c>
      <c r="C1454" s="46">
        <v>357.67509559645111</v>
      </c>
      <c r="D1454" s="1">
        <v>46</v>
      </c>
      <c r="E1454" s="1">
        <v>49</v>
      </c>
      <c r="F1454" s="1">
        <v>45</v>
      </c>
      <c r="G1454" s="1" t="s">
        <v>50</v>
      </c>
      <c r="H1454" s="1" t="s">
        <v>50</v>
      </c>
      <c r="I1454" s="1" t="s">
        <v>50</v>
      </c>
      <c r="J1454" s="1" t="s">
        <v>50</v>
      </c>
      <c r="K1454" s="1" t="s">
        <v>50</v>
      </c>
      <c r="L1454">
        <f t="shared" si="146"/>
        <v>527.46084887326492</v>
      </c>
      <c r="M1454">
        <f t="shared" si="145"/>
        <v>224.72476401833561</v>
      </c>
      <c r="N1454">
        <f t="shared" si="147"/>
        <v>104.16132807466707</v>
      </c>
      <c r="O1454" t="e">
        <f t="shared" si="148"/>
        <v>#N/A</v>
      </c>
      <c r="P1454" t="e">
        <f t="shared" si="149"/>
        <v>#N/A</v>
      </c>
      <c r="Q1454" t="e">
        <f t="shared" si="150"/>
        <v>#N/A</v>
      </c>
      <c r="U1454">
        <f>C1454/Navio!$J$4</f>
        <v>19.312926814431972</v>
      </c>
    </row>
    <row r="1455" spans="1:21" x14ac:dyDescent="0.3">
      <c r="A1455">
        <v>1453</v>
      </c>
      <c r="B1455" s="47">
        <v>516.20067358777203</v>
      </c>
      <c r="C1455" s="46">
        <v>353.5617646653584</v>
      </c>
      <c r="D1455" s="1">
        <v>47</v>
      </c>
      <c r="E1455" s="1">
        <v>48</v>
      </c>
      <c r="F1455" s="1">
        <v>45</v>
      </c>
      <c r="G1455" s="1" t="s">
        <v>50</v>
      </c>
      <c r="H1455" s="1" t="s">
        <v>50</v>
      </c>
      <c r="I1455" s="1" t="s">
        <v>50</v>
      </c>
      <c r="J1455" s="1" t="s">
        <v>50</v>
      </c>
      <c r="K1455" s="1" t="s">
        <v>50</v>
      </c>
      <c r="L1455">
        <f t="shared" si="146"/>
        <v>341.491467583023</v>
      </c>
      <c r="M1455">
        <f t="shared" si="145"/>
        <v>211.64363379024599</v>
      </c>
      <c r="N1455">
        <f t="shared" si="147"/>
        <v>104.16132807466707</v>
      </c>
      <c r="O1455" t="e">
        <f t="shared" si="148"/>
        <v>#N/A</v>
      </c>
      <c r="P1455" t="e">
        <f t="shared" si="149"/>
        <v>#N/A</v>
      </c>
      <c r="Q1455" t="e">
        <f t="shared" si="150"/>
        <v>#N/A</v>
      </c>
      <c r="U1455">
        <f>C1455/Navio!$J$4</f>
        <v>19.090824520440101</v>
      </c>
    </row>
    <row r="1456" spans="1:21" x14ac:dyDescent="0.3">
      <c r="A1456">
        <v>1454</v>
      </c>
      <c r="B1456" s="47">
        <v>670.37755967602561</v>
      </c>
      <c r="C1456" s="46">
        <v>357.68262503332176</v>
      </c>
      <c r="D1456" s="1">
        <v>47</v>
      </c>
      <c r="E1456" s="1">
        <v>49</v>
      </c>
      <c r="F1456" s="1">
        <v>45</v>
      </c>
      <c r="G1456" s="1" t="s">
        <v>50</v>
      </c>
      <c r="H1456" s="1" t="s">
        <v>50</v>
      </c>
      <c r="I1456" s="1" t="s">
        <v>50</v>
      </c>
      <c r="J1456" s="1" t="s">
        <v>50</v>
      </c>
      <c r="K1456" s="1" t="s">
        <v>50</v>
      </c>
      <c r="L1456">
        <f t="shared" si="146"/>
        <v>341.491467583023</v>
      </c>
      <c r="M1456">
        <f t="shared" si="145"/>
        <v>224.72476401833561</v>
      </c>
      <c r="N1456">
        <f t="shared" si="147"/>
        <v>104.16132807466707</v>
      </c>
      <c r="O1456" t="e">
        <f t="shared" si="148"/>
        <v>#N/A</v>
      </c>
      <c r="P1456" t="e">
        <f t="shared" si="149"/>
        <v>#N/A</v>
      </c>
      <c r="Q1456" t="e">
        <f t="shared" si="150"/>
        <v>#N/A</v>
      </c>
      <c r="U1456">
        <f>C1456/Navio!$J$4</f>
        <v>19.313333371849659</v>
      </c>
    </row>
    <row r="1457" spans="1:21" x14ac:dyDescent="0.3">
      <c r="A1457">
        <v>1455</v>
      </c>
      <c r="B1457" s="47">
        <v>399.43397002308467</v>
      </c>
      <c r="C1457" s="46">
        <v>357.68240394645613</v>
      </c>
      <c r="D1457" s="1">
        <v>48</v>
      </c>
      <c r="E1457" s="1">
        <v>49</v>
      </c>
      <c r="F1457" s="1">
        <v>45</v>
      </c>
      <c r="G1457" s="1" t="s">
        <v>50</v>
      </c>
      <c r="H1457" s="1" t="s">
        <v>50</v>
      </c>
      <c r="I1457" s="1" t="s">
        <v>50</v>
      </c>
      <c r="J1457" s="1" t="s">
        <v>50</v>
      </c>
      <c r="K1457" s="1" t="s">
        <v>50</v>
      </c>
      <c r="L1457">
        <f t="shared" si="146"/>
        <v>211.64363379024599</v>
      </c>
      <c r="M1457">
        <f t="shared" si="145"/>
        <v>224.72476401833561</v>
      </c>
      <c r="N1457">
        <f t="shared" si="147"/>
        <v>104.16132807466707</v>
      </c>
      <c r="O1457" t="e">
        <f t="shared" si="148"/>
        <v>#N/A</v>
      </c>
      <c r="P1457" t="e">
        <f t="shared" si="149"/>
        <v>#N/A</v>
      </c>
      <c r="Q1457" t="e">
        <f t="shared" si="150"/>
        <v>#N/A</v>
      </c>
      <c r="U1457">
        <f>C1457/Navio!$J$4</f>
        <v>19.313321434103621</v>
      </c>
    </row>
    <row r="1458" spans="1:21" x14ac:dyDescent="0.3">
      <c r="A1458">
        <v>1456</v>
      </c>
      <c r="B1458" s="47">
        <v>675.76976994973745</v>
      </c>
      <c r="C1458" s="46">
        <v>353.48730259102217</v>
      </c>
      <c r="D1458" s="1">
        <v>47</v>
      </c>
      <c r="E1458" s="1">
        <v>48</v>
      </c>
      <c r="F1458" s="1">
        <v>46</v>
      </c>
      <c r="G1458" s="1" t="s">
        <v>50</v>
      </c>
      <c r="H1458" s="1" t="s">
        <v>50</v>
      </c>
      <c r="I1458" s="1" t="s">
        <v>50</v>
      </c>
      <c r="J1458" s="1" t="s">
        <v>50</v>
      </c>
      <c r="K1458" s="1" t="s">
        <v>50</v>
      </c>
      <c r="L1458">
        <f t="shared" si="146"/>
        <v>341.491467583023</v>
      </c>
      <c r="M1458">
        <f t="shared" si="145"/>
        <v>211.64363379024599</v>
      </c>
      <c r="N1458">
        <f t="shared" si="147"/>
        <v>527.46084887326492</v>
      </c>
      <c r="O1458" t="e">
        <f t="shared" si="148"/>
        <v>#N/A</v>
      </c>
      <c r="P1458" t="e">
        <f t="shared" si="149"/>
        <v>#N/A</v>
      </c>
      <c r="Q1458" t="e">
        <f t="shared" si="150"/>
        <v>#N/A</v>
      </c>
      <c r="U1458">
        <f>C1458/Navio!$J$4</f>
        <v>19.086803886602826</v>
      </c>
    </row>
    <row r="1459" spans="1:21" x14ac:dyDescent="0.3">
      <c r="A1459">
        <v>1457</v>
      </c>
      <c r="B1459" s="47">
        <v>829.94665603799103</v>
      </c>
      <c r="C1459" s="46">
        <v>357.6344706651123</v>
      </c>
      <c r="D1459" s="1">
        <v>47</v>
      </c>
      <c r="E1459" s="1">
        <v>49</v>
      </c>
      <c r="F1459" s="1">
        <v>46</v>
      </c>
      <c r="G1459" s="1" t="s">
        <v>50</v>
      </c>
      <c r="H1459" s="1" t="s">
        <v>50</v>
      </c>
      <c r="I1459" s="1" t="s">
        <v>50</v>
      </c>
      <c r="J1459" s="1" t="s">
        <v>50</v>
      </c>
      <c r="K1459" s="1" t="s">
        <v>50</v>
      </c>
      <c r="L1459">
        <f t="shared" si="146"/>
        <v>341.491467583023</v>
      </c>
      <c r="M1459">
        <f t="shared" si="145"/>
        <v>224.72476401833561</v>
      </c>
      <c r="N1459">
        <f t="shared" si="147"/>
        <v>527.46084887326492</v>
      </c>
      <c r="O1459" t="e">
        <f t="shared" si="148"/>
        <v>#N/A</v>
      </c>
      <c r="P1459" t="e">
        <f t="shared" si="149"/>
        <v>#N/A</v>
      </c>
      <c r="Q1459" t="e">
        <f t="shared" si="150"/>
        <v>#N/A</v>
      </c>
      <c r="U1459">
        <f>C1459/Navio!$J$4</f>
        <v>19.310733241730247</v>
      </c>
    </row>
    <row r="1460" spans="1:21" x14ac:dyDescent="0.3">
      <c r="A1460">
        <v>1458</v>
      </c>
      <c r="B1460" s="47">
        <v>559.00306638505003</v>
      </c>
      <c r="C1460" s="46">
        <v>357.63424957824662</v>
      </c>
      <c r="D1460" s="1">
        <v>48</v>
      </c>
      <c r="E1460" s="1">
        <v>49</v>
      </c>
      <c r="F1460" s="1">
        <v>46</v>
      </c>
      <c r="G1460" s="1" t="s">
        <v>50</v>
      </c>
      <c r="H1460" s="1" t="s">
        <v>50</v>
      </c>
      <c r="I1460" s="1" t="s">
        <v>50</v>
      </c>
      <c r="J1460" s="1" t="s">
        <v>50</v>
      </c>
      <c r="K1460" s="1" t="s">
        <v>50</v>
      </c>
      <c r="L1460">
        <f t="shared" si="146"/>
        <v>211.64363379024599</v>
      </c>
      <c r="M1460">
        <f t="shared" si="145"/>
        <v>224.72476401833561</v>
      </c>
      <c r="N1460">
        <f t="shared" si="147"/>
        <v>527.46084887326492</v>
      </c>
      <c r="O1460" t="e">
        <f t="shared" si="148"/>
        <v>#N/A</v>
      </c>
      <c r="P1460" t="e">
        <f t="shared" si="149"/>
        <v>#N/A</v>
      </c>
      <c r="Q1460" t="e">
        <f t="shared" si="150"/>
        <v>#N/A</v>
      </c>
      <c r="U1460">
        <f>C1460/Navio!$J$4</f>
        <v>19.310721303984206</v>
      </c>
    </row>
    <row r="1461" spans="1:21" x14ac:dyDescent="0.3">
      <c r="A1461">
        <v>1459</v>
      </c>
      <c r="B1461" s="47">
        <v>636.76410953144057</v>
      </c>
      <c r="C1461" s="46">
        <v>357.63511245617156</v>
      </c>
      <c r="D1461" s="1">
        <v>49</v>
      </c>
      <c r="E1461" s="1">
        <v>48</v>
      </c>
      <c r="F1461" s="1">
        <v>47</v>
      </c>
      <c r="G1461" s="1" t="s">
        <v>50</v>
      </c>
      <c r="H1461" s="1" t="s">
        <v>50</v>
      </c>
      <c r="I1461" s="1" t="s">
        <v>50</v>
      </c>
      <c r="J1461" s="1" t="s">
        <v>50</v>
      </c>
      <c r="K1461" s="1" t="s">
        <v>50</v>
      </c>
      <c r="L1461">
        <f t="shared" si="146"/>
        <v>224.72476401833561</v>
      </c>
      <c r="M1461">
        <f t="shared" si="145"/>
        <v>211.64363379024599</v>
      </c>
      <c r="N1461">
        <f t="shared" si="147"/>
        <v>341.491467583023</v>
      </c>
      <c r="O1461" t="e">
        <f t="shared" si="148"/>
        <v>#N/A</v>
      </c>
      <c r="P1461" t="e">
        <f t="shared" si="149"/>
        <v>#N/A</v>
      </c>
      <c r="Q1461" t="e">
        <f t="shared" si="150"/>
        <v>#N/A</v>
      </c>
      <c r="U1461">
        <f>C1461/Navio!$J$4</f>
        <v>19.310767895705069</v>
      </c>
    </row>
    <row r="1462" spans="1:21" x14ac:dyDescent="0.3">
      <c r="A1462">
        <v>1460</v>
      </c>
      <c r="B1462" s="47">
        <v>877.60744680259643</v>
      </c>
      <c r="C1462" s="46">
        <v>336.95955301884737</v>
      </c>
      <c r="D1462" s="1">
        <v>43</v>
      </c>
      <c r="E1462" s="1">
        <v>44</v>
      </c>
      <c r="F1462" s="1">
        <v>45</v>
      </c>
      <c r="G1462" s="1">
        <v>42</v>
      </c>
      <c r="H1462" s="1" t="s">
        <v>50</v>
      </c>
      <c r="I1462" s="1" t="s">
        <v>50</v>
      </c>
      <c r="J1462" s="1" t="s">
        <v>50</v>
      </c>
      <c r="K1462" s="1" t="s">
        <v>50</v>
      </c>
      <c r="L1462">
        <f t="shared" si="146"/>
        <v>364.08810064884096</v>
      </c>
      <c r="M1462">
        <f t="shared" si="145"/>
        <v>197.82461126156434</v>
      </c>
      <c r="N1462">
        <f t="shared" si="147"/>
        <v>104.16132807466707</v>
      </c>
      <c r="O1462">
        <f t="shared" si="148"/>
        <v>211.53340681752402</v>
      </c>
      <c r="P1462" t="e">
        <f t="shared" si="149"/>
        <v>#N/A</v>
      </c>
      <c r="Q1462" t="e">
        <f t="shared" si="150"/>
        <v>#N/A</v>
      </c>
      <c r="U1462">
        <f>C1462/Navio!$J$4</f>
        <v>18.194376032876018</v>
      </c>
    </row>
    <row r="1463" spans="1:21" x14ac:dyDescent="0.3">
      <c r="A1463">
        <v>1461</v>
      </c>
      <c r="B1463" s="47">
        <v>843.99399665801138</v>
      </c>
      <c r="C1463" s="46">
        <v>355.0142923011739</v>
      </c>
      <c r="D1463" s="1">
        <v>43</v>
      </c>
      <c r="E1463" s="1">
        <v>44</v>
      </c>
      <c r="F1463" s="1">
        <v>48</v>
      </c>
      <c r="G1463" s="1">
        <v>42</v>
      </c>
      <c r="H1463" s="1" t="s">
        <v>50</v>
      </c>
      <c r="I1463" s="1" t="s">
        <v>50</v>
      </c>
      <c r="J1463" s="1" t="s">
        <v>50</v>
      </c>
      <c r="K1463" s="1" t="s">
        <v>50</v>
      </c>
      <c r="L1463">
        <f t="shared" si="146"/>
        <v>364.08810064884096</v>
      </c>
      <c r="M1463">
        <f t="shared" si="145"/>
        <v>197.82461126156434</v>
      </c>
      <c r="N1463">
        <f t="shared" si="147"/>
        <v>211.64363379024599</v>
      </c>
      <c r="O1463">
        <f t="shared" si="148"/>
        <v>211.53340681752402</v>
      </c>
      <c r="P1463" t="e">
        <f t="shared" si="149"/>
        <v>#N/A</v>
      </c>
      <c r="Q1463" t="e">
        <f t="shared" si="150"/>
        <v>#N/A</v>
      </c>
      <c r="U1463">
        <f>C1463/Navio!$J$4</f>
        <v>19.169254806115053</v>
      </c>
    </row>
    <row r="1464" spans="1:21" x14ac:dyDescent="0.3">
      <c r="A1464">
        <v>1462</v>
      </c>
      <c r="B1464" s="47">
        <v>750.330713471114</v>
      </c>
      <c r="C1464" s="46">
        <v>355.30703582778546</v>
      </c>
      <c r="D1464" s="1">
        <v>43</v>
      </c>
      <c r="E1464" s="1">
        <v>48</v>
      </c>
      <c r="F1464" s="1">
        <v>45</v>
      </c>
      <c r="G1464" s="1">
        <v>42</v>
      </c>
      <c r="H1464" s="1" t="s">
        <v>50</v>
      </c>
      <c r="I1464" s="1" t="s">
        <v>50</v>
      </c>
      <c r="J1464" s="1" t="s">
        <v>50</v>
      </c>
      <c r="K1464" s="1" t="s">
        <v>50</v>
      </c>
      <c r="L1464">
        <f t="shared" si="146"/>
        <v>364.08810064884096</v>
      </c>
      <c r="M1464">
        <f t="shared" si="145"/>
        <v>211.64363379024599</v>
      </c>
      <c r="N1464">
        <f t="shared" si="147"/>
        <v>104.16132807466707</v>
      </c>
      <c r="O1464">
        <f t="shared" si="148"/>
        <v>211.53340681752402</v>
      </c>
      <c r="P1464" t="e">
        <f t="shared" si="149"/>
        <v>#N/A</v>
      </c>
      <c r="Q1464" t="e">
        <f t="shared" si="150"/>
        <v>#N/A</v>
      </c>
      <c r="U1464">
        <f>C1464/Navio!$J$4</f>
        <v>19.185061705657276</v>
      </c>
    </row>
    <row r="1465" spans="1:21" x14ac:dyDescent="0.3">
      <c r="A1465">
        <v>1463</v>
      </c>
      <c r="B1465" s="47">
        <v>870.89414941478253</v>
      </c>
      <c r="C1465" s="46">
        <v>358.90899307965975</v>
      </c>
      <c r="D1465" s="1">
        <v>43</v>
      </c>
      <c r="E1465" s="1">
        <v>49</v>
      </c>
      <c r="F1465" s="1">
        <v>48</v>
      </c>
      <c r="G1465" s="1">
        <v>42</v>
      </c>
      <c r="H1465" s="1" t="s">
        <v>50</v>
      </c>
      <c r="I1465" s="1" t="s">
        <v>50</v>
      </c>
      <c r="J1465" s="1" t="s">
        <v>50</v>
      </c>
      <c r="K1465" s="1" t="s">
        <v>50</v>
      </c>
      <c r="L1465">
        <f t="shared" si="146"/>
        <v>364.08810064884096</v>
      </c>
      <c r="M1465">
        <f t="shared" si="145"/>
        <v>224.72476401833561</v>
      </c>
      <c r="N1465">
        <f t="shared" si="147"/>
        <v>211.64363379024599</v>
      </c>
      <c r="O1465">
        <f t="shared" si="148"/>
        <v>211.53340681752402</v>
      </c>
      <c r="P1465" t="e">
        <f t="shared" si="149"/>
        <v>#N/A</v>
      </c>
      <c r="Q1465" t="e">
        <f t="shared" si="150"/>
        <v>#N/A</v>
      </c>
      <c r="U1465">
        <f>C1465/Navio!$J$4</f>
        <v>19.379552006074071</v>
      </c>
    </row>
    <row r="1466" spans="1:21" x14ac:dyDescent="0.3">
      <c r="A1466">
        <v>1464</v>
      </c>
      <c r="B1466" s="47">
        <v>777.24977059038793</v>
      </c>
      <c r="C1466" s="46">
        <v>336.4549627926948</v>
      </c>
      <c r="D1466" s="1">
        <v>45</v>
      </c>
      <c r="E1466" s="1">
        <v>46</v>
      </c>
      <c r="F1466" s="1">
        <v>44</v>
      </c>
      <c r="G1466" s="1">
        <v>42</v>
      </c>
      <c r="H1466" s="1" t="s">
        <v>50</v>
      </c>
      <c r="I1466" s="1" t="s">
        <v>50</v>
      </c>
      <c r="J1466" s="1" t="s">
        <v>50</v>
      </c>
      <c r="K1466" s="1" t="s">
        <v>50</v>
      </c>
      <c r="L1466">
        <f t="shared" si="146"/>
        <v>104.16132807466707</v>
      </c>
      <c r="M1466">
        <f t="shared" si="145"/>
        <v>527.46084887326492</v>
      </c>
      <c r="N1466">
        <f t="shared" si="147"/>
        <v>197.82461126156434</v>
      </c>
      <c r="O1466">
        <f t="shared" si="148"/>
        <v>211.53340681752402</v>
      </c>
      <c r="P1466" t="e">
        <f t="shared" si="149"/>
        <v>#N/A</v>
      </c>
      <c r="Q1466" t="e">
        <f t="shared" si="150"/>
        <v>#N/A</v>
      </c>
      <c r="U1466">
        <f>C1466/Navio!$J$4</f>
        <v>18.167130316780771</v>
      </c>
    </row>
    <row r="1467" spans="1:21" x14ac:dyDescent="0.3">
      <c r="A1467">
        <v>1465</v>
      </c>
      <c r="B1467" s="47">
        <v>855.01081373677846</v>
      </c>
      <c r="C1467" s="46">
        <v>352.67811243692023</v>
      </c>
      <c r="D1467" s="1">
        <v>45</v>
      </c>
      <c r="E1467" s="1">
        <v>47</v>
      </c>
      <c r="F1467" s="1">
        <v>44</v>
      </c>
      <c r="G1467" s="1">
        <v>42</v>
      </c>
      <c r="H1467" s="1" t="s">
        <v>50</v>
      </c>
      <c r="I1467" s="1" t="s">
        <v>50</v>
      </c>
      <c r="J1467" s="1" t="s">
        <v>50</v>
      </c>
      <c r="K1467" s="1" t="s">
        <v>50</v>
      </c>
      <c r="L1467">
        <f t="shared" si="146"/>
        <v>104.16132807466707</v>
      </c>
      <c r="M1467">
        <f t="shared" si="145"/>
        <v>341.491467583023</v>
      </c>
      <c r="N1467">
        <f t="shared" si="147"/>
        <v>197.82461126156434</v>
      </c>
      <c r="O1467">
        <f t="shared" si="148"/>
        <v>211.53340681752402</v>
      </c>
      <c r="P1467" t="e">
        <f t="shared" si="149"/>
        <v>#N/A</v>
      </c>
      <c r="Q1467" t="e">
        <f t="shared" si="150"/>
        <v>#N/A</v>
      </c>
      <c r="U1467">
        <f>C1467/Navio!$J$4</f>
        <v>19.043111075955586</v>
      </c>
    </row>
    <row r="1468" spans="1:21" x14ac:dyDescent="0.3">
      <c r="A1468">
        <v>1466</v>
      </c>
      <c r="B1468" s="47">
        <v>584.06722408383746</v>
      </c>
      <c r="C1468" s="46">
        <v>354.70146408303276</v>
      </c>
      <c r="D1468" s="1">
        <v>45</v>
      </c>
      <c r="E1468" s="1">
        <v>48</v>
      </c>
      <c r="F1468" s="1">
        <v>44</v>
      </c>
      <c r="G1468" s="1">
        <v>42</v>
      </c>
      <c r="H1468" s="1" t="s">
        <v>50</v>
      </c>
      <c r="I1468" s="1" t="s">
        <v>50</v>
      </c>
      <c r="J1468" s="1" t="s">
        <v>50</v>
      </c>
      <c r="K1468" s="1" t="s">
        <v>50</v>
      </c>
      <c r="L1468">
        <f t="shared" si="146"/>
        <v>104.16132807466707</v>
      </c>
      <c r="M1468">
        <f t="shared" si="145"/>
        <v>211.64363379024599</v>
      </c>
      <c r="N1468">
        <f t="shared" si="147"/>
        <v>197.82461126156434</v>
      </c>
      <c r="O1468">
        <f t="shared" si="148"/>
        <v>211.53340681752402</v>
      </c>
      <c r="P1468" t="e">
        <f t="shared" si="149"/>
        <v>#N/A</v>
      </c>
      <c r="Q1468" t="e">
        <f t="shared" si="150"/>
        <v>#N/A</v>
      </c>
      <c r="U1468">
        <f>C1468/Navio!$J$4</f>
        <v>19.152363419052239</v>
      </c>
    </row>
    <row r="1469" spans="1:21" x14ac:dyDescent="0.3">
      <c r="A1469">
        <v>1467</v>
      </c>
      <c r="B1469" s="47">
        <v>738.24411017209104</v>
      </c>
      <c r="C1469" s="46">
        <v>358.78565951262658</v>
      </c>
      <c r="D1469" s="1">
        <v>45</v>
      </c>
      <c r="E1469" s="1">
        <v>49</v>
      </c>
      <c r="F1469" s="1">
        <v>44</v>
      </c>
      <c r="G1469" s="1">
        <v>42</v>
      </c>
      <c r="H1469" s="1" t="s">
        <v>50</v>
      </c>
      <c r="I1469" s="1" t="s">
        <v>50</v>
      </c>
      <c r="J1469" s="1" t="s">
        <v>50</v>
      </c>
      <c r="K1469" s="1" t="s">
        <v>50</v>
      </c>
      <c r="L1469">
        <f t="shared" si="146"/>
        <v>104.16132807466707</v>
      </c>
      <c r="M1469">
        <f t="shared" si="145"/>
        <v>224.72476401833561</v>
      </c>
      <c r="N1469">
        <f t="shared" si="147"/>
        <v>197.82461126156434</v>
      </c>
      <c r="O1469">
        <f t="shared" si="148"/>
        <v>211.53340681752402</v>
      </c>
      <c r="P1469" t="e">
        <f t="shared" si="149"/>
        <v>#N/A</v>
      </c>
      <c r="Q1469" t="e">
        <f t="shared" si="150"/>
        <v>#N/A</v>
      </c>
      <c r="U1469">
        <f>C1469/Navio!$J$4</f>
        <v>19.372892520459335</v>
      </c>
    </row>
    <row r="1470" spans="1:21" x14ac:dyDescent="0.3">
      <c r="A1470">
        <v>1468</v>
      </c>
      <c r="B1470" s="47">
        <v>743.63632044580277</v>
      </c>
      <c r="C1470" s="46">
        <v>354.3902306849086</v>
      </c>
      <c r="D1470" s="1">
        <v>44</v>
      </c>
      <c r="E1470" s="1">
        <v>48</v>
      </c>
      <c r="F1470" s="1">
        <v>46</v>
      </c>
      <c r="G1470" s="1">
        <v>42</v>
      </c>
      <c r="H1470" s="1" t="s">
        <v>50</v>
      </c>
      <c r="I1470" s="1" t="s">
        <v>50</v>
      </c>
      <c r="J1470" s="1" t="s">
        <v>50</v>
      </c>
      <c r="K1470" s="1" t="s">
        <v>50</v>
      </c>
      <c r="L1470">
        <f t="shared" si="146"/>
        <v>197.82461126156434</v>
      </c>
      <c r="M1470">
        <f t="shared" si="145"/>
        <v>211.64363379024599</v>
      </c>
      <c r="N1470">
        <f t="shared" si="147"/>
        <v>527.46084887326492</v>
      </c>
      <c r="O1470">
        <f t="shared" si="148"/>
        <v>211.53340681752402</v>
      </c>
      <c r="P1470" t="e">
        <f t="shared" si="149"/>
        <v>#N/A</v>
      </c>
      <c r="Q1470" t="e">
        <f t="shared" si="150"/>
        <v>#N/A</v>
      </c>
      <c r="U1470">
        <f>C1470/Navio!$J$4</f>
        <v>19.135558145455665</v>
      </c>
    </row>
    <row r="1471" spans="1:21" x14ac:dyDescent="0.3">
      <c r="A1471">
        <v>1469</v>
      </c>
      <c r="B1471" s="47">
        <v>897.81320653405646</v>
      </c>
      <c r="C1471" s="46">
        <v>358.50073382062914</v>
      </c>
      <c r="D1471" s="1">
        <v>44</v>
      </c>
      <c r="E1471" s="1">
        <v>49</v>
      </c>
      <c r="F1471" s="1">
        <v>46</v>
      </c>
      <c r="G1471" s="1">
        <v>42</v>
      </c>
      <c r="H1471" s="1" t="s">
        <v>50</v>
      </c>
      <c r="I1471" s="1" t="s">
        <v>50</v>
      </c>
      <c r="J1471" s="1" t="s">
        <v>50</v>
      </c>
      <c r="K1471" s="1" t="s">
        <v>50</v>
      </c>
      <c r="L1471">
        <f t="shared" si="146"/>
        <v>197.82461126156434</v>
      </c>
      <c r="M1471">
        <f t="shared" si="145"/>
        <v>224.72476401833561</v>
      </c>
      <c r="N1471">
        <f t="shared" si="147"/>
        <v>527.46084887326492</v>
      </c>
      <c r="O1471">
        <f t="shared" si="148"/>
        <v>211.53340681752402</v>
      </c>
      <c r="P1471" t="e">
        <f t="shared" si="149"/>
        <v>#N/A</v>
      </c>
      <c r="Q1471" t="e">
        <f t="shared" si="150"/>
        <v>#N/A</v>
      </c>
      <c r="U1471">
        <f>C1471/Navio!$J$4</f>
        <v>19.357507750580623</v>
      </c>
    </row>
    <row r="1472" spans="1:21" x14ac:dyDescent="0.3">
      <c r="A1472">
        <v>1470</v>
      </c>
      <c r="B1472" s="47">
        <v>821.39736359219341</v>
      </c>
      <c r="C1472" s="46">
        <v>354.25546266438312</v>
      </c>
      <c r="D1472" s="1">
        <v>44</v>
      </c>
      <c r="E1472" s="1">
        <v>48</v>
      </c>
      <c r="F1472" s="1">
        <v>47</v>
      </c>
      <c r="G1472" s="1">
        <v>42</v>
      </c>
      <c r="H1472" s="1" t="s">
        <v>50</v>
      </c>
      <c r="I1472" s="1" t="s">
        <v>50</v>
      </c>
      <c r="J1472" s="1" t="s">
        <v>50</v>
      </c>
      <c r="K1472" s="1" t="s">
        <v>50</v>
      </c>
      <c r="L1472">
        <f t="shared" si="146"/>
        <v>197.82461126156434</v>
      </c>
      <c r="M1472">
        <f t="shared" si="145"/>
        <v>211.64363379024599</v>
      </c>
      <c r="N1472">
        <f t="shared" si="147"/>
        <v>341.491467583023</v>
      </c>
      <c r="O1472">
        <f t="shared" si="148"/>
        <v>211.53340681752402</v>
      </c>
      <c r="P1472" t="e">
        <f t="shared" si="149"/>
        <v>#N/A</v>
      </c>
      <c r="Q1472" t="e">
        <f t="shared" si="150"/>
        <v>#N/A</v>
      </c>
      <c r="U1472">
        <f>C1472/Navio!$J$4</f>
        <v>19.128281248211827</v>
      </c>
    </row>
    <row r="1473" spans="1:21" x14ac:dyDescent="0.3">
      <c r="A1473">
        <v>1471</v>
      </c>
      <c r="B1473" s="47">
        <v>704.630660027506</v>
      </c>
      <c r="C1473" s="46">
        <v>358.37329176287187</v>
      </c>
      <c r="D1473" s="1">
        <v>44</v>
      </c>
      <c r="E1473" s="1">
        <v>49</v>
      </c>
      <c r="F1473" s="1">
        <v>48</v>
      </c>
      <c r="G1473" s="1">
        <v>42</v>
      </c>
      <c r="H1473" s="1" t="s">
        <v>50</v>
      </c>
      <c r="I1473" s="1" t="s">
        <v>50</v>
      </c>
      <c r="J1473" s="1" t="s">
        <v>50</v>
      </c>
      <c r="K1473" s="1" t="s">
        <v>50</v>
      </c>
      <c r="L1473">
        <f t="shared" si="146"/>
        <v>197.82461126156434</v>
      </c>
      <c r="M1473">
        <f t="shared" si="145"/>
        <v>224.72476401833561</v>
      </c>
      <c r="N1473">
        <f t="shared" si="147"/>
        <v>211.64363379024599</v>
      </c>
      <c r="O1473">
        <f t="shared" si="148"/>
        <v>211.53340681752402</v>
      </c>
      <c r="P1473" t="e">
        <f t="shared" si="149"/>
        <v>#N/A</v>
      </c>
      <c r="Q1473" t="e">
        <f t="shared" si="150"/>
        <v>#N/A</v>
      </c>
      <c r="U1473">
        <f>C1473/Navio!$J$4</f>
        <v>19.350626424022387</v>
      </c>
    </row>
    <row r="1474" spans="1:21" x14ac:dyDescent="0.3">
      <c r="A1474">
        <v>1472</v>
      </c>
      <c r="B1474" s="47">
        <v>649.97303725890561</v>
      </c>
      <c r="C1474" s="46">
        <v>353.79867104887995</v>
      </c>
      <c r="D1474" s="1">
        <v>45</v>
      </c>
      <c r="E1474" s="1">
        <v>48</v>
      </c>
      <c r="F1474" s="1">
        <v>46</v>
      </c>
      <c r="G1474" s="1">
        <v>42</v>
      </c>
      <c r="H1474" s="1" t="s">
        <v>50</v>
      </c>
      <c r="I1474" s="1" t="s">
        <v>50</v>
      </c>
      <c r="J1474" s="1" t="s">
        <v>50</v>
      </c>
      <c r="K1474" s="1" t="s">
        <v>50</v>
      </c>
      <c r="L1474">
        <f t="shared" si="146"/>
        <v>104.16132807466707</v>
      </c>
      <c r="M1474">
        <f t="shared" si="145"/>
        <v>211.64363379024599</v>
      </c>
      <c r="N1474">
        <f t="shared" si="147"/>
        <v>527.46084887326492</v>
      </c>
      <c r="O1474">
        <f t="shared" si="148"/>
        <v>211.53340681752402</v>
      </c>
      <c r="P1474" t="e">
        <f t="shared" si="149"/>
        <v>#N/A</v>
      </c>
      <c r="Q1474" t="e">
        <f t="shared" si="150"/>
        <v>#N/A</v>
      </c>
      <c r="U1474">
        <f>C1474/Navio!$J$4</f>
        <v>19.103616452847906</v>
      </c>
    </row>
    <row r="1475" spans="1:21" x14ac:dyDescent="0.3">
      <c r="A1475">
        <v>1473</v>
      </c>
      <c r="B1475" s="47">
        <v>804.14992334715919</v>
      </c>
      <c r="C1475" s="46">
        <v>357.91120608818392</v>
      </c>
      <c r="D1475" s="1">
        <v>45</v>
      </c>
      <c r="E1475" s="1">
        <v>49</v>
      </c>
      <c r="F1475" s="1">
        <v>46</v>
      </c>
      <c r="G1475" s="1">
        <v>42</v>
      </c>
      <c r="H1475" s="1" t="s">
        <v>50</v>
      </c>
      <c r="I1475" s="1" t="s">
        <v>50</v>
      </c>
      <c r="J1475" s="1" t="s">
        <v>50</v>
      </c>
      <c r="K1475" s="1" t="s">
        <v>50</v>
      </c>
      <c r="L1475">
        <f t="shared" si="146"/>
        <v>104.16132807466707</v>
      </c>
      <c r="M1475">
        <f t="shared" ref="M1475:M1538" si="151">VLOOKUP(E1475,$Y$2:$Z$80,2)</f>
        <v>224.72476401833561</v>
      </c>
      <c r="N1475">
        <f t="shared" si="147"/>
        <v>527.46084887326492</v>
      </c>
      <c r="O1475">
        <f t="shared" si="148"/>
        <v>211.53340681752402</v>
      </c>
      <c r="P1475" t="e">
        <f t="shared" si="149"/>
        <v>#N/A</v>
      </c>
      <c r="Q1475" t="e">
        <f t="shared" si="150"/>
        <v>#N/A</v>
      </c>
      <c r="U1475">
        <f>C1475/Navio!$J$4</f>
        <v>19.325675772084033</v>
      </c>
    </row>
    <row r="1476" spans="1:21" x14ac:dyDescent="0.3">
      <c r="A1476">
        <v>1474</v>
      </c>
      <c r="B1476" s="47">
        <v>727.73408040529603</v>
      </c>
      <c r="C1476" s="46">
        <v>353.66390302835441</v>
      </c>
      <c r="D1476" s="1">
        <v>45</v>
      </c>
      <c r="E1476" s="1">
        <v>48</v>
      </c>
      <c r="F1476" s="1">
        <v>47</v>
      </c>
      <c r="G1476" s="1">
        <v>42</v>
      </c>
      <c r="H1476" s="1" t="s">
        <v>50</v>
      </c>
      <c r="I1476" s="1" t="s">
        <v>50</v>
      </c>
      <c r="J1476" s="1" t="s">
        <v>50</v>
      </c>
      <c r="K1476" s="1" t="s">
        <v>50</v>
      </c>
      <c r="L1476">
        <f t="shared" si="146"/>
        <v>104.16132807466707</v>
      </c>
      <c r="M1476">
        <f t="shared" si="151"/>
        <v>211.64363379024599</v>
      </c>
      <c r="N1476">
        <f t="shared" si="147"/>
        <v>341.491467583023</v>
      </c>
      <c r="O1476">
        <f t="shared" si="148"/>
        <v>211.53340681752402</v>
      </c>
      <c r="P1476" t="e">
        <f t="shared" si="149"/>
        <v>#N/A</v>
      </c>
      <c r="Q1476" t="e">
        <f t="shared" si="150"/>
        <v>#N/A</v>
      </c>
      <c r="U1476">
        <f>C1476/Navio!$J$4</f>
        <v>19.096339555604064</v>
      </c>
    </row>
    <row r="1477" spans="1:21" x14ac:dyDescent="0.3">
      <c r="A1477">
        <v>1475</v>
      </c>
      <c r="B1477" s="47">
        <v>881.91096649354972</v>
      </c>
      <c r="C1477" s="46">
        <v>357.78476339631789</v>
      </c>
      <c r="D1477" s="1">
        <v>45</v>
      </c>
      <c r="E1477" s="1">
        <v>49</v>
      </c>
      <c r="F1477" s="1">
        <v>47</v>
      </c>
      <c r="G1477" s="1">
        <v>42</v>
      </c>
      <c r="H1477" s="1" t="s">
        <v>50</v>
      </c>
      <c r="I1477" s="1" t="s">
        <v>50</v>
      </c>
      <c r="J1477" s="1" t="s">
        <v>50</v>
      </c>
      <c r="K1477" s="1" t="s">
        <v>50</v>
      </c>
      <c r="L1477">
        <f t="shared" si="146"/>
        <v>104.16132807466707</v>
      </c>
      <c r="M1477">
        <f t="shared" si="151"/>
        <v>224.72476401833561</v>
      </c>
      <c r="N1477">
        <f t="shared" si="147"/>
        <v>341.491467583023</v>
      </c>
      <c r="O1477">
        <f t="shared" si="148"/>
        <v>211.53340681752402</v>
      </c>
      <c r="P1477" t="e">
        <f t="shared" si="149"/>
        <v>#N/A</v>
      </c>
      <c r="Q1477" t="e">
        <f t="shared" si="150"/>
        <v>#N/A</v>
      </c>
      <c r="U1477">
        <f>C1477/Navio!$J$4</f>
        <v>19.318848407013629</v>
      </c>
    </row>
    <row r="1478" spans="1:21" x14ac:dyDescent="0.3">
      <c r="A1478">
        <v>1476</v>
      </c>
      <c r="B1478" s="47">
        <v>610.96737684060872</v>
      </c>
      <c r="C1478" s="46">
        <v>357.78376403042671</v>
      </c>
      <c r="D1478" s="1">
        <v>45</v>
      </c>
      <c r="E1478" s="1">
        <v>49</v>
      </c>
      <c r="F1478" s="1">
        <v>48</v>
      </c>
      <c r="G1478" s="1">
        <v>42</v>
      </c>
      <c r="H1478" s="1" t="s">
        <v>50</v>
      </c>
      <c r="I1478" s="1" t="s">
        <v>50</v>
      </c>
      <c r="J1478" s="1" t="s">
        <v>50</v>
      </c>
      <c r="K1478" s="1" t="s">
        <v>50</v>
      </c>
      <c r="L1478">
        <f t="shared" si="146"/>
        <v>104.16132807466707</v>
      </c>
      <c r="M1478">
        <f t="shared" si="151"/>
        <v>224.72476401833561</v>
      </c>
      <c r="N1478">
        <f t="shared" si="147"/>
        <v>211.64363379024599</v>
      </c>
      <c r="O1478">
        <f t="shared" si="148"/>
        <v>211.53340681752402</v>
      </c>
      <c r="P1478" t="e">
        <f t="shared" si="149"/>
        <v>#N/A</v>
      </c>
      <c r="Q1478" t="e">
        <f t="shared" si="150"/>
        <v>#N/A</v>
      </c>
      <c r="U1478">
        <f>C1478/Navio!$J$4</f>
        <v>19.3187944455258</v>
      </c>
    </row>
    <row r="1479" spans="1:21" x14ac:dyDescent="0.3">
      <c r="A1479">
        <v>1477</v>
      </c>
      <c r="B1479" s="47">
        <v>887.30317676726145</v>
      </c>
      <c r="C1479" s="46">
        <v>353.58944095401819</v>
      </c>
      <c r="D1479" s="1">
        <v>46</v>
      </c>
      <c r="E1479" s="1">
        <v>48</v>
      </c>
      <c r="F1479" s="1">
        <v>47</v>
      </c>
      <c r="G1479" s="1">
        <v>42</v>
      </c>
      <c r="H1479" s="1" t="s">
        <v>50</v>
      </c>
      <c r="I1479" s="1" t="s">
        <v>50</v>
      </c>
      <c r="J1479" s="1" t="s">
        <v>50</v>
      </c>
      <c r="K1479" s="1" t="s">
        <v>50</v>
      </c>
      <c r="L1479">
        <f t="shared" si="146"/>
        <v>527.46084887326492</v>
      </c>
      <c r="M1479">
        <f t="shared" si="151"/>
        <v>211.64363379024599</v>
      </c>
      <c r="N1479">
        <f t="shared" si="147"/>
        <v>341.491467583023</v>
      </c>
      <c r="O1479">
        <f t="shared" si="148"/>
        <v>211.53340681752402</v>
      </c>
      <c r="P1479" t="e">
        <f t="shared" si="149"/>
        <v>#N/A</v>
      </c>
      <c r="Q1479" t="e">
        <f t="shared" si="150"/>
        <v>#N/A</v>
      </c>
      <c r="U1479">
        <f>C1479/Navio!$J$4</f>
        <v>19.09231892176679</v>
      </c>
    </row>
    <row r="1480" spans="1:21" x14ac:dyDescent="0.3">
      <c r="A1480">
        <v>1478</v>
      </c>
      <c r="B1480" s="47">
        <v>770.53647320257414</v>
      </c>
      <c r="C1480" s="46">
        <v>357.73560966221726</v>
      </c>
      <c r="D1480" s="1">
        <v>46</v>
      </c>
      <c r="E1480" s="1">
        <v>49</v>
      </c>
      <c r="F1480" s="1">
        <v>48</v>
      </c>
      <c r="G1480" s="1">
        <v>42</v>
      </c>
      <c r="H1480" s="1" t="s">
        <v>50</v>
      </c>
      <c r="I1480" s="1" t="s">
        <v>50</v>
      </c>
      <c r="J1480" s="1" t="s">
        <v>50</v>
      </c>
      <c r="K1480" s="1" t="s">
        <v>50</v>
      </c>
      <c r="L1480">
        <f t="shared" si="146"/>
        <v>527.46084887326492</v>
      </c>
      <c r="M1480">
        <f t="shared" si="151"/>
        <v>224.72476401833561</v>
      </c>
      <c r="N1480">
        <f t="shared" si="147"/>
        <v>211.64363379024599</v>
      </c>
      <c r="O1480">
        <f t="shared" si="148"/>
        <v>211.53340681752402</v>
      </c>
      <c r="P1480" t="e">
        <f t="shared" si="149"/>
        <v>#N/A</v>
      </c>
      <c r="Q1480" t="e">
        <f t="shared" si="150"/>
        <v>#N/A</v>
      </c>
      <c r="U1480">
        <f>C1480/Navio!$J$4</f>
        <v>19.316194315406388</v>
      </c>
    </row>
    <row r="1481" spans="1:21" x14ac:dyDescent="0.3">
      <c r="A1481">
        <v>1479</v>
      </c>
      <c r="B1481" s="47">
        <v>848.29751634896456</v>
      </c>
      <c r="C1481" s="46">
        <v>357.73725081916768</v>
      </c>
      <c r="D1481" s="1">
        <v>49</v>
      </c>
      <c r="E1481" s="1">
        <v>48</v>
      </c>
      <c r="F1481" s="1">
        <v>47</v>
      </c>
      <c r="G1481" s="1">
        <v>42</v>
      </c>
      <c r="H1481" s="1" t="s">
        <v>50</v>
      </c>
      <c r="I1481" s="1" t="s">
        <v>50</v>
      </c>
      <c r="J1481" s="1" t="s">
        <v>50</v>
      </c>
      <c r="K1481" s="1" t="s">
        <v>50</v>
      </c>
      <c r="L1481">
        <f t="shared" si="146"/>
        <v>224.72476401833561</v>
      </c>
      <c r="M1481">
        <f t="shared" si="151"/>
        <v>211.64363379024599</v>
      </c>
      <c r="N1481">
        <f t="shared" si="147"/>
        <v>341.491467583023</v>
      </c>
      <c r="O1481">
        <f t="shared" si="148"/>
        <v>211.53340681752402</v>
      </c>
      <c r="P1481" t="e">
        <f t="shared" si="149"/>
        <v>#N/A</v>
      </c>
      <c r="Q1481" t="e">
        <f t="shared" si="150"/>
        <v>#N/A</v>
      </c>
      <c r="U1481">
        <f>C1481/Navio!$J$4</f>
        <v>19.316282930869036</v>
      </c>
    </row>
    <row r="1482" spans="1:21" x14ac:dyDescent="0.3">
      <c r="A1482">
        <v>1480</v>
      </c>
      <c r="B1482" s="47">
        <v>736.62191791515443</v>
      </c>
      <c r="C1482" s="46">
        <v>354.98906434902381</v>
      </c>
      <c r="D1482" s="1">
        <v>45</v>
      </c>
      <c r="E1482" s="1">
        <v>48</v>
      </c>
      <c r="F1482" s="1">
        <v>44</v>
      </c>
      <c r="G1482" s="1">
        <v>43</v>
      </c>
      <c r="H1482" s="1" t="s">
        <v>50</v>
      </c>
      <c r="I1482" s="1" t="s">
        <v>50</v>
      </c>
      <c r="J1482" s="1" t="s">
        <v>50</v>
      </c>
      <c r="K1482" s="1" t="s">
        <v>50</v>
      </c>
      <c r="L1482">
        <f t="shared" si="146"/>
        <v>104.16132807466707</v>
      </c>
      <c r="M1482">
        <f t="shared" si="151"/>
        <v>211.64363379024599</v>
      </c>
      <c r="N1482">
        <f t="shared" si="147"/>
        <v>197.82461126156434</v>
      </c>
      <c r="O1482">
        <f t="shared" si="148"/>
        <v>364.08810064884096</v>
      </c>
      <c r="P1482" t="e">
        <f t="shared" si="149"/>
        <v>#N/A</v>
      </c>
      <c r="Q1482" t="e">
        <f t="shared" si="150"/>
        <v>#N/A</v>
      </c>
      <c r="U1482">
        <f>C1482/Navio!$J$4</f>
        <v>19.167892604498135</v>
      </c>
    </row>
    <row r="1483" spans="1:21" x14ac:dyDescent="0.3">
      <c r="A1483">
        <v>1481</v>
      </c>
      <c r="B1483" s="47">
        <v>890.79880400340801</v>
      </c>
      <c r="C1483" s="46">
        <v>359.07325977861763</v>
      </c>
      <c r="D1483" s="1">
        <v>45</v>
      </c>
      <c r="E1483" s="1">
        <v>49</v>
      </c>
      <c r="F1483" s="1">
        <v>44</v>
      </c>
      <c r="G1483" s="1">
        <v>43</v>
      </c>
      <c r="H1483" s="1" t="s">
        <v>50</v>
      </c>
      <c r="I1483" s="1" t="s">
        <v>50</v>
      </c>
      <c r="J1483" s="1" t="s">
        <v>50</v>
      </c>
      <c r="K1483" s="1" t="s">
        <v>50</v>
      </c>
      <c r="L1483">
        <f t="shared" si="146"/>
        <v>104.16132807466707</v>
      </c>
      <c r="M1483">
        <f t="shared" si="151"/>
        <v>224.72476401833561</v>
      </c>
      <c r="N1483">
        <f t="shared" si="147"/>
        <v>197.82461126156434</v>
      </c>
      <c r="O1483">
        <f t="shared" si="148"/>
        <v>364.08810064884096</v>
      </c>
      <c r="P1483" t="e">
        <f t="shared" si="149"/>
        <v>#N/A</v>
      </c>
      <c r="Q1483" t="e">
        <f t="shared" si="150"/>
        <v>#N/A</v>
      </c>
      <c r="U1483">
        <f>C1483/Navio!$J$4</f>
        <v>19.388421705905234</v>
      </c>
    </row>
    <row r="1484" spans="1:21" x14ac:dyDescent="0.3">
      <c r="A1484">
        <v>1482</v>
      </c>
      <c r="B1484" s="47">
        <v>896.19101427711973</v>
      </c>
      <c r="C1484" s="46">
        <v>354.91460227468758</v>
      </c>
      <c r="D1484" s="1">
        <v>46</v>
      </c>
      <c r="E1484" s="1">
        <v>48</v>
      </c>
      <c r="F1484" s="1">
        <v>44</v>
      </c>
      <c r="G1484" s="1">
        <v>43</v>
      </c>
      <c r="H1484" s="1" t="s">
        <v>50</v>
      </c>
      <c r="I1484" s="1" t="s">
        <v>50</v>
      </c>
      <c r="J1484" s="1" t="s">
        <v>50</v>
      </c>
      <c r="K1484" s="1" t="s">
        <v>50</v>
      </c>
      <c r="L1484">
        <f t="shared" si="146"/>
        <v>527.46084887326492</v>
      </c>
      <c r="M1484">
        <f t="shared" si="151"/>
        <v>211.64363379024599</v>
      </c>
      <c r="N1484">
        <f t="shared" si="147"/>
        <v>197.82461126156434</v>
      </c>
      <c r="O1484">
        <f t="shared" si="148"/>
        <v>364.08810064884096</v>
      </c>
      <c r="P1484" t="e">
        <f t="shared" si="149"/>
        <v>#N/A</v>
      </c>
      <c r="Q1484" t="e">
        <f t="shared" si="150"/>
        <v>#N/A</v>
      </c>
      <c r="U1484">
        <f>C1484/Navio!$J$4</f>
        <v>19.163871970660857</v>
      </c>
    </row>
    <row r="1485" spans="1:21" x14ac:dyDescent="0.3">
      <c r="A1485">
        <v>1483</v>
      </c>
      <c r="B1485" s="47">
        <v>857.18535385882296</v>
      </c>
      <c r="C1485" s="46">
        <v>359.03241376041308</v>
      </c>
      <c r="D1485" s="1">
        <v>48</v>
      </c>
      <c r="E1485" s="1">
        <v>49</v>
      </c>
      <c r="F1485" s="1">
        <v>44</v>
      </c>
      <c r="G1485" s="1">
        <v>43</v>
      </c>
      <c r="H1485" s="1" t="s">
        <v>50</v>
      </c>
      <c r="I1485" s="1" t="s">
        <v>50</v>
      </c>
      <c r="J1485" s="1" t="s">
        <v>50</v>
      </c>
      <c r="K1485" s="1" t="s">
        <v>50</v>
      </c>
      <c r="L1485">
        <f t="shared" ref="L1485:L1548" si="152">VLOOKUP(D1485,$Y$2:$Z$80,2)</f>
        <v>211.64363379024599</v>
      </c>
      <c r="M1485">
        <f t="shared" si="151"/>
        <v>224.72476401833561</v>
      </c>
      <c r="N1485">
        <f t="shared" ref="N1485:N1548" si="153">VLOOKUP(F1485,$Y$2:$Z$80,2)</f>
        <v>197.82461126156434</v>
      </c>
      <c r="O1485">
        <f t="shared" ref="O1485:O1548" si="154">VLOOKUP(G1485,$Y$2:$Z$80,2)</f>
        <v>364.08810064884096</v>
      </c>
      <c r="P1485" t="e">
        <f t="shared" ref="P1485:P1548" si="155">VLOOKUP(H1485,$Y$2:$Z$80,2)</f>
        <v>#N/A</v>
      </c>
      <c r="Q1485" t="e">
        <f t="shared" ref="Q1485:Q1548" si="156">VLOOKUP(I1485,$Y$2:$Z$80,2)</f>
        <v>#N/A</v>
      </c>
      <c r="U1485">
        <f>C1485/Navio!$J$4</f>
        <v>19.386216195457461</v>
      </c>
    </row>
    <row r="1486" spans="1:21" x14ac:dyDescent="0.3">
      <c r="A1486">
        <v>1484</v>
      </c>
      <c r="B1486" s="47">
        <v>802.52773109022246</v>
      </c>
      <c r="C1486" s="46">
        <v>355.68494244870357</v>
      </c>
      <c r="D1486" s="1">
        <v>45</v>
      </c>
      <c r="E1486" s="1">
        <v>46</v>
      </c>
      <c r="F1486" s="1">
        <v>48</v>
      </c>
      <c r="G1486" s="1">
        <v>43</v>
      </c>
      <c r="H1486" s="1" t="s">
        <v>50</v>
      </c>
      <c r="I1486" s="1" t="s">
        <v>50</v>
      </c>
      <c r="J1486" s="1" t="s">
        <v>50</v>
      </c>
      <c r="K1486" s="1" t="s">
        <v>50</v>
      </c>
      <c r="L1486">
        <f t="shared" si="152"/>
        <v>104.16132807466707</v>
      </c>
      <c r="M1486">
        <f t="shared" si="151"/>
        <v>527.46084887326492</v>
      </c>
      <c r="N1486">
        <f t="shared" si="153"/>
        <v>211.64363379024599</v>
      </c>
      <c r="O1486">
        <f t="shared" si="154"/>
        <v>364.08810064884096</v>
      </c>
      <c r="P1486" t="e">
        <f t="shared" si="155"/>
        <v>#N/A</v>
      </c>
      <c r="Q1486" t="e">
        <f t="shared" si="156"/>
        <v>#N/A</v>
      </c>
      <c r="U1486">
        <f>C1486/Navio!$J$4</f>
        <v>19.20546704838965</v>
      </c>
    </row>
    <row r="1487" spans="1:21" x14ac:dyDescent="0.3">
      <c r="A1487">
        <v>1485</v>
      </c>
      <c r="B1487" s="47">
        <v>880.28877423661299</v>
      </c>
      <c r="C1487" s="46">
        <v>354.80863860132001</v>
      </c>
      <c r="D1487" s="1">
        <v>45</v>
      </c>
      <c r="E1487" s="1">
        <v>47</v>
      </c>
      <c r="F1487" s="1">
        <v>48</v>
      </c>
      <c r="G1487" s="1">
        <v>43</v>
      </c>
      <c r="H1487" s="1" t="s">
        <v>50</v>
      </c>
      <c r="I1487" s="1" t="s">
        <v>50</v>
      </c>
      <c r="J1487" s="1" t="s">
        <v>50</v>
      </c>
      <c r="K1487" s="1" t="s">
        <v>50</v>
      </c>
      <c r="L1487">
        <f t="shared" si="152"/>
        <v>104.16132807466707</v>
      </c>
      <c r="M1487">
        <f t="shared" si="151"/>
        <v>341.491467583023</v>
      </c>
      <c r="N1487">
        <f t="shared" si="153"/>
        <v>211.64363379024599</v>
      </c>
      <c r="O1487">
        <f t="shared" si="154"/>
        <v>364.08810064884096</v>
      </c>
      <c r="P1487" t="e">
        <f t="shared" si="155"/>
        <v>#N/A</v>
      </c>
      <c r="Q1487" t="e">
        <f t="shared" si="156"/>
        <v>#N/A</v>
      </c>
      <c r="U1487">
        <f>C1487/Navio!$J$4</f>
        <v>19.158150385082404</v>
      </c>
    </row>
    <row r="1488" spans="1:21" x14ac:dyDescent="0.3">
      <c r="A1488">
        <v>1486</v>
      </c>
      <c r="B1488" s="47">
        <v>763.52207067192558</v>
      </c>
      <c r="C1488" s="46">
        <v>358.88376512750961</v>
      </c>
      <c r="D1488" s="1">
        <v>45</v>
      </c>
      <c r="E1488" s="1">
        <v>48</v>
      </c>
      <c r="F1488" s="1">
        <v>49</v>
      </c>
      <c r="G1488" s="1">
        <v>43</v>
      </c>
      <c r="H1488" s="1" t="s">
        <v>50</v>
      </c>
      <c r="I1488" s="1" t="s">
        <v>50</v>
      </c>
      <c r="J1488" s="1" t="s">
        <v>50</v>
      </c>
      <c r="K1488" s="1" t="s">
        <v>50</v>
      </c>
      <c r="L1488">
        <f t="shared" si="152"/>
        <v>104.16132807466707</v>
      </c>
      <c r="M1488">
        <f t="shared" si="151"/>
        <v>211.64363379024599</v>
      </c>
      <c r="N1488">
        <f t="shared" si="153"/>
        <v>224.72476401833561</v>
      </c>
      <c r="O1488">
        <f t="shared" si="154"/>
        <v>364.08810064884096</v>
      </c>
      <c r="P1488" t="e">
        <f t="shared" si="155"/>
        <v>#N/A</v>
      </c>
      <c r="Q1488" t="e">
        <f t="shared" si="156"/>
        <v>#N/A</v>
      </c>
      <c r="U1488">
        <f>C1488/Navio!$J$4</f>
        <v>19.378189804457151</v>
      </c>
    </row>
    <row r="1489" spans="1:21" x14ac:dyDescent="0.3">
      <c r="A1489">
        <v>1487</v>
      </c>
      <c r="B1489" s="47">
        <v>636.26424170294581</v>
      </c>
      <c r="C1489" s="46">
        <v>355.11931879319434</v>
      </c>
      <c r="D1489" s="1">
        <v>45</v>
      </c>
      <c r="E1489" s="1">
        <v>46</v>
      </c>
      <c r="F1489" s="1">
        <v>48</v>
      </c>
      <c r="G1489" s="1">
        <v>44</v>
      </c>
      <c r="H1489" s="1" t="s">
        <v>50</v>
      </c>
      <c r="I1489" s="1" t="s">
        <v>50</v>
      </c>
      <c r="J1489" s="1" t="s">
        <v>50</v>
      </c>
      <c r="K1489" s="1" t="s">
        <v>50</v>
      </c>
      <c r="L1489">
        <f t="shared" si="152"/>
        <v>104.16132807466707</v>
      </c>
      <c r="M1489">
        <f t="shared" si="151"/>
        <v>527.46084887326492</v>
      </c>
      <c r="N1489">
        <f t="shared" si="153"/>
        <v>211.64363379024599</v>
      </c>
      <c r="O1489">
        <f t="shared" si="154"/>
        <v>197.82461126156434</v>
      </c>
      <c r="P1489" t="e">
        <f t="shared" si="155"/>
        <v>#N/A</v>
      </c>
      <c r="Q1489" t="e">
        <f t="shared" si="156"/>
        <v>#N/A</v>
      </c>
      <c r="U1489">
        <f>C1489/Navio!$J$4</f>
        <v>19.174925787905341</v>
      </c>
    </row>
    <row r="1490" spans="1:21" x14ac:dyDescent="0.3">
      <c r="A1490">
        <v>1488</v>
      </c>
      <c r="B1490" s="47">
        <v>790.44112779119951</v>
      </c>
      <c r="C1490" s="46">
        <v>359.22982192891493</v>
      </c>
      <c r="D1490" s="1">
        <v>45</v>
      </c>
      <c r="E1490" s="1">
        <v>46</v>
      </c>
      <c r="F1490" s="1">
        <v>49</v>
      </c>
      <c r="G1490" s="1">
        <v>44</v>
      </c>
      <c r="H1490" s="1" t="s">
        <v>50</v>
      </c>
      <c r="I1490" s="1" t="s">
        <v>50</v>
      </c>
      <c r="J1490" s="1" t="s">
        <v>50</v>
      </c>
      <c r="K1490" s="1" t="s">
        <v>50</v>
      </c>
      <c r="L1490">
        <f t="shared" si="152"/>
        <v>104.16132807466707</v>
      </c>
      <c r="M1490">
        <f t="shared" si="151"/>
        <v>527.46084887326492</v>
      </c>
      <c r="N1490">
        <f t="shared" si="153"/>
        <v>224.72476401833561</v>
      </c>
      <c r="O1490">
        <f t="shared" si="154"/>
        <v>197.82461126156434</v>
      </c>
      <c r="P1490" t="e">
        <f t="shared" si="155"/>
        <v>#N/A</v>
      </c>
      <c r="Q1490" t="e">
        <f t="shared" si="156"/>
        <v>#N/A</v>
      </c>
      <c r="U1490">
        <f>C1490/Navio!$J$4</f>
        <v>19.396875393030303</v>
      </c>
    </row>
    <row r="1491" spans="1:21" x14ac:dyDescent="0.3">
      <c r="A1491">
        <v>1489</v>
      </c>
      <c r="B1491" s="47">
        <v>714.02528484933646</v>
      </c>
      <c r="C1491" s="46">
        <v>354.24301494581078</v>
      </c>
      <c r="D1491" s="1">
        <v>45</v>
      </c>
      <c r="E1491" s="1">
        <v>47</v>
      </c>
      <c r="F1491" s="1">
        <v>48</v>
      </c>
      <c r="G1491" s="1">
        <v>44</v>
      </c>
      <c r="H1491" s="1" t="s">
        <v>50</v>
      </c>
      <c r="I1491" s="1" t="s">
        <v>50</v>
      </c>
      <c r="J1491" s="1" t="s">
        <v>50</v>
      </c>
      <c r="K1491" s="1" t="s">
        <v>50</v>
      </c>
      <c r="L1491">
        <f t="shared" si="152"/>
        <v>104.16132807466707</v>
      </c>
      <c r="M1491">
        <f t="shared" si="151"/>
        <v>341.491467583023</v>
      </c>
      <c r="N1491">
        <f t="shared" si="153"/>
        <v>211.64363379024599</v>
      </c>
      <c r="O1491">
        <f t="shared" si="154"/>
        <v>197.82461126156434</v>
      </c>
      <c r="P1491" t="e">
        <f t="shared" si="155"/>
        <v>#N/A</v>
      </c>
      <c r="Q1491" t="e">
        <f t="shared" si="156"/>
        <v>#N/A</v>
      </c>
      <c r="U1491">
        <f>C1491/Navio!$J$4</f>
        <v>19.127609124598099</v>
      </c>
    </row>
    <row r="1492" spans="1:21" x14ac:dyDescent="0.3">
      <c r="A1492">
        <v>1490</v>
      </c>
      <c r="B1492" s="47">
        <v>868.20217093759004</v>
      </c>
      <c r="C1492" s="46">
        <v>358.36184341019077</v>
      </c>
      <c r="D1492" s="1">
        <v>45</v>
      </c>
      <c r="E1492" s="1">
        <v>47</v>
      </c>
      <c r="F1492" s="1">
        <v>49</v>
      </c>
      <c r="G1492" s="1">
        <v>44</v>
      </c>
      <c r="H1492" s="1" t="s">
        <v>50</v>
      </c>
      <c r="I1492" s="1" t="s">
        <v>50</v>
      </c>
      <c r="J1492" s="1" t="s">
        <v>50</v>
      </c>
      <c r="K1492" s="1" t="s">
        <v>50</v>
      </c>
      <c r="L1492">
        <f t="shared" si="152"/>
        <v>104.16132807466707</v>
      </c>
      <c r="M1492">
        <f t="shared" si="151"/>
        <v>341.491467583023</v>
      </c>
      <c r="N1492">
        <f t="shared" si="153"/>
        <v>224.72476401833561</v>
      </c>
      <c r="O1492">
        <f t="shared" si="154"/>
        <v>197.82461126156434</v>
      </c>
      <c r="P1492" t="e">
        <f t="shared" si="155"/>
        <v>#N/A</v>
      </c>
      <c r="Q1492" t="e">
        <f t="shared" si="156"/>
        <v>#N/A</v>
      </c>
      <c r="U1492">
        <f>C1492/Navio!$J$4</f>
        <v>19.350008261896487</v>
      </c>
    </row>
    <row r="1493" spans="1:21" x14ac:dyDescent="0.3">
      <c r="A1493">
        <v>1491</v>
      </c>
      <c r="B1493" s="47">
        <v>597.25858128464904</v>
      </c>
      <c r="C1493" s="46">
        <v>358.34806381072178</v>
      </c>
      <c r="D1493" s="1">
        <v>45</v>
      </c>
      <c r="E1493" s="1">
        <v>48</v>
      </c>
      <c r="F1493" s="1">
        <v>49</v>
      </c>
      <c r="G1493" s="1">
        <v>44</v>
      </c>
      <c r="H1493" s="1" t="s">
        <v>50</v>
      </c>
      <c r="I1493" s="1" t="s">
        <v>50</v>
      </c>
      <c r="J1493" s="1" t="s">
        <v>50</v>
      </c>
      <c r="K1493" s="1" t="s">
        <v>50</v>
      </c>
      <c r="L1493">
        <f t="shared" si="152"/>
        <v>104.16132807466707</v>
      </c>
      <c r="M1493">
        <f t="shared" si="151"/>
        <v>211.64363379024599</v>
      </c>
      <c r="N1493">
        <f t="shared" si="153"/>
        <v>224.72476401833561</v>
      </c>
      <c r="O1493">
        <f t="shared" si="154"/>
        <v>197.82461126156434</v>
      </c>
      <c r="P1493" t="e">
        <f t="shared" si="155"/>
        <v>#N/A</v>
      </c>
      <c r="Q1493" t="e">
        <f t="shared" si="156"/>
        <v>#N/A</v>
      </c>
      <c r="U1493">
        <f>C1493/Navio!$J$4</f>
        <v>19.34926422240547</v>
      </c>
    </row>
    <row r="1494" spans="1:21" x14ac:dyDescent="0.3">
      <c r="A1494">
        <v>1492</v>
      </c>
      <c r="B1494" s="47">
        <v>873.59438121130177</v>
      </c>
      <c r="C1494" s="46">
        <v>354.15609261022439</v>
      </c>
      <c r="D1494" s="1">
        <v>46</v>
      </c>
      <c r="E1494" s="1">
        <v>47</v>
      </c>
      <c r="F1494" s="1">
        <v>48</v>
      </c>
      <c r="G1494" s="1">
        <v>44</v>
      </c>
      <c r="H1494" s="1" t="s">
        <v>50</v>
      </c>
      <c r="I1494" s="1" t="s">
        <v>50</v>
      </c>
      <c r="J1494" s="1" t="s">
        <v>50</v>
      </c>
      <c r="K1494" s="1" t="s">
        <v>50</v>
      </c>
      <c r="L1494">
        <f t="shared" si="152"/>
        <v>527.46084887326492</v>
      </c>
      <c r="M1494">
        <f t="shared" si="151"/>
        <v>341.491467583023</v>
      </c>
      <c r="N1494">
        <f t="shared" si="153"/>
        <v>211.64363379024599</v>
      </c>
      <c r="O1494">
        <f t="shared" si="154"/>
        <v>197.82461126156434</v>
      </c>
      <c r="P1494" t="e">
        <f t="shared" si="155"/>
        <v>#N/A</v>
      </c>
      <c r="Q1494" t="e">
        <f t="shared" si="156"/>
        <v>#N/A</v>
      </c>
      <c r="U1494">
        <f>C1494/Navio!$J$4</f>
        <v>19.122915689896079</v>
      </c>
    </row>
    <row r="1495" spans="1:21" x14ac:dyDescent="0.3">
      <c r="A1495">
        <v>1493</v>
      </c>
      <c r="B1495" s="47">
        <v>756.82767764661435</v>
      </c>
      <c r="C1495" s="46">
        <v>358.27360173638556</v>
      </c>
      <c r="D1495" s="1">
        <v>46</v>
      </c>
      <c r="E1495" s="1">
        <v>48</v>
      </c>
      <c r="F1495" s="1">
        <v>49</v>
      </c>
      <c r="G1495" s="1">
        <v>44</v>
      </c>
      <c r="H1495" s="1" t="s">
        <v>50</v>
      </c>
      <c r="I1495" s="1" t="s">
        <v>50</v>
      </c>
      <c r="J1495" s="1" t="s">
        <v>50</v>
      </c>
      <c r="K1495" s="1" t="s">
        <v>50</v>
      </c>
      <c r="L1495">
        <f t="shared" si="152"/>
        <v>527.46084887326492</v>
      </c>
      <c r="M1495">
        <f t="shared" si="151"/>
        <v>211.64363379024599</v>
      </c>
      <c r="N1495">
        <f t="shared" si="153"/>
        <v>224.72476401833561</v>
      </c>
      <c r="O1495">
        <f t="shared" si="154"/>
        <v>197.82461126156434</v>
      </c>
      <c r="P1495" t="e">
        <f t="shared" si="155"/>
        <v>#N/A</v>
      </c>
      <c r="Q1495" t="e">
        <f t="shared" si="156"/>
        <v>#N/A</v>
      </c>
      <c r="U1495">
        <f>C1495/Navio!$J$4</f>
        <v>19.345243588568195</v>
      </c>
    </row>
    <row r="1496" spans="1:21" x14ac:dyDescent="0.3">
      <c r="A1496">
        <v>1494</v>
      </c>
      <c r="B1496" s="47">
        <v>834.588720793005</v>
      </c>
      <c r="C1496" s="46">
        <v>358.27280584459675</v>
      </c>
      <c r="D1496" s="1">
        <v>47</v>
      </c>
      <c r="E1496" s="1">
        <v>48</v>
      </c>
      <c r="F1496" s="1">
        <v>49</v>
      </c>
      <c r="G1496" s="1">
        <v>44</v>
      </c>
      <c r="H1496" s="1" t="s">
        <v>50</v>
      </c>
      <c r="I1496" s="1" t="s">
        <v>50</v>
      </c>
      <c r="J1496" s="1" t="s">
        <v>50</v>
      </c>
      <c r="K1496" s="1" t="s">
        <v>50</v>
      </c>
      <c r="L1496">
        <f t="shared" si="152"/>
        <v>341.491467583023</v>
      </c>
      <c r="M1496">
        <f t="shared" si="151"/>
        <v>211.64363379024599</v>
      </c>
      <c r="N1496">
        <f t="shared" si="153"/>
        <v>224.72476401833561</v>
      </c>
      <c r="O1496">
        <f t="shared" si="154"/>
        <v>197.82461126156434</v>
      </c>
      <c r="P1496" t="e">
        <f t="shared" si="155"/>
        <v>#N/A</v>
      </c>
      <c r="Q1496" t="e">
        <f t="shared" si="156"/>
        <v>#N/A</v>
      </c>
      <c r="U1496">
        <f>C1496/Navio!$J$4</f>
        <v>19.345200613812448</v>
      </c>
    </row>
    <row r="1497" spans="1:21" x14ac:dyDescent="0.3">
      <c r="A1497">
        <v>1495</v>
      </c>
      <c r="B1497" s="47">
        <v>779.93109802440449</v>
      </c>
      <c r="C1497" s="46">
        <v>353.56453297419574</v>
      </c>
      <c r="D1497" s="1">
        <v>46</v>
      </c>
      <c r="E1497" s="1">
        <v>47</v>
      </c>
      <c r="F1497" s="1">
        <v>48</v>
      </c>
      <c r="G1497" s="1">
        <v>45</v>
      </c>
      <c r="H1497" s="1" t="s">
        <v>50</v>
      </c>
      <c r="I1497" s="1" t="s">
        <v>50</v>
      </c>
      <c r="J1497" s="1" t="s">
        <v>50</v>
      </c>
      <c r="K1497" s="1" t="s">
        <v>50</v>
      </c>
      <c r="L1497">
        <f t="shared" si="152"/>
        <v>527.46084887326492</v>
      </c>
      <c r="M1497">
        <f t="shared" si="151"/>
        <v>341.491467583023</v>
      </c>
      <c r="N1497">
        <f t="shared" si="153"/>
        <v>211.64363379024599</v>
      </c>
      <c r="O1497">
        <f t="shared" si="154"/>
        <v>104.16132807466707</v>
      </c>
      <c r="P1497" t="e">
        <f t="shared" si="155"/>
        <v>#N/A</v>
      </c>
      <c r="Q1497" t="e">
        <f t="shared" si="156"/>
        <v>#N/A</v>
      </c>
      <c r="U1497">
        <f>C1497/Navio!$J$4</f>
        <v>19.090973997288319</v>
      </c>
    </row>
    <row r="1498" spans="1:21" x14ac:dyDescent="0.3">
      <c r="A1498">
        <v>1496</v>
      </c>
      <c r="B1498" s="47">
        <v>663.16439445971719</v>
      </c>
      <c r="C1498" s="46">
        <v>357.68407400394034</v>
      </c>
      <c r="D1498" s="1">
        <v>46</v>
      </c>
      <c r="E1498" s="1">
        <v>48</v>
      </c>
      <c r="F1498" s="1">
        <v>49</v>
      </c>
      <c r="G1498" s="1">
        <v>45</v>
      </c>
      <c r="H1498" s="1" t="s">
        <v>50</v>
      </c>
      <c r="I1498" s="1" t="s">
        <v>50</v>
      </c>
      <c r="J1498" s="1" t="s">
        <v>50</v>
      </c>
      <c r="K1498" s="1" t="s">
        <v>50</v>
      </c>
      <c r="L1498">
        <f t="shared" si="152"/>
        <v>527.46084887326492</v>
      </c>
      <c r="M1498">
        <f t="shared" si="151"/>
        <v>211.64363379024599</v>
      </c>
      <c r="N1498">
        <f t="shared" si="153"/>
        <v>224.72476401833561</v>
      </c>
      <c r="O1498">
        <f t="shared" si="154"/>
        <v>104.16132807466707</v>
      </c>
      <c r="P1498" t="e">
        <f t="shared" si="155"/>
        <v>#N/A</v>
      </c>
      <c r="Q1498" t="e">
        <f t="shared" si="156"/>
        <v>#N/A</v>
      </c>
      <c r="U1498">
        <f>C1498/Navio!$J$4</f>
        <v>19.313411610071604</v>
      </c>
    </row>
    <row r="1499" spans="1:21" x14ac:dyDescent="0.3">
      <c r="A1499">
        <v>1497</v>
      </c>
      <c r="B1499" s="47">
        <v>740.92543760610761</v>
      </c>
      <c r="C1499" s="46">
        <v>357.68327811215158</v>
      </c>
      <c r="D1499" s="1">
        <v>47</v>
      </c>
      <c r="E1499" s="1">
        <v>48</v>
      </c>
      <c r="F1499" s="1">
        <v>49</v>
      </c>
      <c r="G1499" s="1">
        <v>45</v>
      </c>
      <c r="H1499" s="1" t="s">
        <v>50</v>
      </c>
      <c r="I1499" s="1" t="s">
        <v>50</v>
      </c>
      <c r="J1499" s="1" t="s">
        <v>50</v>
      </c>
      <c r="K1499" s="1" t="s">
        <v>50</v>
      </c>
      <c r="L1499">
        <f t="shared" si="152"/>
        <v>341.491467583023</v>
      </c>
      <c r="M1499">
        <f t="shared" si="151"/>
        <v>211.64363379024599</v>
      </c>
      <c r="N1499">
        <f t="shared" si="153"/>
        <v>224.72476401833561</v>
      </c>
      <c r="O1499">
        <f t="shared" si="154"/>
        <v>104.16132807466707</v>
      </c>
      <c r="P1499" t="e">
        <f t="shared" si="155"/>
        <v>#N/A</v>
      </c>
      <c r="Q1499" t="e">
        <f t="shared" si="156"/>
        <v>#N/A</v>
      </c>
      <c r="U1499">
        <f>C1499/Navio!$J$4</f>
        <v>19.313368635315861</v>
      </c>
    </row>
    <row r="1500" spans="1:21" x14ac:dyDescent="0.3">
      <c r="A1500">
        <v>1498</v>
      </c>
      <c r="B1500" s="47">
        <v>847.79764852046992</v>
      </c>
      <c r="C1500" s="46">
        <v>355.58128031374383</v>
      </c>
      <c r="D1500" s="1">
        <v>44</v>
      </c>
      <c r="E1500" s="1">
        <v>48</v>
      </c>
      <c r="F1500" s="1">
        <v>45</v>
      </c>
      <c r="G1500" s="1">
        <v>46</v>
      </c>
      <c r="H1500" s="1">
        <v>42</v>
      </c>
      <c r="I1500" s="1" t="s">
        <v>50</v>
      </c>
      <c r="J1500" s="1" t="s">
        <v>50</v>
      </c>
      <c r="K1500" s="1" t="s">
        <v>50</v>
      </c>
      <c r="L1500">
        <f t="shared" si="152"/>
        <v>197.82461126156434</v>
      </c>
      <c r="M1500">
        <f t="shared" si="151"/>
        <v>211.64363379024599</v>
      </c>
      <c r="N1500">
        <f t="shared" si="153"/>
        <v>104.16132807466707</v>
      </c>
      <c r="O1500">
        <f t="shared" si="154"/>
        <v>527.46084887326492</v>
      </c>
      <c r="P1500">
        <f t="shared" si="155"/>
        <v>211.53340681752402</v>
      </c>
      <c r="Q1500" t="e">
        <f t="shared" si="156"/>
        <v>#N/A</v>
      </c>
      <c r="U1500">
        <f>C1500/Navio!$J$4</f>
        <v>19.199869736050733</v>
      </c>
    </row>
    <row r="1501" spans="1:21" x14ac:dyDescent="0.3">
      <c r="A1501">
        <v>1499</v>
      </c>
      <c r="B1501" s="47">
        <v>808.79198810217304</v>
      </c>
      <c r="C1501" s="46">
        <v>358.82094562624252</v>
      </c>
      <c r="D1501" s="1">
        <v>45</v>
      </c>
      <c r="E1501" s="1">
        <v>48</v>
      </c>
      <c r="F1501" s="1">
        <v>49</v>
      </c>
      <c r="G1501" s="1">
        <v>44</v>
      </c>
      <c r="H1501" s="1">
        <v>42</v>
      </c>
      <c r="I1501" s="1" t="s">
        <v>50</v>
      </c>
      <c r="J1501" s="1" t="s">
        <v>50</v>
      </c>
      <c r="K1501" s="1" t="s">
        <v>50</v>
      </c>
      <c r="L1501">
        <f t="shared" si="152"/>
        <v>104.16132807466707</v>
      </c>
      <c r="M1501">
        <f t="shared" si="151"/>
        <v>211.64363379024599</v>
      </c>
      <c r="N1501">
        <f t="shared" si="153"/>
        <v>224.72476401833561</v>
      </c>
      <c r="O1501">
        <f t="shared" si="154"/>
        <v>197.82461126156434</v>
      </c>
      <c r="P1501">
        <f t="shared" si="155"/>
        <v>211.53340681752402</v>
      </c>
      <c r="Q1501" t="e">
        <f t="shared" si="156"/>
        <v>#N/A</v>
      </c>
      <c r="U1501">
        <f>C1501/Navio!$J$4</f>
        <v>19.374797819816827</v>
      </c>
    </row>
    <row r="1502" spans="1:21" x14ac:dyDescent="0.3">
      <c r="A1502">
        <v>1500</v>
      </c>
      <c r="B1502" s="47">
        <v>874.69780127724118</v>
      </c>
      <c r="C1502" s="46">
        <v>357.92018449567314</v>
      </c>
      <c r="D1502" s="1">
        <v>45</v>
      </c>
      <c r="E1502" s="1">
        <v>49</v>
      </c>
      <c r="F1502" s="1">
        <v>48</v>
      </c>
      <c r="G1502" s="1">
        <v>46</v>
      </c>
      <c r="H1502" s="1">
        <v>42</v>
      </c>
      <c r="I1502" s="1" t="s">
        <v>50</v>
      </c>
      <c r="J1502" s="1" t="s">
        <v>50</v>
      </c>
      <c r="K1502" s="1" t="s">
        <v>50</v>
      </c>
      <c r="L1502">
        <f t="shared" si="152"/>
        <v>104.16132807466707</v>
      </c>
      <c r="M1502">
        <f t="shared" si="151"/>
        <v>224.72476401833561</v>
      </c>
      <c r="N1502">
        <f t="shared" si="153"/>
        <v>211.64363379024599</v>
      </c>
      <c r="O1502">
        <f t="shared" si="154"/>
        <v>527.46084887326492</v>
      </c>
      <c r="P1502">
        <f t="shared" si="155"/>
        <v>211.53340681752402</v>
      </c>
      <c r="Q1502" t="e">
        <f t="shared" si="156"/>
        <v>#N/A</v>
      </c>
      <c r="U1502">
        <f>C1502/Navio!$J$4</f>
        <v>19.326160567723662</v>
      </c>
    </row>
    <row r="1503" spans="1:21" x14ac:dyDescent="0.3">
      <c r="A1503">
        <v>1501</v>
      </c>
      <c r="B1503" s="47">
        <v>860.9890057212815</v>
      </c>
      <c r="C1503" s="46">
        <v>359.2388003364041</v>
      </c>
      <c r="D1503" s="1">
        <v>45</v>
      </c>
      <c r="E1503" s="1">
        <v>46</v>
      </c>
      <c r="F1503" s="1">
        <v>48</v>
      </c>
      <c r="G1503" s="1">
        <v>49</v>
      </c>
      <c r="H1503" s="1">
        <v>44</v>
      </c>
      <c r="I1503" s="1" t="s">
        <v>50</v>
      </c>
      <c r="J1503" s="1" t="s">
        <v>50</v>
      </c>
      <c r="K1503" s="1" t="s">
        <v>50</v>
      </c>
      <c r="L1503">
        <f t="shared" si="152"/>
        <v>104.16132807466707</v>
      </c>
      <c r="M1503">
        <f t="shared" si="151"/>
        <v>527.46084887326492</v>
      </c>
      <c r="N1503">
        <f t="shared" si="153"/>
        <v>211.64363379024599</v>
      </c>
      <c r="O1503">
        <f t="shared" si="154"/>
        <v>224.72476401833561</v>
      </c>
      <c r="P1503">
        <f t="shared" si="155"/>
        <v>197.82461126156434</v>
      </c>
      <c r="Q1503" t="e">
        <f t="shared" si="156"/>
        <v>#N/A</v>
      </c>
      <c r="U1503">
        <f>C1503/Navio!$J$4</f>
        <v>19.397360188669929</v>
      </c>
    </row>
    <row r="1504" spans="1:21" x14ac:dyDescent="0.3">
      <c r="A1504">
        <v>1502</v>
      </c>
      <c r="B1504" s="47">
        <v>99.353565178501128</v>
      </c>
      <c r="C1504" s="46">
        <v>341.11776826966502</v>
      </c>
      <c r="D1504" s="1">
        <v>50</v>
      </c>
      <c r="E1504" s="1" t="s">
        <v>50</v>
      </c>
      <c r="F1504" s="1" t="s">
        <v>50</v>
      </c>
      <c r="G1504" s="1" t="s">
        <v>50</v>
      </c>
      <c r="H1504" s="1" t="s">
        <v>50</v>
      </c>
      <c r="I1504" s="1" t="s">
        <v>50</v>
      </c>
      <c r="J1504" s="1" t="s">
        <v>50</v>
      </c>
      <c r="K1504" s="1" t="s">
        <v>50</v>
      </c>
      <c r="L1504">
        <f t="shared" si="152"/>
        <v>99.353565178501128</v>
      </c>
      <c r="M1504" t="e">
        <f t="shared" si="151"/>
        <v>#N/A</v>
      </c>
      <c r="N1504" t="e">
        <f t="shared" si="153"/>
        <v>#N/A</v>
      </c>
      <c r="O1504" t="e">
        <f t="shared" si="154"/>
        <v>#N/A</v>
      </c>
      <c r="P1504" t="e">
        <f t="shared" si="155"/>
        <v>#N/A</v>
      </c>
      <c r="Q1504" t="e">
        <f t="shared" si="156"/>
        <v>#N/A</v>
      </c>
      <c r="S1504" s="48">
        <f>B1504-L1504</f>
        <v>0</v>
      </c>
      <c r="U1504">
        <f>C1504/Navio!$J$4</f>
        <v>18.418901888342074</v>
      </c>
    </row>
    <row r="1505" spans="1:21" x14ac:dyDescent="0.3">
      <c r="A1505">
        <v>1503</v>
      </c>
      <c r="B1505" s="47">
        <v>100.96468435237094</v>
      </c>
      <c r="C1505" s="46">
        <v>342.64967060851734</v>
      </c>
      <c r="D1505" s="1">
        <v>51</v>
      </c>
      <c r="E1505" s="1" t="s">
        <v>50</v>
      </c>
      <c r="F1505" s="1" t="s">
        <v>50</v>
      </c>
      <c r="G1505" s="1" t="s">
        <v>50</v>
      </c>
      <c r="H1505" s="1" t="s">
        <v>50</v>
      </c>
      <c r="I1505" s="1" t="s">
        <v>50</v>
      </c>
      <c r="J1505" s="1" t="s">
        <v>50</v>
      </c>
      <c r="K1505" s="1" t="s">
        <v>50</v>
      </c>
      <c r="L1505">
        <f t="shared" si="152"/>
        <v>100.96468435237094</v>
      </c>
      <c r="M1505" t="e">
        <f t="shared" si="151"/>
        <v>#N/A</v>
      </c>
      <c r="N1505" t="e">
        <f t="shared" si="153"/>
        <v>#N/A</v>
      </c>
      <c r="O1505" t="e">
        <f t="shared" si="154"/>
        <v>#N/A</v>
      </c>
      <c r="P1505" t="e">
        <f t="shared" si="155"/>
        <v>#N/A</v>
      </c>
      <c r="Q1505" t="e">
        <f t="shared" si="156"/>
        <v>#N/A</v>
      </c>
      <c r="S1505" s="48">
        <f t="shared" ref="S1505:S1513" si="157">B1505-L1505</f>
        <v>0</v>
      </c>
      <c r="U1505">
        <f>C1505/Navio!$J$4</f>
        <v>18.501618068812441</v>
      </c>
    </row>
    <row r="1506" spans="1:21" x14ac:dyDescent="0.3">
      <c r="A1506">
        <v>1504</v>
      </c>
      <c r="B1506" s="47">
        <v>169.3516454756429</v>
      </c>
      <c r="C1506" s="46">
        <v>345.31473105932571</v>
      </c>
      <c r="D1506" s="1">
        <v>52</v>
      </c>
      <c r="E1506" s="1" t="s">
        <v>50</v>
      </c>
      <c r="F1506" s="1" t="s">
        <v>50</v>
      </c>
      <c r="G1506" s="1" t="s">
        <v>50</v>
      </c>
      <c r="H1506" s="1" t="s">
        <v>50</v>
      </c>
      <c r="I1506" s="1" t="s">
        <v>50</v>
      </c>
      <c r="J1506" s="1" t="s">
        <v>50</v>
      </c>
      <c r="K1506" s="1" t="s">
        <v>50</v>
      </c>
      <c r="L1506">
        <f t="shared" si="152"/>
        <v>169.3516454756429</v>
      </c>
      <c r="M1506" t="e">
        <f t="shared" si="151"/>
        <v>#N/A</v>
      </c>
      <c r="N1506" t="e">
        <f t="shared" si="153"/>
        <v>#N/A</v>
      </c>
      <c r="O1506" t="e">
        <f t="shared" si="154"/>
        <v>#N/A</v>
      </c>
      <c r="P1506" t="e">
        <f t="shared" si="155"/>
        <v>#N/A</v>
      </c>
      <c r="Q1506" t="e">
        <f t="shared" si="156"/>
        <v>#N/A</v>
      </c>
      <c r="S1506" s="48">
        <f t="shared" si="157"/>
        <v>0</v>
      </c>
      <c r="U1506">
        <f>C1506/Navio!$J$4</f>
        <v>18.645519945337192</v>
      </c>
    </row>
    <row r="1507" spans="1:21" x14ac:dyDescent="0.3">
      <c r="A1507">
        <v>1505</v>
      </c>
      <c r="B1507" s="47">
        <v>400.84350127536862</v>
      </c>
      <c r="C1507" s="46">
        <v>349.26720379252805</v>
      </c>
      <c r="D1507" s="1">
        <v>53</v>
      </c>
      <c r="E1507" s="1" t="s">
        <v>50</v>
      </c>
      <c r="F1507" s="1" t="s">
        <v>50</v>
      </c>
      <c r="G1507" s="1" t="s">
        <v>50</v>
      </c>
      <c r="H1507" s="1" t="s">
        <v>50</v>
      </c>
      <c r="I1507" s="1" t="s">
        <v>50</v>
      </c>
      <c r="J1507" s="1" t="s">
        <v>50</v>
      </c>
      <c r="K1507" s="1" t="s">
        <v>50</v>
      </c>
      <c r="L1507">
        <f t="shared" si="152"/>
        <v>400.84350127536862</v>
      </c>
      <c r="M1507" t="e">
        <f t="shared" si="151"/>
        <v>#N/A</v>
      </c>
      <c r="N1507" t="e">
        <f t="shared" si="153"/>
        <v>#N/A</v>
      </c>
      <c r="O1507" t="e">
        <f t="shared" si="154"/>
        <v>#N/A</v>
      </c>
      <c r="P1507" t="e">
        <f t="shared" si="155"/>
        <v>#N/A</v>
      </c>
      <c r="Q1507" t="e">
        <f t="shared" si="156"/>
        <v>#N/A</v>
      </c>
      <c r="S1507" s="48">
        <f t="shared" si="157"/>
        <v>0</v>
      </c>
      <c r="U1507">
        <f>C1507/Navio!$J$4</f>
        <v>18.858936583991003</v>
      </c>
    </row>
    <row r="1508" spans="1:21" x14ac:dyDescent="0.3">
      <c r="A1508">
        <v>1506</v>
      </c>
      <c r="B1508" s="47">
        <v>497.09146032949423</v>
      </c>
      <c r="C1508" s="46">
        <v>351.10866092470928</v>
      </c>
      <c r="D1508" s="1">
        <v>54</v>
      </c>
      <c r="E1508" s="1" t="s">
        <v>50</v>
      </c>
      <c r="F1508" s="1" t="s">
        <v>50</v>
      </c>
      <c r="G1508" s="1" t="s">
        <v>50</v>
      </c>
      <c r="H1508" s="1" t="s">
        <v>50</v>
      </c>
      <c r="I1508" s="1" t="s">
        <v>50</v>
      </c>
      <c r="J1508" s="1" t="s">
        <v>50</v>
      </c>
      <c r="K1508" s="1" t="s">
        <v>50</v>
      </c>
      <c r="L1508">
        <f t="shared" si="152"/>
        <v>497.09146032949423</v>
      </c>
      <c r="M1508" t="e">
        <f t="shared" si="151"/>
        <v>#N/A</v>
      </c>
      <c r="N1508" t="e">
        <f t="shared" si="153"/>
        <v>#N/A</v>
      </c>
      <c r="O1508" t="e">
        <f t="shared" si="154"/>
        <v>#N/A</v>
      </c>
      <c r="P1508" t="e">
        <f t="shared" si="155"/>
        <v>#N/A</v>
      </c>
      <c r="Q1508" t="e">
        <f t="shared" si="156"/>
        <v>#N/A</v>
      </c>
      <c r="S1508" s="48">
        <f t="shared" si="157"/>
        <v>0</v>
      </c>
      <c r="U1508">
        <f>C1508/Navio!$J$4</f>
        <v>18.958367400571689</v>
      </c>
    </row>
    <row r="1509" spans="1:21" x14ac:dyDescent="0.3">
      <c r="A1509">
        <v>1507</v>
      </c>
      <c r="B1509" s="47">
        <v>195.4263682263873</v>
      </c>
      <c r="C1509" s="46">
        <v>361.13131247159589</v>
      </c>
      <c r="D1509" s="1">
        <v>55</v>
      </c>
      <c r="E1509" s="1" t="s">
        <v>50</v>
      </c>
      <c r="F1509" s="1" t="s">
        <v>50</v>
      </c>
      <c r="G1509" s="1" t="s">
        <v>50</v>
      </c>
      <c r="H1509" s="1" t="s">
        <v>50</v>
      </c>
      <c r="I1509" s="1" t="s">
        <v>50</v>
      </c>
      <c r="J1509" s="1" t="s">
        <v>50</v>
      </c>
      <c r="K1509" s="1" t="s">
        <v>50</v>
      </c>
      <c r="L1509">
        <f t="shared" si="152"/>
        <v>195.4263682263873</v>
      </c>
      <c r="M1509" t="e">
        <f t="shared" si="151"/>
        <v>#N/A</v>
      </c>
      <c r="N1509" t="e">
        <f t="shared" si="153"/>
        <v>#N/A</v>
      </c>
      <c r="O1509" t="e">
        <f t="shared" si="154"/>
        <v>#N/A</v>
      </c>
      <c r="P1509" t="e">
        <f t="shared" si="155"/>
        <v>#N/A</v>
      </c>
      <c r="Q1509" t="e">
        <f t="shared" si="156"/>
        <v>#N/A</v>
      </c>
      <c r="S1509" s="48">
        <f t="shared" si="157"/>
        <v>0</v>
      </c>
      <c r="U1509">
        <f>C1509/Navio!$J$4</f>
        <v>19.499547757254859</v>
      </c>
    </row>
    <row r="1510" spans="1:21" x14ac:dyDescent="0.3">
      <c r="A1510">
        <v>1508</v>
      </c>
      <c r="B1510" s="47">
        <v>437.06154465065606</v>
      </c>
      <c r="C1510" s="46">
        <v>369.28314500264059</v>
      </c>
      <c r="D1510" s="1">
        <v>56</v>
      </c>
      <c r="E1510" s="1" t="s">
        <v>50</v>
      </c>
      <c r="F1510" s="1" t="s">
        <v>50</v>
      </c>
      <c r="G1510" s="1" t="s">
        <v>50</v>
      </c>
      <c r="H1510" s="1" t="s">
        <v>50</v>
      </c>
      <c r="I1510" s="1" t="s">
        <v>50</v>
      </c>
      <c r="J1510" s="1" t="s">
        <v>50</v>
      </c>
      <c r="K1510" s="1" t="s">
        <v>50</v>
      </c>
      <c r="L1510">
        <f t="shared" si="152"/>
        <v>437.06154465065606</v>
      </c>
      <c r="M1510" t="e">
        <f t="shared" si="151"/>
        <v>#N/A</v>
      </c>
      <c r="N1510" t="e">
        <f t="shared" si="153"/>
        <v>#N/A</v>
      </c>
      <c r="O1510" t="e">
        <f t="shared" si="154"/>
        <v>#N/A</v>
      </c>
      <c r="P1510" t="e">
        <f t="shared" si="155"/>
        <v>#N/A</v>
      </c>
      <c r="Q1510" t="e">
        <f t="shared" si="156"/>
        <v>#N/A</v>
      </c>
      <c r="S1510" s="48">
        <f t="shared" si="157"/>
        <v>0</v>
      </c>
      <c r="U1510">
        <f>C1510/Navio!$J$4</f>
        <v>19.939711881103168</v>
      </c>
    </row>
    <row r="1511" spans="1:21" x14ac:dyDescent="0.3">
      <c r="A1511">
        <v>1509</v>
      </c>
      <c r="B1511" s="47">
        <v>243.42490578966306</v>
      </c>
      <c r="C1511" s="46">
        <v>374.56865744865223</v>
      </c>
      <c r="D1511" s="1">
        <v>57</v>
      </c>
      <c r="E1511" s="1" t="s">
        <v>50</v>
      </c>
      <c r="F1511" s="1" t="s">
        <v>50</v>
      </c>
      <c r="G1511" s="1" t="s">
        <v>50</v>
      </c>
      <c r="H1511" s="1" t="s">
        <v>50</v>
      </c>
      <c r="I1511" s="1" t="s">
        <v>50</v>
      </c>
      <c r="J1511" s="1" t="s">
        <v>50</v>
      </c>
      <c r="K1511" s="1" t="s">
        <v>50</v>
      </c>
      <c r="L1511">
        <f t="shared" si="152"/>
        <v>243.42490578966306</v>
      </c>
      <c r="M1511" t="e">
        <f t="shared" si="151"/>
        <v>#N/A</v>
      </c>
      <c r="N1511" t="e">
        <f t="shared" si="153"/>
        <v>#N/A</v>
      </c>
      <c r="O1511" t="e">
        <f t="shared" si="154"/>
        <v>#N/A</v>
      </c>
      <c r="P1511" t="e">
        <f t="shared" si="155"/>
        <v>#N/A</v>
      </c>
      <c r="Q1511" t="e">
        <f t="shared" si="156"/>
        <v>#N/A</v>
      </c>
      <c r="S1511" s="48">
        <f t="shared" si="157"/>
        <v>0</v>
      </c>
      <c r="U1511">
        <f>C1511/Navio!$J$4</f>
        <v>20.225106968162187</v>
      </c>
    </row>
    <row r="1512" spans="1:21" x14ac:dyDescent="0.3">
      <c r="A1512">
        <v>1510</v>
      </c>
      <c r="B1512" s="47">
        <v>42.087084846232365</v>
      </c>
      <c r="C1512" s="46">
        <v>385.83143055148378</v>
      </c>
      <c r="D1512" s="1">
        <v>58</v>
      </c>
      <c r="E1512" s="1" t="s">
        <v>50</v>
      </c>
      <c r="F1512" s="1" t="s">
        <v>50</v>
      </c>
      <c r="G1512" s="1" t="s">
        <v>50</v>
      </c>
      <c r="H1512" s="1" t="s">
        <v>50</v>
      </c>
      <c r="I1512" s="1" t="s">
        <v>50</v>
      </c>
      <c r="J1512" s="1" t="s">
        <v>50</v>
      </c>
      <c r="K1512" s="1" t="s">
        <v>50</v>
      </c>
      <c r="L1512">
        <f t="shared" si="152"/>
        <v>126.26125453869709</v>
      </c>
      <c r="M1512" t="e">
        <f t="shared" si="151"/>
        <v>#N/A</v>
      </c>
      <c r="N1512" t="e">
        <f t="shared" si="153"/>
        <v>#N/A</v>
      </c>
      <c r="O1512" t="e">
        <f t="shared" si="154"/>
        <v>#N/A</v>
      </c>
      <c r="P1512" t="e">
        <f t="shared" si="155"/>
        <v>#N/A</v>
      </c>
      <c r="Q1512" t="e">
        <f t="shared" si="156"/>
        <v>#N/A</v>
      </c>
      <c r="S1512" s="48">
        <f t="shared" si="157"/>
        <v>-84.174169692464716</v>
      </c>
      <c r="U1512">
        <f>C1512/Navio!$J$4</f>
        <v>20.833248589819718</v>
      </c>
    </row>
    <row r="1513" spans="1:21" x14ac:dyDescent="0.3">
      <c r="A1513">
        <v>1511</v>
      </c>
      <c r="B1513" s="47">
        <v>262.49840422364741</v>
      </c>
      <c r="C1513" s="46">
        <v>385.46182109458283</v>
      </c>
      <c r="D1513" s="1">
        <v>59</v>
      </c>
      <c r="E1513" s="1" t="s">
        <v>50</v>
      </c>
      <c r="F1513" s="1" t="s">
        <v>50</v>
      </c>
      <c r="G1513" s="1" t="s">
        <v>50</v>
      </c>
      <c r="H1513" s="1" t="s">
        <v>50</v>
      </c>
      <c r="I1513" s="1" t="s">
        <v>50</v>
      </c>
      <c r="J1513" s="1" t="s">
        <v>50</v>
      </c>
      <c r="K1513" s="1" t="s">
        <v>50</v>
      </c>
      <c r="L1513">
        <f t="shared" si="152"/>
        <v>262.49840422364741</v>
      </c>
      <c r="M1513" t="e">
        <f t="shared" si="151"/>
        <v>#N/A</v>
      </c>
      <c r="N1513" t="e">
        <f t="shared" si="153"/>
        <v>#N/A</v>
      </c>
      <c r="O1513" t="e">
        <f t="shared" si="154"/>
        <v>#N/A</v>
      </c>
      <c r="P1513" t="e">
        <f t="shared" si="155"/>
        <v>#N/A</v>
      </c>
      <c r="Q1513" t="e">
        <f t="shared" si="156"/>
        <v>#N/A</v>
      </c>
      <c r="S1513" s="48">
        <f t="shared" si="157"/>
        <v>0</v>
      </c>
      <c r="U1513">
        <f>C1513/Navio!$J$4</f>
        <v>20.813291258490441</v>
      </c>
    </row>
    <row r="1514" spans="1:21" x14ac:dyDescent="0.3">
      <c r="A1514">
        <v>1512</v>
      </c>
      <c r="B1514" s="47">
        <v>200.31824953087207</v>
      </c>
      <c r="C1514" s="46">
        <v>346.02392355348502</v>
      </c>
      <c r="D1514" s="1">
        <v>50</v>
      </c>
      <c r="E1514" s="1">
        <v>51</v>
      </c>
      <c r="F1514" s="1" t="s">
        <v>50</v>
      </c>
      <c r="G1514" s="1" t="s">
        <v>50</v>
      </c>
      <c r="H1514" s="1" t="s">
        <v>50</v>
      </c>
      <c r="I1514" s="1" t="s">
        <v>50</v>
      </c>
      <c r="J1514" s="1" t="s">
        <v>50</v>
      </c>
      <c r="K1514" s="1" t="s">
        <v>50</v>
      </c>
      <c r="L1514">
        <f t="shared" si="152"/>
        <v>99.353565178501128</v>
      </c>
      <c r="M1514">
        <f t="shared" si="151"/>
        <v>100.96468435237094</v>
      </c>
      <c r="N1514" t="e">
        <f t="shared" si="153"/>
        <v>#N/A</v>
      </c>
      <c r="O1514" t="e">
        <f t="shared" si="154"/>
        <v>#N/A</v>
      </c>
      <c r="P1514" t="e">
        <f t="shared" si="155"/>
        <v>#N/A</v>
      </c>
      <c r="Q1514" t="e">
        <f t="shared" si="156"/>
        <v>#N/A</v>
      </c>
      <c r="S1514" s="48"/>
      <c r="U1514">
        <f>C1514/Navio!$J$4</f>
        <v>18.683813309638118</v>
      </c>
    </row>
    <row r="1515" spans="1:21" x14ac:dyDescent="0.3">
      <c r="A1515">
        <v>1513</v>
      </c>
      <c r="B1515" s="47">
        <v>268.70521065414403</v>
      </c>
      <c r="C1515" s="46">
        <v>355.02668259592002</v>
      </c>
      <c r="D1515" s="1">
        <v>50</v>
      </c>
      <c r="E1515" s="1">
        <v>52</v>
      </c>
      <c r="F1515" s="1" t="s">
        <v>50</v>
      </c>
      <c r="G1515" s="1" t="s">
        <v>50</v>
      </c>
      <c r="H1515" s="1" t="s">
        <v>50</v>
      </c>
      <c r="I1515" s="1" t="s">
        <v>50</v>
      </c>
      <c r="J1515" s="1" t="s">
        <v>50</v>
      </c>
      <c r="K1515" s="1" t="s">
        <v>50</v>
      </c>
      <c r="L1515">
        <f t="shared" si="152"/>
        <v>99.353565178501128</v>
      </c>
      <c r="M1515">
        <f t="shared" si="151"/>
        <v>169.3516454756429</v>
      </c>
      <c r="N1515" t="e">
        <f t="shared" si="153"/>
        <v>#N/A</v>
      </c>
      <c r="O1515" t="e">
        <f t="shared" si="154"/>
        <v>#N/A</v>
      </c>
      <c r="P1515" t="e">
        <f t="shared" si="155"/>
        <v>#N/A</v>
      </c>
      <c r="Q1515" t="e">
        <f t="shared" si="156"/>
        <v>#N/A</v>
      </c>
      <c r="U1515">
        <f>C1515/Navio!$J$4</f>
        <v>19.169923829087541</v>
      </c>
    </row>
    <row r="1516" spans="1:21" x14ac:dyDescent="0.3">
      <c r="A1516">
        <v>1514</v>
      </c>
      <c r="B1516" s="47">
        <v>500.19706645386975</v>
      </c>
      <c r="C1516" s="46">
        <v>358.31675972209155</v>
      </c>
      <c r="D1516" s="1">
        <v>50</v>
      </c>
      <c r="E1516" s="1">
        <v>53</v>
      </c>
      <c r="F1516" s="1" t="s">
        <v>50</v>
      </c>
      <c r="G1516" s="1" t="s">
        <v>50</v>
      </c>
      <c r="H1516" s="1" t="s">
        <v>50</v>
      </c>
      <c r="I1516" s="1" t="s">
        <v>50</v>
      </c>
      <c r="J1516" s="1" t="s">
        <v>50</v>
      </c>
      <c r="K1516" s="1" t="s">
        <v>50</v>
      </c>
      <c r="L1516">
        <f t="shared" si="152"/>
        <v>99.353565178501128</v>
      </c>
      <c r="M1516">
        <f t="shared" si="151"/>
        <v>400.84350127536862</v>
      </c>
      <c r="N1516" t="e">
        <f t="shared" si="153"/>
        <v>#N/A</v>
      </c>
      <c r="O1516" t="e">
        <f t="shared" si="154"/>
        <v>#N/A</v>
      </c>
      <c r="P1516" t="e">
        <f t="shared" si="155"/>
        <v>#N/A</v>
      </c>
      <c r="Q1516" t="e">
        <f t="shared" si="156"/>
        <v>#N/A</v>
      </c>
      <c r="U1516">
        <f>C1516/Navio!$J$4</f>
        <v>19.347573935381991</v>
      </c>
    </row>
    <row r="1517" spans="1:21" x14ac:dyDescent="0.3">
      <c r="A1517">
        <v>1515</v>
      </c>
      <c r="B1517" s="47">
        <v>596.4450255079953</v>
      </c>
      <c r="C1517" s="46">
        <v>351.53032435550273</v>
      </c>
      <c r="D1517" s="1">
        <v>50</v>
      </c>
      <c r="E1517" s="1">
        <v>54</v>
      </c>
      <c r="F1517" s="1" t="s">
        <v>50</v>
      </c>
      <c r="G1517" s="1" t="s">
        <v>50</v>
      </c>
      <c r="H1517" s="1" t="s">
        <v>50</v>
      </c>
      <c r="I1517" s="1" t="s">
        <v>50</v>
      </c>
      <c r="J1517" s="1" t="s">
        <v>50</v>
      </c>
      <c r="K1517" s="1" t="s">
        <v>50</v>
      </c>
      <c r="L1517">
        <f t="shared" si="152"/>
        <v>99.353565178501128</v>
      </c>
      <c r="M1517">
        <f t="shared" si="151"/>
        <v>497.09146032949423</v>
      </c>
      <c r="N1517" t="e">
        <f t="shared" si="153"/>
        <v>#N/A</v>
      </c>
      <c r="O1517" t="e">
        <f t="shared" si="154"/>
        <v>#N/A</v>
      </c>
      <c r="P1517" t="e">
        <f t="shared" si="155"/>
        <v>#N/A</v>
      </c>
      <c r="Q1517" t="e">
        <f t="shared" si="156"/>
        <v>#N/A</v>
      </c>
      <c r="U1517">
        <f>C1517/Navio!$J$4</f>
        <v>18.981135424064227</v>
      </c>
    </row>
    <row r="1518" spans="1:21" x14ac:dyDescent="0.3">
      <c r="A1518">
        <v>1516</v>
      </c>
      <c r="B1518" s="47">
        <v>294.77993340488842</v>
      </c>
      <c r="C1518" s="46">
        <v>361.96096878196749</v>
      </c>
      <c r="D1518" s="1">
        <v>50</v>
      </c>
      <c r="E1518" s="1">
        <v>55</v>
      </c>
      <c r="F1518" s="1" t="s">
        <v>50</v>
      </c>
      <c r="G1518" s="1" t="s">
        <v>50</v>
      </c>
      <c r="H1518" s="1" t="s">
        <v>50</v>
      </c>
      <c r="I1518" s="1" t="s">
        <v>50</v>
      </c>
      <c r="J1518" s="1" t="s">
        <v>50</v>
      </c>
      <c r="K1518" s="1" t="s">
        <v>50</v>
      </c>
      <c r="L1518">
        <f t="shared" si="152"/>
        <v>99.353565178501128</v>
      </c>
      <c r="M1518">
        <f t="shared" si="151"/>
        <v>195.4263682263873</v>
      </c>
      <c r="N1518" t="e">
        <f t="shared" si="153"/>
        <v>#N/A</v>
      </c>
      <c r="O1518" t="e">
        <f t="shared" si="154"/>
        <v>#N/A</v>
      </c>
      <c r="P1518" t="e">
        <f t="shared" si="155"/>
        <v>#N/A</v>
      </c>
      <c r="Q1518" t="e">
        <f t="shared" si="156"/>
        <v>#N/A</v>
      </c>
      <c r="U1518">
        <f>C1518/Navio!$J$4</f>
        <v>19.544345652888655</v>
      </c>
    </row>
    <row r="1519" spans="1:21" x14ac:dyDescent="0.3">
      <c r="A1519">
        <v>1517</v>
      </c>
      <c r="B1519" s="47">
        <v>536.41510982915725</v>
      </c>
      <c r="C1519" s="46">
        <v>372.55762515082301</v>
      </c>
      <c r="D1519" s="1">
        <v>50</v>
      </c>
      <c r="E1519" s="1">
        <v>56</v>
      </c>
      <c r="F1519" s="1" t="s">
        <v>50</v>
      </c>
      <c r="G1519" s="1" t="s">
        <v>50</v>
      </c>
      <c r="H1519" s="1" t="s">
        <v>50</v>
      </c>
      <c r="I1519" s="1" t="s">
        <v>50</v>
      </c>
      <c r="J1519" s="1" t="s">
        <v>50</v>
      </c>
      <c r="K1519" s="1" t="s">
        <v>50</v>
      </c>
      <c r="L1519">
        <f t="shared" si="152"/>
        <v>99.353565178501128</v>
      </c>
      <c r="M1519">
        <f t="shared" si="151"/>
        <v>437.06154465065606</v>
      </c>
      <c r="N1519" t="e">
        <f t="shared" si="153"/>
        <v>#N/A</v>
      </c>
      <c r="O1519" t="e">
        <f t="shared" si="154"/>
        <v>#N/A</v>
      </c>
      <c r="P1519" t="e">
        <f t="shared" si="155"/>
        <v>#N/A</v>
      </c>
      <c r="Q1519" t="e">
        <f t="shared" si="156"/>
        <v>#N/A</v>
      </c>
      <c r="U1519">
        <f>C1519/Navio!$J$4</f>
        <v>20.116519817232184</v>
      </c>
    </row>
    <row r="1520" spans="1:21" x14ac:dyDescent="0.3">
      <c r="A1520">
        <v>1518</v>
      </c>
      <c r="B1520" s="47">
        <v>342.77847096816419</v>
      </c>
      <c r="C1520" s="46">
        <v>375.09011604509999</v>
      </c>
      <c r="D1520" s="1">
        <v>50</v>
      </c>
      <c r="E1520" s="1">
        <v>57</v>
      </c>
      <c r="F1520" s="1" t="s">
        <v>50</v>
      </c>
      <c r="G1520" s="1" t="s">
        <v>50</v>
      </c>
      <c r="H1520" s="1" t="s">
        <v>50</v>
      </c>
      <c r="I1520" s="1" t="s">
        <v>50</v>
      </c>
      <c r="J1520" s="1" t="s">
        <v>50</v>
      </c>
      <c r="K1520" s="1" t="s">
        <v>50</v>
      </c>
      <c r="L1520">
        <f t="shared" si="152"/>
        <v>99.353565178501128</v>
      </c>
      <c r="M1520">
        <f t="shared" si="151"/>
        <v>243.42490578966306</v>
      </c>
      <c r="N1520" t="e">
        <f t="shared" si="153"/>
        <v>#N/A</v>
      </c>
      <c r="O1520" t="e">
        <f t="shared" si="154"/>
        <v>#N/A</v>
      </c>
      <c r="P1520" t="e">
        <f t="shared" si="155"/>
        <v>#N/A</v>
      </c>
      <c r="Q1520" t="e">
        <f t="shared" si="156"/>
        <v>#N/A</v>
      </c>
      <c r="U1520">
        <f>C1520/Navio!$J$4</f>
        <v>20.253263504174733</v>
      </c>
    </row>
    <row r="1521" spans="1:21" x14ac:dyDescent="0.3">
      <c r="A1521">
        <v>1519</v>
      </c>
      <c r="B1521" s="47">
        <v>141.44065002473349</v>
      </c>
      <c r="C1521" s="46">
        <v>385.83143174523013</v>
      </c>
      <c r="D1521" s="1">
        <v>50</v>
      </c>
      <c r="E1521" s="1">
        <v>58</v>
      </c>
      <c r="F1521" s="1" t="s">
        <v>50</v>
      </c>
      <c r="G1521" s="1" t="s">
        <v>50</v>
      </c>
      <c r="H1521" s="1" t="s">
        <v>50</v>
      </c>
      <c r="I1521" s="1" t="s">
        <v>50</v>
      </c>
      <c r="J1521" s="1" t="s">
        <v>50</v>
      </c>
      <c r="K1521" s="1" t="s">
        <v>50</v>
      </c>
      <c r="L1521">
        <f t="shared" si="152"/>
        <v>99.353565178501128</v>
      </c>
      <c r="M1521">
        <f t="shared" si="151"/>
        <v>126.26125453869709</v>
      </c>
      <c r="N1521" t="e">
        <f t="shared" si="153"/>
        <v>#N/A</v>
      </c>
      <c r="O1521" t="e">
        <f t="shared" si="154"/>
        <v>#N/A</v>
      </c>
      <c r="P1521" t="e">
        <f t="shared" si="155"/>
        <v>#N/A</v>
      </c>
      <c r="Q1521" t="e">
        <f t="shared" si="156"/>
        <v>#N/A</v>
      </c>
      <c r="U1521">
        <f>C1521/Navio!$J$4</f>
        <v>20.833248654276922</v>
      </c>
    </row>
    <row r="1522" spans="1:21" x14ac:dyDescent="0.3">
      <c r="A1522">
        <v>1520</v>
      </c>
      <c r="B1522" s="47">
        <v>361.85196940214854</v>
      </c>
      <c r="C1522" s="46">
        <v>388.00589864247365</v>
      </c>
      <c r="D1522" s="1">
        <v>50</v>
      </c>
      <c r="E1522" s="1">
        <v>59</v>
      </c>
      <c r="F1522" s="1" t="s">
        <v>50</v>
      </c>
      <c r="G1522" s="1" t="s">
        <v>50</v>
      </c>
      <c r="H1522" s="1" t="s">
        <v>50</v>
      </c>
      <c r="I1522" s="1" t="s">
        <v>50</v>
      </c>
      <c r="J1522" s="1" t="s">
        <v>50</v>
      </c>
      <c r="K1522" s="1" t="s">
        <v>50</v>
      </c>
      <c r="L1522">
        <f t="shared" si="152"/>
        <v>99.353565178501128</v>
      </c>
      <c r="M1522">
        <f t="shared" si="151"/>
        <v>262.49840422364741</v>
      </c>
      <c r="N1522" t="e">
        <f t="shared" si="153"/>
        <v>#N/A</v>
      </c>
      <c r="O1522" t="e">
        <f t="shared" si="154"/>
        <v>#N/A</v>
      </c>
      <c r="P1522" t="e">
        <f t="shared" si="155"/>
        <v>#N/A</v>
      </c>
      <c r="Q1522" t="e">
        <f t="shared" si="156"/>
        <v>#N/A</v>
      </c>
      <c r="U1522">
        <f>C1522/Navio!$J$4</f>
        <v>20.950660575218297</v>
      </c>
    </row>
    <row r="1523" spans="1:21" x14ac:dyDescent="0.3">
      <c r="A1523">
        <v>1521</v>
      </c>
      <c r="B1523" s="47">
        <v>270.31632982801386</v>
      </c>
      <c r="C1523" s="46">
        <v>351.65520399404738</v>
      </c>
      <c r="D1523" s="1">
        <v>51</v>
      </c>
      <c r="E1523" s="1">
        <v>52</v>
      </c>
      <c r="F1523" s="1" t="s">
        <v>50</v>
      </c>
      <c r="G1523" s="1" t="s">
        <v>50</v>
      </c>
      <c r="H1523" s="1" t="s">
        <v>50</v>
      </c>
      <c r="I1523" s="1" t="s">
        <v>50</v>
      </c>
      <c r="J1523" s="1" t="s">
        <v>50</v>
      </c>
      <c r="K1523" s="1" t="s">
        <v>50</v>
      </c>
      <c r="L1523">
        <f t="shared" si="152"/>
        <v>100.96468435237094</v>
      </c>
      <c r="M1523">
        <f t="shared" si="151"/>
        <v>169.3516454756429</v>
      </c>
      <c r="N1523" t="e">
        <f t="shared" si="153"/>
        <v>#N/A</v>
      </c>
      <c r="O1523" t="e">
        <f t="shared" si="154"/>
        <v>#N/A</v>
      </c>
      <c r="P1523" t="e">
        <f t="shared" si="155"/>
        <v>#N/A</v>
      </c>
      <c r="Q1523" t="e">
        <f t="shared" si="156"/>
        <v>#N/A</v>
      </c>
      <c r="U1523">
        <f>C1523/Navio!$J$4</f>
        <v>18.987878390934213</v>
      </c>
    </row>
    <row r="1524" spans="1:21" x14ac:dyDescent="0.3">
      <c r="A1524">
        <v>1522</v>
      </c>
      <c r="B1524" s="47">
        <v>501.80818562773959</v>
      </c>
      <c r="C1524" s="46">
        <v>354.97585863953566</v>
      </c>
      <c r="D1524" s="1">
        <v>51</v>
      </c>
      <c r="E1524" s="1">
        <v>53</v>
      </c>
      <c r="F1524" s="1" t="s">
        <v>50</v>
      </c>
      <c r="G1524" s="1" t="s">
        <v>50</v>
      </c>
      <c r="H1524" s="1" t="s">
        <v>50</v>
      </c>
      <c r="I1524" s="1" t="s">
        <v>50</v>
      </c>
      <c r="J1524" s="1" t="s">
        <v>50</v>
      </c>
      <c r="K1524" s="1" t="s">
        <v>50</v>
      </c>
      <c r="L1524">
        <f t="shared" si="152"/>
        <v>100.96468435237094</v>
      </c>
      <c r="M1524">
        <f t="shared" si="151"/>
        <v>400.84350127536862</v>
      </c>
      <c r="N1524" t="e">
        <f t="shared" si="153"/>
        <v>#N/A</v>
      </c>
      <c r="O1524" t="e">
        <f t="shared" si="154"/>
        <v>#N/A</v>
      </c>
      <c r="P1524" t="e">
        <f t="shared" si="155"/>
        <v>#N/A</v>
      </c>
      <c r="Q1524" t="e">
        <f t="shared" si="156"/>
        <v>#N/A</v>
      </c>
      <c r="U1524">
        <f>C1524/Navio!$J$4</f>
        <v>19.167179552613849</v>
      </c>
    </row>
    <row r="1525" spans="1:21" x14ac:dyDescent="0.3">
      <c r="A1525">
        <v>1523</v>
      </c>
      <c r="B1525" s="47">
        <v>598.05614468186513</v>
      </c>
      <c r="C1525" s="46">
        <v>354.40733725310901</v>
      </c>
      <c r="D1525" s="1">
        <v>51</v>
      </c>
      <c r="E1525" s="1">
        <v>54</v>
      </c>
      <c r="F1525" s="1" t="s">
        <v>50</v>
      </c>
      <c r="G1525" s="1" t="s">
        <v>50</v>
      </c>
      <c r="H1525" s="1" t="s">
        <v>50</v>
      </c>
      <c r="I1525" s="1" t="s">
        <v>50</v>
      </c>
      <c r="J1525" s="1" t="s">
        <v>50</v>
      </c>
      <c r="K1525" s="1" t="s">
        <v>50</v>
      </c>
      <c r="L1525">
        <f t="shared" si="152"/>
        <v>100.96468435237094</v>
      </c>
      <c r="M1525">
        <f t="shared" si="151"/>
        <v>497.09146032949423</v>
      </c>
      <c r="N1525" t="e">
        <f t="shared" si="153"/>
        <v>#N/A</v>
      </c>
      <c r="O1525" t="e">
        <f t="shared" si="154"/>
        <v>#N/A</v>
      </c>
      <c r="P1525" t="e">
        <f t="shared" si="155"/>
        <v>#N/A</v>
      </c>
      <c r="Q1525" t="e">
        <f t="shared" si="156"/>
        <v>#N/A</v>
      </c>
      <c r="U1525">
        <f>C1525/Navio!$J$4</f>
        <v>19.136481827042022</v>
      </c>
    </row>
    <row r="1526" spans="1:21" x14ac:dyDescent="0.3">
      <c r="A1526">
        <v>1524</v>
      </c>
      <c r="B1526" s="47">
        <v>296.39105257875826</v>
      </c>
      <c r="C1526" s="46">
        <v>364.34741886752539</v>
      </c>
      <c r="D1526" s="1">
        <v>51</v>
      </c>
      <c r="E1526" s="1">
        <v>55</v>
      </c>
      <c r="F1526" s="1" t="s">
        <v>50</v>
      </c>
      <c r="G1526" s="1" t="s">
        <v>50</v>
      </c>
      <c r="H1526" s="1" t="s">
        <v>50</v>
      </c>
      <c r="I1526" s="1" t="s">
        <v>50</v>
      </c>
      <c r="J1526" s="1" t="s">
        <v>50</v>
      </c>
      <c r="K1526" s="1" t="s">
        <v>50</v>
      </c>
      <c r="L1526">
        <f t="shared" si="152"/>
        <v>100.96468435237094</v>
      </c>
      <c r="M1526">
        <f t="shared" si="151"/>
        <v>195.4263682263873</v>
      </c>
      <c r="N1526" t="e">
        <f t="shared" si="153"/>
        <v>#N/A</v>
      </c>
      <c r="O1526" t="e">
        <f t="shared" si="154"/>
        <v>#N/A</v>
      </c>
      <c r="P1526" t="e">
        <f t="shared" si="155"/>
        <v>#N/A</v>
      </c>
      <c r="Q1526" t="e">
        <f t="shared" si="156"/>
        <v>#N/A</v>
      </c>
      <c r="U1526">
        <f>C1526/Navio!$J$4</f>
        <v>19.673203760193605</v>
      </c>
    </row>
    <row r="1527" spans="1:21" x14ac:dyDescent="0.3">
      <c r="A1527">
        <v>1525</v>
      </c>
      <c r="B1527" s="47">
        <v>538.02622900302697</v>
      </c>
      <c r="C1527" s="46">
        <v>370.54655923787044</v>
      </c>
      <c r="D1527" s="1">
        <v>51</v>
      </c>
      <c r="E1527" s="1">
        <v>56</v>
      </c>
      <c r="F1527" s="1" t="s">
        <v>50</v>
      </c>
      <c r="G1527" s="1" t="s">
        <v>50</v>
      </c>
      <c r="H1527" s="1" t="s">
        <v>50</v>
      </c>
      <c r="I1527" s="1" t="s">
        <v>50</v>
      </c>
      <c r="J1527" s="1" t="s">
        <v>50</v>
      </c>
      <c r="K1527" s="1" t="s">
        <v>50</v>
      </c>
      <c r="L1527">
        <f t="shared" si="152"/>
        <v>100.96468435237094</v>
      </c>
      <c r="M1527">
        <f t="shared" si="151"/>
        <v>437.06154465065606</v>
      </c>
      <c r="N1527" t="e">
        <f t="shared" si="153"/>
        <v>#N/A</v>
      </c>
      <c r="O1527" t="e">
        <f t="shared" si="154"/>
        <v>#N/A</v>
      </c>
      <c r="P1527" t="e">
        <f t="shared" si="155"/>
        <v>#N/A</v>
      </c>
      <c r="Q1527" t="e">
        <f t="shared" si="156"/>
        <v>#N/A</v>
      </c>
      <c r="U1527">
        <f>C1527/Navio!$J$4</f>
        <v>20.007930851229158</v>
      </c>
    </row>
    <row r="1528" spans="1:21" x14ac:dyDescent="0.3">
      <c r="A1528">
        <v>1526</v>
      </c>
      <c r="B1528" s="47">
        <v>344.38959014203397</v>
      </c>
      <c r="C1528" s="46">
        <v>374.56872142580949</v>
      </c>
      <c r="D1528" s="1">
        <v>51</v>
      </c>
      <c r="E1528" s="1">
        <v>57</v>
      </c>
      <c r="F1528" s="1" t="s">
        <v>50</v>
      </c>
      <c r="G1528" s="1" t="s">
        <v>50</v>
      </c>
      <c r="H1528" s="1" t="s">
        <v>50</v>
      </c>
      <c r="I1528" s="1" t="s">
        <v>50</v>
      </c>
      <c r="J1528" s="1" t="s">
        <v>50</v>
      </c>
      <c r="K1528" s="1" t="s">
        <v>50</v>
      </c>
      <c r="L1528">
        <f t="shared" si="152"/>
        <v>100.96468435237094</v>
      </c>
      <c r="M1528">
        <f t="shared" si="151"/>
        <v>243.42490578966306</v>
      </c>
      <c r="N1528" t="e">
        <f t="shared" si="153"/>
        <v>#N/A</v>
      </c>
      <c r="O1528" t="e">
        <f t="shared" si="154"/>
        <v>#N/A</v>
      </c>
      <c r="P1528" t="e">
        <f t="shared" si="155"/>
        <v>#N/A</v>
      </c>
      <c r="Q1528" t="e">
        <f t="shared" si="156"/>
        <v>#N/A</v>
      </c>
      <c r="U1528">
        <f>C1528/Navio!$J$4</f>
        <v>20.225110422655305</v>
      </c>
    </row>
    <row r="1529" spans="1:21" x14ac:dyDescent="0.3">
      <c r="A1529">
        <v>1527</v>
      </c>
      <c r="B1529" s="47">
        <v>143.0517691986033</v>
      </c>
      <c r="C1529" s="46">
        <v>386.26222403304143</v>
      </c>
      <c r="D1529" s="1">
        <v>51</v>
      </c>
      <c r="E1529" s="1">
        <v>58</v>
      </c>
      <c r="F1529" s="1" t="s">
        <v>50</v>
      </c>
      <c r="G1529" s="1" t="s">
        <v>50</v>
      </c>
      <c r="H1529" s="1" t="s">
        <v>50</v>
      </c>
      <c r="I1529" s="1" t="s">
        <v>50</v>
      </c>
      <c r="J1529" s="1" t="s">
        <v>50</v>
      </c>
      <c r="K1529" s="1" t="s">
        <v>50</v>
      </c>
      <c r="L1529">
        <f t="shared" si="152"/>
        <v>100.96468435237094</v>
      </c>
      <c r="M1529">
        <f t="shared" si="151"/>
        <v>126.26125453869709</v>
      </c>
      <c r="N1529" t="e">
        <f t="shared" si="153"/>
        <v>#N/A</v>
      </c>
      <c r="O1529" t="e">
        <f t="shared" si="154"/>
        <v>#N/A</v>
      </c>
      <c r="P1529" t="e">
        <f t="shared" si="155"/>
        <v>#N/A</v>
      </c>
      <c r="Q1529" t="e">
        <f t="shared" si="156"/>
        <v>#N/A</v>
      </c>
      <c r="U1529">
        <f>C1529/Navio!$J$4</f>
        <v>20.856509597040766</v>
      </c>
    </row>
    <row r="1530" spans="1:21" x14ac:dyDescent="0.3">
      <c r="A1530">
        <v>1528</v>
      </c>
      <c r="B1530" s="47">
        <v>363.46308857601832</v>
      </c>
      <c r="C1530" s="46">
        <v>386.46281140661677</v>
      </c>
      <c r="D1530" s="1">
        <v>51</v>
      </c>
      <c r="E1530" s="1">
        <v>59</v>
      </c>
      <c r="F1530" s="1" t="s">
        <v>50</v>
      </c>
      <c r="G1530" s="1" t="s">
        <v>50</v>
      </c>
      <c r="H1530" s="1" t="s">
        <v>50</v>
      </c>
      <c r="I1530" s="1" t="s">
        <v>50</v>
      </c>
      <c r="J1530" s="1" t="s">
        <v>50</v>
      </c>
      <c r="K1530" s="1" t="s">
        <v>50</v>
      </c>
      <c r="L1530">
        <f t="shared" si="152"/>
        <v>100.96468435237094</v>
      </c>
      <c r="M1530">
        <f t="shared" si="151"/>
        <v>262.49840422364741</v>
      </c>
      <c r="N1530" t="e">
        <f t="shared" si="153"/>
        <v>#N/A</v>
      </c>
      <c r="O1530" t="e">
        <f t="shared" si="154"/>
        <v>#N/A</v>
      </c>
      <c r="P1530" t="e">
        <f t="shared" si="155"/>
        <v>#N/A</v>
      </c>
      <c r="Q1530" t="e">
        <f t="shared" si="156"/>
        <v>#N/A</v>
      </c>
      <c r="U1530">
        <f>C1530/Navio!$J$4</f>
        <v>20.867340458102813</v>
      </c>
    </row>
    <row r="1531" spans="1:21" x14ac:dyDescent="0.3">
      <c r="A1531">
        <v>1529</v>
      </c>
      <c r="B1531" s="47">
        <v>570.19514675101152</v>
      </c>
      <c r="C1531" s="46">
        <v>349.42006634869188</v>
      </c>
      <c r="D1531" s="1">
        <v>52</v>
      </c>
      <c r="E1531" s="1">
        <v>53</v>
      </c>
      <c r="F1531" s="1" t="s">
        <v>50</v>
      </c>
      <c r="G1531" s="1" t="s">
        <v>50</v>
      </c>
      <c r="H1531" s="1" t="s">
        <v>50</v>
      </c>
      <c r="I1531" s="1" t="s">
        <v>50</v>
      </c>
      <c r="J1531" s="1" t="s">
        <v>50</v>
      </c>
      <c r="K1531" s="1" t="s">
        <v>50</v>
      </c>
      <c r="L1531">
        <f t="shared" si="152"/>
        <v>169.3516454756429</v>
      </c>
      <c r="M1531">
        <f t="shared" si="151"/>
        <v>400.84350127536862</v>
      </c>
      <c r="N1531" t="e">
        <f t="shared" si="153"/>
        <v>#N/A</v>
      </c>
      <c r="O1531" t="e">
        <f t="shared" si="154"/>
        <v>#N/A</v>
      </c>
      <c r="P1531" t="e">
        <f t="shared" si="155"/>
        <v>#N/A</v>
      </c>
      <c r="Q1531" t="e">
        <f t="shared" si="156"/>
        <v>#N/A</v>
      </c>
      <c r="U1531">
        <f>C1531/Navio!$J$4</f>
        <v>18.867190508841254</v>
      </c>
    </row>
    <row r="1532" spans="1:21" x14ac:dyDescent="0.3">
      <c r="A1532">
        <v>1530</v>
      </c>
      <c r="B1532" s="47">
        <v>666.44310580513707</v>
      </c>
      <c r="C1532" s="46">
        <v>362.40869240920279</v>
      </c>
      <c r="D1532" s="1">
        <v>52</v>
      </c>
      <c r="E1532" s="1">
        <v>54</v>
      </c>
      <c r="F1532" s="1" t="s">
        <v>50</v>
      </c>
      <c r="G1532" s="1" t="s">
        <v>50</v>
      </c>
      <c r="H1532" s="1" t="s">
        <v>50</v>
      </c>
      <c r="I1532" s="1" t="s">
        <v>50</v>
      </c>
      <c r="J1532" s="1" t="s">
        <v>50</v>
      </c>
      <c r="K1532" s="1" t="s">
        <v>50</v>
      </c>
      <c r="L1532">
        <f t="shared" si="152"/>
        <v>169.3516454756429</v>
      </c>
      <c r="M1532">
        <f t="shared" si="151"/>
        <v>497.09146032949423</v>
      </c>
      <c r="N1532" t="e">
        <f t="shared" si="153"/>
        <v>#N/A</v>
      </c>
      <c r="O1532" t="e">
        <f t="shared" si="154"/>
        <v>#N/A</v>
      </c>
      <c r="P1532" t="e">
        <f t="shared" si="155"/>
        <v>#N/A</v>
      </c>
      <c r="Q1532" t="e">
        <f t="shared" si="156"/>
        <v>#N/A</v>
      </c>
      <c r="U1532">
        <f>C1532/Navio!$J$4</f>
        <v>19.568520815633683</v>
      </c>
    </row>
    <row r="1533" spans="1:21" x14ac:dyDescent="0.3">
      <c r="A1533">
        <v>1531</v>
      </c>
      <c r="B1533" s="47">
        <v>364.77801370203019</v>
      </c>
      <c r="C1533" s="46">
        <v>371.19573505192693</v>
      </c>
      <c r="D1533" s="1">
        <v>52</v>
      </c>
      <c r="E1533" s="1">
        <v>55</v>
      </c>
      <c r="F1533" s="1" t="s">
        <v>50</v>
      </c>
      <c r="G1533" s="1" t="s">
        <v>50</v>
      </c>
      <c r="H1533" s="1" t="s">
        <v>50</v>
      </c>
      <c r="I1533" s="1" t="s">
        <v>50</v>
      </c>
      <c r="J1533" s="1" t="s">
        <v>50</v>
      </c>
      <c r="K1533" s="1" t="s">
        <v>50</v>
      </c>
      <c r="L1533">
        <f t="shared" si="152"/>
        <v>169.3516454756429</v>
      </c>
      <c r="M1533">
        <f t="shared" si="151"/>
        <v>195.4263682263873</v>
      </c>
      <c r="N1533" t="e">
        <f t="shared" si="153"/>
        <v>#N/A</v>
      </c>
      <c r="O1533" t="e">
        <f t="shared" si="154"/>
        <v>#N/A</v>
      </c>
      <c r="P1533" t="e">
        <f t="shared" si="155"/>
        <v>#N/A</v>
      </c>
      <c r="Q1533" t="e">
        <f t="shared" si="156"/>
        <v>#N/A</v>
      </c>
      <c r="U1533">
        <f>C1533/Navio!$J$4</f>
        <v>20.042983571256158</v>
      </c>
    </row>
    <row r="1534" spans="1:21" x14ac:dyDescent="0.3">
      <c r="A1534">
        <v>1532</v>
      </c>
      <c r="B1534" s="47">
        <v>606.41319012629901</v>
      </c>
      <c r="C1534" s="46">
        <v>369.43050299728446</v>
      </c>
      <c r="D1534" s="1">
        <v>52</v>
      </c>
      <c r="E1534" s="1">
        <v>56</v>
      </c>
      <c r="F1534" s="1" t="s">
        <v>50</v>
      </c>
      <c r="G1534" s="1" t="s">
        <v>50</v>
      </c>
      <c r="H1534" s="1" t="s">
        <v>50</v>
      </c>
      <c r="I1534" s="1" t="s">
        <v>50</v>
      </c>
      <c r="J1534" s="1" t="s">
        <v>50</v>
      </c>
      <c r="K1534" s="1" t="s">
        <v>50</v>
      </c>
      <c r="L1534">
        <f t="shared" si="152"/>
        <v>169.3516454756429</v>
      </c>
      <c r="M1534">
        <f t="shared" si="151"/>
        <v>437.06154465065606</v>
      </c>
      <c r="N1534" t="e">
        <f t="shared" si="153"/>
        <v>#N/A</v>
      </c>
      <c r="O1534" t="e">
        <f t="shared" si="154"/>
        <v>#N/A</v>
      </c>
      <c r="P1534" t="e">
        <f t="shared" si="155"/>
        <v>#N/A</v>
      </c>
      <c r="Q1534" t="e">
        <f t="shared" si="156"/>
        <v>#N/A</v>
      </c>
      <c r="U1534">
        <f>C1534/Navio!$J$4</f>
        <v>19.947668583152364</v>
      </c>
    </row>
    <row r="1535" spans="1:21" x14ac:dyDescent="0.3">
      <c r="A1535">
        <v>1533</v>
      </c>
      <c r="B1535" s="47">
        <v>412.77655126530595</v>
      </c>
      <c r="C1535" s="46">
        <v>376.58756724626892</v>
      </c>
      <c r="D1535" s="1">
        <v>52</v>
      </c>
      <c r="E1535" s="1">
        <v>57</v>
      </c>
      <c r="F1535" s="1" t="s">
        <v>50</v>
      </c>
      <c r="G1535" s="1" t="s">
        <v>50</v>
      </c>
      <c r="H1535" s="1" t="s">
        <v>50</v>
      </c>
      <c r="I1535" s="1" t="s">
        <v>50</v>
      </c>
      <c r="J1535" s="1" t="s">
        <v>50</v>
      </c>
      <c r="K1535" s="1" t="s">
        <v>50</v>
      </c>
      <c r="L1535">
        <f t="shared" si="152"/>
        <v>169.3516454756429</v>
      </c>
      <c r="M1535">
        <f t="shared" si="151"/>
        <v>243.42490578966306</v>
      </c>
      <c r="N1535" t="e">
        <f t="shared" si="153"/>
        <v>#N/A</v>
      </c>
      <c r="O1535" t="e">
        <f t="shared" si="154"/>
        <v>#N/A</v>
      </c>
      <c r="P1535" t="e">
        <f t="shared" si="155"/>
        <v>#N/A</v>
      </c>
      <c r="Q1535" t="e">
        <f t="shared" si="156"/>
        <v>#N/A</v>
      </c>
      <c r="U1535">
        <f>C1535/Navio!$J$4</f>
        <v>20.334119470420109</v>
      </c>
    </row>
    <row r="1536" spans="1:21" x14ac:dyDescent="0.3">
      <c r="A1536">
        <v>1534</v>
      </c>
      <c r="B1536" s="47">
        <v>211.43873032187525</v>
      </c>
      <c r="C1536" s="46">
        <v>389.30853376225264</v>
      </c>
      <c r="D1536" s="1">
        <v>52</v>
      </c>
      <c r="E1536" s="1">
        <v>58</v>
      </c>
      <c r="F1536" s="1" t="s">
        <v>50</v>
      </c>
      <c r="G1536" s="1" t="s">
        <v>50</v>
      </c>
      <c r="H1536" s="1" t="s">
        <v>50</v>
      </c>
      <c r="I1536" s="1" t="s">
        <v>50</v>
      </c>
      <c r="J1536" s="1" t="s">
        <v>50</v>
      </c>
      <c r="K1536" s="1" t="s">
        <v>50</v>
      </c>
      <c r="L1536">
        <f t="shared" si="152"/>
        <v>169.3516454756429</v>
      </c>
      <c r="M1536">
        <f t="shared" si="151"/>
        <v>126.26125453869709</v>
      </c>
      <c r="N1536" t="e">
        <f t="shared" si="153"/>
        <v>#N/A</v>
      </c>
      <c r="O1536" t="e">
        <f t="shared" si="154"/>
        <v>#N/A</v>
      </c>
      <c r="P1536" t="e">
        <f t="shared" si="155"/>
        <v>#N/A</v>
      </c>
      <c r="Q1536" t="e">
        <f t="shared" si="156"/>
        <v>#N/A</v>
      </c>
      <c r="U1536">
        <f>C1536/Navio!$J$4</f>
        <v>21.020997305518872</v>
      </c>
    </row>
    <row r="1537" spans="1:21" x14ac:dyDescent="0.3">
      <c r="A1537">
        <v>1535</v>
      </c>
      <c r="B1537" s="47">
        <v>431.85004969929031</v>
      </c>
      <c r="C1537" s="46">
        <v>385.50829489777675</v>
      </c>
      <c r="D1537" s="1">
        <v>52</v>
      </c>
      <c r="E1537" s="1">
        <v>59</v>
      </c>
      <c r="F1537" s="1" t="s">
        <v>50</v>
      </c>
      <c r="G1537" s="1" t="s">
        <v>50</v>
      </c>
      <c r="H1537" s="1" t="s">
        <v>50</v>
      </c>
      <c r="I1537" s="1" t="s">
        <v>50</v>
      </c>
      <c r="J1537" s="1" t="s">
        <v>50</v>
      </c>
      <c r="K1537" s="1" t="s">
        <v>50</v>
      </c>
      <c r="L1537">
        <f t="shared" si="152"/>
        <v>169.3516454756429</v>
      </c>
      <c r="M1537">
        <f t="shared" si="151"/>
        <v>262.49840422364741</v>
      </c>
      <c r="N1537" t="e">
        <f t="shared" si="153"/>
        <v>#N/A</v>
      </c>
      <c r="O1537" t="e">
        <f t="shared" si="154"/>
        <v>#N/A</v>
      </c>
      <c r="P1537" t="e">
        <f t="shared" si="155"/>
        <v>#N/A</v>
      </c>
      <c r="Q1537" t="e">
        <f t="shared" si="156"/>
        <v>#N/A</v>
      </c>
      <c r="U1537">
        <f>C1537/Navio!$J$4</f>
        <v>20.815800645280078</v>
      </c>
    </row>
    <row r="1538" spans="1:21" x14ac:dyDescent="0.3">
      <c r="A1538">
        <v>1536</v>
      </c>
      <c r="B1538" s="47">
        <v>897.93496160486279</v>
      </c>
      <c r="C1538" s="46">
        <v>364.9923163472813</v>
      </c>
      <c r="D1538" s="1">
        <v>53</v>
      </c>
      <c r="E1538" s="1">
        <v>54</v>
      </c>
      <c r="F1538" s="1" t="s">
        <v>50</v>
      </c>
      <c r="G1538" s="1" t="s">
        <v>50</v>
      </c>
      <c r="H1538" s="1" t="s">
        <v>50</v>
      </c>
      <c r="I1538" s="1" t="s">
        <v>50</v>
      </c>
      <c r="J1538" s="1" t="s">
        <v>50</v>
      </c>
      <c r="K1538" s="1" t="s">
        <v>50</v>
      </c>
      <c r="L1538">
        <f t="shared" si="152"/>
        <v>400.84350127536862</v>
      </c>
      <c r="M1538">
        <f t="shared" si="151"/>
        <v>497.09146032949423</v>
      </c>
      <c r="N1538" t="e">
        <f t="shared" si="153"/>
        <v>#N/A</v>
      </c>
      <c r="O1538" t="e">
        <f t="shared" si="154"/>
        <v>#N/A</v>
      </c>
      <c r="P1538" t="e">
        <f t="shared" si="155"/>
        <v>#N/A</v>
      </c>
      <c r="Q1538" t="e">
        <f t="shared" si="156"/>
        <v>#N/A</v>
      </c>
      <c r="U1538">
        <f>C1538/Navio!$J$4</f>
        <v>19.708025468449719</v>
      </c>
    </row>
    <row r="1539" spans="1:21" x14ac:dyDescent="0.3">
      <c r="A1539">
        <v>1537</v>
      </c>
      <c r="B1539" s="47">
        <v>596.26986950175592</v>
      </c>
      <c r="C1539" s="46">
        <v>373.24289628046296</v>
      </c>
      <c r="D1539" s="1">
        <v>53</v>
      </c>
      <c r="E1539" s="1">
        <v>55</v>
      </c>
      <c r="F1539" s="1" t="s">
        <v>50</v>
      </c>
      <c r="G1539" s="1" t="s">
        <v>50</v>
      </c>
      <c r="H1539" s="1" t="s">
        <v>50</v>
      </c>
      <c r="I1539" s="1" t="s">
        <v>50</v>
      </c>
      <c r="J1539" s="1" t="s">
        <v>50</v>
      </c>
      <c r="K1539" s="1" t="s">
        <v>50</v>
      </c>
      <c r="L1539">
        <f t="shared" si="152"/>
        <v>400.84350127536862</v>
      </c>
      <c r="M1539">
        <f t="shared" ref="M1539:M1602" si="158">VLOOKUP(E1539,$Y$2:$Z$80,2)</f>
        <v>195.4263682263873</v>
      </c>
      <c r="N1539" t="e">
        <f t="shared" si="153"/>
        <v>#N/A</v>
      </c>
      <c r="O1539" t="e">
        <f t="shared" si="154"/>
        <v>#N/A</v>
      </c>
      <c r="P1539" t="e">
        <f t="shared" si="155"/>
        <v>#N/A</v>
      </c>
      <c r="Q1539" t="e">
        <f t="shared" si="156"/>
        <v>#N/A</v>
      </c>
      <c r="U1539">
        <f>C1539/Navio!$J$4</f>
        <v>20.153521530065195</v>
      </c>
    </row>
    <row r="1540" spans="1:21" x14ac:dyDescent="0.3">
      <c r="A1540">
        <v>1538</v>
      </c>
      <c r="B1540" s="47">
        <v>837.90504592602474</v>
      </c>
      <c r="C1540" s="46">
        <v>369.64489331409811</v>
      </c>
      <c r="D1540" s="1">
        <v>53</v>
      </c>
      <c r="E1540" s="1">
        <v>56</v>
      </c>
      <c r="F1540" s="1" t="s">
        <v>50</v>
      </c>
      <c r="G1540" s="1" t="s">
        <v>50</v>
      </c>
      <c r="H1540" s="1" t="s">
        <v>50</v>
      </c>
      <c r="I1540" s="1" t="s">
        <v>50</v>
      </c>
      <c r="J1540" s="1" t="s">
        <v>50</v>
      </c>
      <c r="K1540" s="1" t="s">
        <v>50</v>
      </c>
      <c r="L1540">
        <f t="shared" si="152"/>
        <v>400.84350127536862</v>
      </c>
      <c r="M1540">
        <f t="shared" si="158"/>
        <v>437.06154465065606</v>
      </c>
      <c r="N1540" t="e">
        <f t="shared" si="153"/>
        <v>#N/A</v>
      </c>
      <c r="O1540" t="e">
        <f t="shared" si="154"/>
        <v>#N/A</v>
      </c>
      <c r="P1540" t="e">
        <f t="shared" si="155"/>
        <v>#N/A</v>
      </c>
      <c r="Q1540" t="e">
        <f t="shared" si="156"/>
        <v>#N/A</v>
      </c>
      <c r="U1540">
        <f>C1540/Navio!$J$4</f>
        <v>19.959244744169222</v>
      </c>
    </row>
    <row r="1541" spans="1:21" x14ac:dyDescent="0.3">
      <c r="A1541">
        <v>1539</v>
      </c>
      <c r="B1541" s="47">
        <v>644.26840706503162</v>
      </c>
      <c r="C1541" s="46">
        <v>377.33752195360682</v>
      </c>
      <c r="D1541" s="1">
        <v>53</v>
      </c>
      <c r="E1541" s="1">
        <v>57</v>
      </c>
      <c r="F1541" s="1" t="s">
        <v>50</v>
      </c>
      <c r="G1541" s="1" t="s">
        <v>50</v>
      </c>
      <c r="H1541" s="1" t="s">
        <v>50</v>
      </c>
      <c r="I1541" s="1" t="s">
        <v>50</v>
      </c>
      <c r="J1541" s="1" t="s">
        <v>50</v>
      </c>
      <c r="K1541" s="1" t="s">
        <v>50</v>
      </c>
      <c r="L1541">
        <f t="shared" si="152"/>
        <v>400.84350127536862</v>
      </c>
      <c r="M1541">
        <f t="shared" si="158"/>
        <v>243.42490578966306</v>
      </c>
      <c r="N1541" t="e">
        <f t="shared" si="153"/>
        <v>#N/A</v>
      </c>
      <c r="O1541" t="e">
        <f t="shared" si="154"/>
        <v>#N/A</v>
      </c>
      <c r="P1541" t="e">
        <f t="shared" si="155"/>
        <v>#N/A</v>
      </c>
      <c r="Q1541" t="e">
        <f t="shared" si="156"/>
        <v>#N/A</v>
      </c>
      <c r="U1541">
        <f>C1541/Navio!$J$4</f>
        <v>20.374613820055504</v>
      </c>
    </row>
    <row r="1542" spans="1:21" x14ac:dyDescent="0.3">
      <c r="A1542">
        <v>1540</v>
      </c>
      <c r="B1542" s="47">
        <v>442.93058612160098</v>
      </c>
      <c r="C1542" s="46">
        <v>390.14304853117153</v>
      </c>
      <c r="D1542" s="1">
        <v>53</v>
      </c>
      <c r="E1542" s="1">
        <v>58</v>
      </c>
      <c r="F1542" s="1" t="s">
        <v>50</v>
      </c>
      <c r="G1542" s="1" t="s">
        <v>50</v>
      </c>
      <c r="H1542" s="1" t="s">
        <v>50</v>
      </c>
      <c r="I1542" s="1" t="s">
        <v>50</v>
      </c>
      <c r="J1542" s="1" t="s">
        <v>50</v>
      </c>
      <c r="K1542" s="1" t="s">
        <v>50</v>
      </c>
      <c r="L1542">
        <f t="shared" si="152"/>
        <v>400.84350127536862</v>
      </c>
      <c r="M1542">
        <f t="shared" si="158"/>
        <v>126.26125453869709</v>
      </c>
      <c r="N1542" t="e">
        <f t="shared" si="153"/>
        <v>#N/A</v>
      </c>
      <c r="O1542" t="e">
        <f t="shared" si="154"/>
        <v>#N/A</v>
      </c>
      <c r="P1542" t="e">
        <f t="shared" si="155"/>
        <v>#N/A</v>
      </c>
      <c r="Q1542" t="e">
        <f t="shared" si="156"/>
        <v>#N/A</v>
      </c>
      <c r="U1542">
        <f>C1542/Navio!$J$4</f>
        <v>21.066057537154002</v>
      </c>
    </row>
    <row r="1543" spans="1:21" x14ac:dyDescent="0.3">
      <c r="A1543">
        <v>1541</v>
      </c>
      <c r="B1543" s="47">
        <v>663.34190549901609</v>
      </c>
      <c r="C1543" s="46">
        <v>385.59644179017096</v>
      </c>
      <c r="D1543" s="1">
        <v>53</v>
      </c>
      <c r="E1543" s="1">
        <v>59</v>
      </c>
      <c r="F1543" s="1" t="s">
        <v>50</v>
      </c>
      <c r="G1543" s="1" t="s">
        <v>50</v>
      </c>
      <c r="H1543" s="1" t="s">
        <v>50</v>
      </c>
      <c r="I1543" s="1" t="s">
        <v>50</v>
      </c>
      <c r="J1543" s="1" t="s">
        <v>50</v>
      </c>
      <c r="K1543" s="1" t="s">
        <v>50</v>
      </c>
      <c r="L1543">
        <f t="shared" si="152"/>
        <v>400.84350127536862</v>
      </c>
      <c r="M1543">
        <f t="shared" si="158"/>
        <v>262.49840422364741</v>
      </c>
      <c r="N1543" t="e">
        <f t="shared" si="153"/>
        <v>#N/A</v>
      </c>
      <c r="O1543" t="e">
        <f t="shared" si="154"/>
        <v>#N/A</v>
      </c>
      <c r="P1543" t="e">
        <f t="shared" si="155"/>
        <v>#N/A</v>
      </c>
      <c r="Q1543" t="e">
        <f t="shared" si="156"/>
        <v>#N/A</v>
      </c>
      <c r="U1543">
        <f>C1543/Navio!$J$4</f>
        <v>20.82056020081718</v>
      </c>
    </row>
    <row r="1544" spans="1:21" x14ac:dyDescent="0.3">
      <c r="A1544">
        <v>1542</v>
      </c>
      <c r="B1544" s="47">
        <v>692.51782855588158</v>
      </c>
      <c r="C1544" s="46">
        <v>361.53934205531885</v>
      </c>
      <c r="D1544" s="1">
        <v>54</v>
      </c>
      <c r="E1544" s="1">
        <v>55</v>
      </c>
      <c r="F1544" s="1" t="s">
        <v>50</v>
      </c>
      <c r="G1544" s="1" t="s">
        <v>50</v>
      </c>
      <c r="H1544" s="1" t="s">
        <v>50</v>
      </c>
      <c r="I1544" s="1" t="s">
        <v>50</v>
      </c>
      <c r="J1544" s="1" t="s">
        <v>50</v>
      </c>
      <c r="K1544" s="1" t="s">
        <v>50</v>
      </c>
      <c r="L1544">
        <f t="shared" si="152"/>
        <v>497.09146032949423</v>
      </c>
      <c r="M1544">
        <f t="shared" si="158"/>
        <v>195.4263682263873</v>
      </c>
      <c r="N1544" t="e">
        <f t="shared" si="153"/>
        <v>#N/A</v>
      </c>
      <c r="O1544" t="e">
        <f t="shared" si="154"/>
        <v>#N/A</v>
      </c>
      <c r="P1544" t="e">
        <f t="shared" si="155"/>
        <v>#N/A</v>
      </c>
      <c r="Q1544" t="e">
        <f t="shared" si="156"/>
        <v>#N/A</v>
      </c>
      <c r="U1544">
        <f>C1544/Navio!$J$4</f>
        <v>19.5215796112631</v>
      </c>
    </row>
    <row r="1545" spans="1:21" x14ac:dyDescent="0.3">
      <c r="A1545">
        <v>1543</v>
      </c>
      <c r="B1545" s="47">
        <v>740.51636611915728</v>
      </c>
      <c r="C1545" s="46">
        <v>376.23257589799323</v>
      </c>
      <c r="D1545" s="1">
        <v>54</v>
      </c>
      <c r="E1545" s="1">
        <v>57</v>
      </c>
      <c r="F1545" s="1" t="s">
        <v>50</v>
      </c>
      <c r="G1545" s="1" t="s">
        <v>50</v>
      </c>
      <c r="H1545" s="1" t="s">
        <v>50</v>
      </c>
      <c r="I1545" s="1" t="s">
        <v>50</v>
      </c>
      <c r="J1545" s="1" t="s">
        <v>50</v>
      </c>
      <c r="K1545" s="1" t="s">
        <v>50</v>
      </c>
      <c r="L1545">
        <f t="shared" si="152"/>
        <v>497.09146032949423</v>
      </c>
      <c r="M1545">
        <f t="shared" si="158"/>
        <v>243.42490578966306</v>
      </c>
      <c r="N1545" t="e">
        <f t="shared" si="153"/>
        <v>#N/A</v>
      </c>
      <c r="O1545" t="e">
        <f t="shared" si="154"/>
        <v>#N/A</v>
      </c>
      <c r="P1545" t="e">
        <f t="shared" si="155"/>
        <v>#N/A</v>
      </c>
      <c r="Q1545" t="e">
        <f t="shared" si="156"/>
        <v>#N/A</v>
      </c>
      <c r="U1545">
        <f>C1545/Navio!$J$4</f>
        <v>20.314951454493329</v>
      </c>
    </row>
    <row r="1546" spans="1:21" x14ac:dyDescent="0.3">
      <c r="A1546">
        <v>1544</v>
      </c>
      <c r="B1546" s="47">
        <v>539.17854517572664</v>
      </c>
      <c r="C1546" s="46">
        <v>385.97292592998991</v>
      </c>
      <c r="D1546" s="1">
        <v>54</v>
      </c>
      <c r="E1546" s="1">
        <v>58</v>
      </c>
      <c r="F1546" s="1" t="s">
        <v>50</v>
      </c>
      <c r="G1546" s="1" t="s">
        <v>50</v>
      </c>
      <c r="H1546" s="1" t="s">
        <v>50</v>
      </c>
      <c r="I1546" s="1" t="s">
        <v>50</v>
      </c>
      <c r="J1546" s="1" t="s">
        <v>50</v>
      </c>
      <c r="K1546" s="1" t="s">
        <v>50</v>
      </c>
      <c r="L1546">
        <f t="shared" si="152"/>
        <v>497.09146032949423</v>
      </c>
      <c r="M1546">
        <f t="shared" si="158"/>
        <v>126.26125453869709</v>
      </c>
      <c r="N1546" t="e">
        <f t="shared" si="153"/>
        <v>#N/A</v>
      </c>
      <c r="O1546" t="e">
        <f t="shared" si="154"/>
        <v>#N/A</v>
      </c>
      <c r="P1546" t="e">
        <f t="shared" si="155"/>
        <v>#N/A</v>
      </c>
      <c r="Q1546" t="e">
        <f t="shared" si="156"/>
        <v>#N/A</v>
      </c>
      <c r="U1546">
        <f>C1546/Navio!$J$4</f>
        <v>20.84088873564847</v>
      </c>
    </row>
    <row r="1547" spans="1:21" x14ac:dyDescent="0.3">
      <c r="A1547">
        <v>1545</v>
      </c>
      <c r="B1547" s="47">
        <v>759.58986455314164</v>
      </c>
      <c r="C1547" s="46">
        <v>390.0132657006036</v>
      </c>
      <c r="D1547" s="1">
        <v>54</v>
      </c>
      <c r="E1547" s="1">
        <v>59</v>
      </c>
      <c r="F1547" s="1" t="s">
        <v>50</v>
      </c>
      <c r="G1547" s="1" t="s">
        <v>50</v>
      </c>
      <c r="H1547" s="1" t="s">
        <v>50</v>
      </c>
      <c r="I1547" s="1" t="s">
        <v>50</v>
      </c>
      <c r="J1547" s="1" t="s">
        <v>50</v>
      </c>
      <c r="K1547" s="1" t="s">
        <v>50</v>
      </c>
      <c r="L1547">
        <f t="shared" si="152"/>
        <v>497.09146032949423</v>
      </c>
      <c r="M1547">
        <f t="shared" si="158"/>
        <v>262.49840422364741</v>
      </c>
      <c r="N1547" t="e">
        <f t="shared" si="153"/>
        <v>#N/A</v>
      </c>
      <c r="O1547" t="e">
        <f t="shared" si="154"/>
        <v>#N/A</v>
      </c>
      <c r="P1547" t="e">
        <f t="shared" si="155"/>
        <v>#N/A</v>
      </c>
      <c r="Q1547" t="e">
        <f t="shared" si="156"/>
        <v>#N/A</v>
      </c>
      <c r="U1547">
        <f>C1547/Navio!$J$4</f>
        <v>21.059049818866129</v>
      </c>
    </row>
    <row r="1548" spans="1:21" x14ac:dyDescent="0.3">
      <c r="A1548">
        <v>1546</v>
      </c>
      <c r="B1548" s="47">
        <v>632.4879128770433</v>
      </c>
      <c r="C1548" s="46">
        <v>380.52353213294072</v>
      </c>
      <c r="D1548" s="1">
        <v>55</v>
      </c>
      <c r="E1548" s="1">
        <v>56</v>
      </c>
      <c r="F1548" s="1" t="s">
        <v>50</v>
      </c>
      <c r="G1548" s="1" t="s">
        <v>50</v>
      </c>
      <c r="H1548" s="1" t="s">
        <v>50</v>
      </c>
      <c r="I1548" s="1" t="s">
        <v>50</v>
      </c>
      <c r="J1548" s="1" t="s">
        <v>50</v>
      </c>
      <c r="K1548" s="1" t="s">
        <v>50</v>
      </c>
      <c r="L1548">
        <f t="shared" si="152"/>
        <v>195.4263682263873</v>
      </c>
      <c r="M1548">
        <f t="shared" si="158"/>
        <v>437.06154465065606</v>
      </c>
      <c r="N1548" t="e">
        <f t="shared" si="153"/>
        <v>#N/A</v>
      </c>
      <c r="O1548" t="e">
        <f t="shared" si="154"/>
        <v>#N/A</v>
      </c>
      <c r="P1548" t="e">
        <f t="shared" si="155"/>
        <v>#N/A</v>
      </c>
      <c r="Q1548" t="e">
        <f t="shared" si="156"/>
        <v>#N/A</v>
      </c>
      <c r="U1548">
        <f>C1548/Navio!$J$4</f>
        <v>20.546644755899393</v>
      </c>
    </row>
    <row r="1549" spans="1:21" x14ac:dyDescent="0.3">
      <c r="A1549">
        <v>1547</v>
      </c>
      <c r="B1549" s="47">
        <v>438.85127401605035</v>
      </c>
      <c r="C1549" s="46">
        <v>378.8324839092445</v>
      </c>
      <c r="D1549" s="1">
        <v>55</v>
      </c>
      <c r="E1549" s="1">
        <v>57</v>
      </c>
      <c r="F1549" s="1" t="s">
        <v>50</v>
      </c>
      <c r="G1549" s="1" t="s">
        <v>50</v>
      </c>
      <c r="H1549" s="1" t="s">
        <v>50</v>
      </c>
      <c r="I1549" s="1" t="s">
        <v>50</v>
      </c>
      <c r="J1549" s="1" t="s">
        <v>50</v>
      </c>
      <c r="K1549" s="1" t="s">
        <v>50</v>
      </c>
      <c r="L1549">
        <f t="shared" ref="L1549:L1612" si="159">VLOOKUP(D1549,$Y$2:$Z$80,2)</f>
        <v>195.4263682263873</v>
      </c>
      <c r="M1549">
        <f t="shared" si="158"/>
        <v>243.42490578966306</v>
      </c>
      <c r="N1549" t="e">
        <f t="shared" ref="N1549:N1612" si="160">VLOOKUP(F1549,$Y$2:$Z$80,2)</f>
        <v>#N/A</v>
      </c>
      <c r="O1549" t="e">
        <f t="shared" ref="O1549:O1612" si="161">VLOOKUP(G1549,$Y$2:$Z$80,2)</f>
        <v>#N/A</v>
      </c>
      <c r="P1549" t="e">
        <f t="shared" ref="P1549:P1612" si="162">VLOOKUP(H1549,$Y$2:$Z$80,2)</f>
        <v>#N/A</v>
      </c>
      <c r="Q1549" t="e">
        <f t="shared" ref="Q1549:Q1612" si="163">VLOOKUP(I1549,$Y$2:$Z$80,2)</f>
        <v>#N/A</v>
      </c>
      <c r="U1549">
        <f>C1549/Navio!$J$4</f>
        <v>20.455335377678754</v>
      </c>
    </row>
    <row r="1550" spans="1:21" x14ac:dyDescent="0.3">
      <c r="A1550">
        <v>1548</v>
      </c>
      <c r="B1550" s="47">
        <v>237.51345307261965</v>
      </c>
      <c r="C1550" s="46">
        <v>386.59689454464939</v>
      </c>
      <c r="D1550" s="1">
        <v>55</v>
      </c>
      <c r="E1550" s="1">
        <v>58</v>
      </c>
      <c r="F1550" s="1" t="s">
        <v>50</v>
      </c>
      <c r="G1550" s="1" t="s">
        <v>50</v>
      </c>
      <c r="H1550" s="1" t="s">
        <v>50</v>
      </c>
      <c r="I1550" s="1" t="s">
        <v>50</v>
      </c>
      <c r="J1550" s="1" t="s">
        <v>50</v>
      </c>
      <c r="K1550" s="1" t="s">
        <v>50</v>
      </c>
      <c r="L1550">
        <f t="shared" si="159"/>
        <v>195.4263682263873</v>
      </c>
      <c r="M1550">
        <f t="shared" si="158"/>
        <v>126.26125453869709</v>
      </c>
      <c r="N1550" t="e">
        <f t="shared" si="160"/>
        <v>#N/A</v>
      </c>
      <c r="O1550" t="e">
        <f t="shared" si="161"/>
        <v>#N/A</v>
      </c>
      <c r="P1550" t="e">
        <f t="shared" si="162"/>
        <v>#N/A</v>
      </c>
      <c r="Q1550" t="e">
        <f t="shared" si="163"/>
        <v>#N/A</v>
      </c>
      <c r="U1550">
        <f>C1550/Navio!$J$4</f>
        <v>20.874580374618539</v>
      </c>
    </row>
    <row r="1551" spans="1:21" x14ac:dyDescent="0.3">
      <c r="A1551">
        <v>1549</v>
      </c>
      <c r="B1551" s="47">
        <v>457.92477245003471</v>
      </c>
      <c r="C1551" s="46">
        <v>393.12292077799952</v>
      </c>
      <c r="D1551" s="1">
        <v>55</v>
      </c>
      <c r="E1551" s="1">
        <v>59</v>
      </c>
      <c r="F1551" s="1" t="s">
        <v>50</v>
      </c>
      <c r="G1551" s="1" t="s">
        <v>50</v>
      </c>
      <c r="H1551" s="1" t="s">
        <v>50</v>
      </c>
      <c r="I1551" s="1" t="s">
        <v>50</v>
      </c>
      <c r="J1551" s="1" t="s">
        <v>50</v>
      </c>
      <c r="K1551" s="1" t="s">
        <v>50</v>
      </c>
      <c r="L1551">
        <f t="shared" si="159"/>
        <v>195.4263682263873</v>
      </c>
      <c r="M1551">
        <f t="shared" si="158"/>
        <v>262.49840422364741</v>
      </c>
      <c r="N1551" t="e">
        <f t="shared" si="160"/>
        <v>#N/A</v>
      </c>
      <c r="O1551" t="e">
        <f t="shared" si="161"/>
        <v>#N/A</v>
      </c>
      <c r="P1551" t="e">
        <f t="shared" si="162"/>
        <v>#N/A</v>
      </c>
      <c r="Q1551" t="e">
        <f t="shared" si="163"/>
        <v>#N/A</v>
      </c>
      <c r="U1551">
        <f>C1551/Navio!$J$4</f>
        <v>21.226957905471167</v>
      </c>
    </row>
    <row r="1552" spans="1:21" x14ac:dyDescent="0.3">
      <c r="A1552">
        <v>1550</v>
      </c>
      <c r="B1552" s="47">
        <v>680.48645044031912</v>
      </c>
      <c r="C1552" s="46">
        <v>378.71539434999426</v>
      </c>
      <c r="D1552" s="1">
        <v>56</v>
      </c>
      <c r="E1552" s="1">
        <v>57</v>
      </c>
      <c r="F1552" s="1" t="s">
        <v>50</v>
      </c>
      <c r="G1552" s="1" t="s">
        <v>50</v>
      </c>
      <c r="H1552" s="1" t="s">
        <v>50</v>
      </c>
      <c r="I1552" s="1" t="s">
        <v>50</v>
      </c>
      <c r="J1552" s="1" t="s">
        <v>50</v>
      </c>
      <c r="K1552" s="1" t="s">
        <v>50</v>
      </c>
      <c r="L1552">
        <f t="shared" si="159"/>
        <v>437.06154465065606</v>
      </c>
      <c r="M1552">
        <f t="shared" si="158"/>
        <v>243.42490578966306</v>
      </c>
      <c r="N1552" t="e">
        <f t="shared" si="160"/>
        <v>#N/A</v>
      </c>
      <c r="O1552" t="e">
        <f t="shared" si="161"/>
        <v>#N/A</v>
      </c>
      <c r="P1552" t="e">
        <f t="shared" si="162"/>
        <v>#N/A</v>
      </c>
      <c r="Q1552" t="e">
        <f t="shared" si="163"/>
        <v>#N/A</v>
      </c>
      <c r="U1552">
        <f>C1552/Navio!$J$4</f>
        <v>20.449013041803614</v>
      </c>
    </row>
    <row r="1553" spans="1:21" x14ac:dyDescent="0.3">
      <c r="A1553">
        <v>1551</v>
      </c>
      <c r="B1553" s="47">
        <v>479.14862949688842</v>
      </c>
      <c r="C1553" s="46">
        <v>391.16130318877345</v>
      </c>
      <c r="D1553" s="1">
        <v>56</v>
      </c>
      <c r="E1553" s="1">
        <v>58</v>
      </c>
      <c r="F1553" s="1" t="s">
        <v>50</v>
      </c>
      <c r="G1553" s="1" t="s">
        <v>50</v>
      </c>
      <c r="H1553" s="1" t="s">
        <v>50</v>
      </c>
      <c r="I1553" s="1" t="s">
        <v>50</v>
      </c>
      <c r="J1553" s="1" t="s">
        <v>50</v>
      </c>
      <c r="K1553" s="1" t="s">
        <v>50</v>
      </c>
      <c r="L1553">
        <f t="shared" si="159"/>
        <v>437.06154465065606</v>
      </c>
      <c r="M1553">
        <f t="shared" si="158"/>
        <v>126.26125453869709</v>
      </c>
      <c r="N1553" t="e">
        <f t="shared" si="160"/>
        <v>#N/A</v>
      </c>
      <c r="O1553" t="e">
        <f t="shared" si="161"/>
        <v>#N/A</v>
      </c>
      <c r="P1553" t="e">
        <f t="shared" si="162"/>
        <v>#N/A</v>
      </c>
      <c r="Q1553" t="e">
        <f t="shared" si="163"/>
        <v>#N/A</v>
      </c>
      <c r="U1553">
        <f>C1553/Navio!$J$4</f>
        <v>21.121038937656394</v>
      </c>
    </row>
    <row r="1554" spans="1:21" x14ac:dyDescent="0.3">
      <c r="A1554">
        <v>1552</v>
      </c>
      <c r="B1554" s="47">
        <v>699.55994887430347</v>
      </c>
      <c r="C1554" s="46">
        <v>385.48246759647975</v>
      </c>
      <c r="D1554" s="1">
        <v>56</v>
      </c>
      <c r="E1554" s="1">
        <v>59</v>
      </c>
      <c r="F1554" s="1" t="s">
        <v>50</v>
      </c>
      <c r="G1554" s="1" t="s">
        <v>50</v>
      </c>
      <c r="H1554" s="1" t="s">
        <v>50</v>
      </c>
      <c r="I1554" s="1" t="s">
        <v>50</v>
      </c>
      <c r="J1554" s="1" t="s">
        <v>50</v>
      </c>
      <c r="K1554" s="1" t="s">
        <v>50</v>
      </c>
      <c r="L1554">
        <f t="shared" si="159"/>
        <v>437.06154465065606</v>
      </c>
      <c r="M1554">
        <f t="shared" si="158"/>
        <v>262.49840422364741</v>
      </c>
      <c r="N1554" t="e">
        <f t="shared" si="160"/>
        <v>#N/A</v>
      </c>
      <c r="O1554" t="e">
        <f t="shared" si="161"/>
        <v>#N/A</v>
      </c>
      <c r="P1554" t="e">
        <f t="shared" si="162"/>
        <v>#N/A</v>
      </c>
      <c r="Q1554" t="e">
        <f t="shared" si="163"/>
        <v>#N/A</v>
      </c>
      <c r="U1554">
        <f>C1554/Navio!$J$4</f>
        <v>20.814406081370251</v>
      </c>
    </row>
    <row r="1555" spans="1:21" x14ac:dyDescent="0.3">
      <c r="A1555">
        <v>1553</v>
      </c>
      <c r="B1555" s="47">
        <v>285.51199063589542</v>
      </c>
      <c r="C1555" s="46">
        <v>387.39854261625999</v>
      </c>
      <c r="D1555" s="1">
        <v>57</v>
      </c>
      <c r="E1555" s="1">
        <v>58</v>
      </c>
      <c r="F1555" s="1" t="s">
        <v>50</v>
      </c>
      <c r="G1555" s="1" t="s">
        <v>50</v>
      </c>
      <c r="H1555" s="1" t="s">
        <v>50</v>
      </c>
      <c r="I1555" s="1" t="s">
        <v>50</v>
      </c>
      <c r="J1555" s="1" t="s">
        <v>50</v>
      </c>
      <c r="K1555" s="1" t="s">
        <v>50</v>
      </c>
      <c r="L1555">
        <f t="shared" si="159"/>
        <v>243.42490578966306</v>
      </c>
      <c r="M1555">
        <f t="shared" si="158"/>
        <v>126.26125453869709</v>
      </c>
      <c r="N1555" t="e">
        <f t="shared" si="160"/>
        <v>#N/A</v>
      </c>
      <c r="O1555" t="e">
        <f t="shared" si="161"/>
        <v>#N/A</v>
      </c>
      <c r="P1555" t="e">
        <f t="shared" si="162"/>
        <v>#N/A</v>
      </c>
      <c r="Q1555" t="e">
        <f t="shared" si="163"/>
        <v>#N/A</v>
      </c>
      <c r="U1555">
        <f>C1555/Navio!$J$4</f>
        <v>20.917865945038614</v>
      </c>
    </row>
    <row r="1556" spans="1:21" x14ac:dyDescent="0.3">
      <c r="A1556">
        <v>1554</v>
      </c>
      <c r="B1556" s="47">
        <v>505.92331001331047</v>
      </c>
      <c r="C1556" s="46">
        <v>388.8624468994841</v>
      </c>
      <c r="D1556" s="1">
        <v>57</v>
      </c>
      <c r="E1556" s="1">
        <v>59</v>
      </c>
      <c r="F1556" s="1" t="s">
        <v>50</v>
      </c>
      <c r="G1556" s="1" t="s">
        <v>50</v>
      </c>
      <c r="H1556" s="1" t="s">
        <v>50</v>
      </c>
      <c r="I1556" s="1" t="s">
        <v>50</v>
      </c>
      <c r="J1556" s="1" t="s">
        <v>50</v>
      </c>
      <c r="K1556" s="1" t="s">
        <v>50</v>
      </c>
      <c r="L1556">
        <f t="shared" si="159"/>
        <v>243.42490578966306</v>
      </c>
      <c r="M1556">
        <f t="shared" si="158"/>
        <v>262.49840422364741</v>
      </c>
      <c r="N1556" t="e">
        <f t="shared" si="160"/>
        <v>#N/A</v>
      </c>
      <c r="O1556" t="e">
        <f t="shared" si="161"/>
        <v>#N/A</v>
      </c>
      <c r="P1556" t="e">
        <f t="shared" si="162"/>
        <v>#N/A</v>
      </c>
      <c r="Q1556" t="e">
        <f t="shared" si="163"/>
        <v>#N/A</v>
      </c>
      <c r="U1556">
        <f>C1556/Navio!$J$4</f>
        <v>20.996910521061146</v>
      </c>
    </row>
    <row r="1557" spans="1:21" x14ac:dyDescent="0.3">
      <c r="A1557">
        <v>1555</v>
      </c>
      <c r="B1557" s="47">
        <v>304.58548906987977</v>
      </c>
      <c r="C1557" s="46">
        <v>397.27150080050865</v>
      </c>
      <c r="D1557" s="1">
        <v>58</v>
      </c>
      <c r="E1557" s="1">
        <v>59</v>
      </c>
      <c r="F1557" s="1" t="s">
        <v>50</v>
      </c>
      <c r="G1557" s="1" t="s">
        <v>50</v>
      </c>
      <c r="H1557" s="1" t="s">
        <v>50</v>
      </c>
      <c r="I1557" s="1" t="s">
        <v>50</v>
      </c>
      <c r="J1557" s="1" t="s">
        <v>50</v>
      </c>
      <c r="K1557" s="1" t="s">
        <v>50</v>
      </c>
      <c r="L1557">
        <f t="shared" si="159"/>
        <v>126.26125453869709</v>
      </c>
      <c r="M1557">
        <f t="shared" si="158"/>
        <v>262.49840422364741</v>
      </c>
      <c r="N1557" t="e">
        <f t="shared" si="160"/>
        <v>#N/A</v>
      </c>
      <c r="O1557" t="e">
        <f t="shared" si="161"/>
        <v>#N/A</v>
      </c>
      <c r="P1557" t="e">
        <f t="shared" si="162"/>
        <v>#N/A</v>
      </c>
      <c r="Q1557" t="e">
        <f t="shared" si="163"/>
        <v>#N/A</v>
      </c>
      <c r="U1557">
        <f>C1557/Navio!$J$4</f>
        <v>21.450963499779949</v>
      </c>
    </row>
    <row r="1558" spans="1:21" x14ac:dyDescent="0.3">
      <c r="A1558">
        <v>1556</v>
      </c>
      <c r="B1558" s="47">
        <v>369.66989500651493</v>
      </c>
      <c r="C1558" s="46">
        <v>355.02945693901512</v>
      </c>
      <c r="D1558" s="1">
        <v>52</v>
      </c>
      <c r="E1558" s="1">
        <v>51</v>
      </c>
      <c r="F1558" s="1">
        <v>50</v>
      </c>
      <c r="G1558" s="1" t="s">
        <v>50</v>
      </c>
      <c r="H1558" s="1" t="s">
        <v>50</v>
      </c>
      <c r="I1558" s="1" t="s">
        <v>50</v>
      </c>
      <c r="J1558" s="1" t="s">
        <v>50</v>
      </c>
      <c r="K1558" s="1" t="s">
        <v>50</v>
      </c>
      <c r="L1558">
        <f t="shared" si="159"/>
        <v>169.3516454756429</v>
      </c>
      <c r="M1558">
        <f t="shared" si="158"/>
        <v>100.96468435237094</v>
      </c>
      <c r="N1558">
        <f t="shared" si="160"/>
        <v>99.353565178501128</v>
      </c>
      <c r="O1558" t="e">
        <f t="shared" si="161"/>
        <v>#N/A</v>
      </c>
      <c r="P1558" t="e">
        <f t="shared" si="162"/>
        <v>#N/A</v>
      </c>
      <c r="Q1558" t="e">
        <f t="shared" si="163"/>
        <v>#N/A</v>
      </c>
      <c r="U1558">
        <f>C1558/Navio!$J$4</f>
        <v>19.170073631759891</v>
      </c>
    </row>
    <row r="1559" spans="1:21" x14ac:dyDescent="0.3">
      <c r="A1559">
        <v>1557</v>
      </c>
      <c r="B1559" s="47">
        <v>601.16175080624066</v>
      </c>
      <c r="C1559" s="46">
        <v>358.35011158450334</v>
      </c>
      <c r="D1559" s="1">
        <v>53</v>
      </c>
      <c r="E1559" s="1">
        <v>51</v>
      </c>
      <c r="F1559" s="1">
        <v>50</v>
      </c>
      <c r="G1559" s="1" t="s">
        <v>50</v>
      </c>
      <c r="H1559" s="1" t="s">
        <v>50</v>
      </c>
      <c r="I1559" s="1" t="s">
        <v>50</v>
      </c>
      <c r="J1559" s="1" t="s">
        <v>50</v>
      </c>
      <c r="K1559" s="1" t="s">
        <v>50</v>
      </c>
      <c r="L1559">
        <f t="shared" si="159"/>
        <v>400.84350127536862</v>
      </c>
      <c r="M1559">
        <f t="shared" si="158"/>
        <v>100.96468435237094</v>
      </c>
      <c r="N1559">
        <f t="shared" si="160"/>
        <v>99.353565178501128</v>
      </c>
      <c r="O1559" t="e">
        <f t="shared" si="161"/>
        <v>#N/A</v>
      </c>
      <c r="P1559" t="e">
        <f t="shared" si="162"/>
        <v>#N/A</v>
      </c>
      <c r="Q1559" t="e">
        <f t="shared" si="163"/>
        <v>#N/A</v>
      </c>
      <c r="U1559">
        <f>C1559/Navio!$J$4</f>
        <v>19.349374793439527</v>
      </c>
    </row>
    <row r="1560" spans="1:21" x14ac:dyDescent="0.3">
      <c r="A1560">
        <v>1558</v>
      </c>
      <c r="B1560" s="47">
        <v>697.40970986036632</v>
      </c>
      <c r="C1560" s="46">
        <v>354.82900068390245</v>
      </c>
      <c r="D1560" s="1">
        <v>51</v>
      </c>
      <c r="E1560" s="1">
        <v>54</v>
      </c>
      <c r="F1560" s="1">
        <v>50</v>
      </c>
      <c r="G1560" s="1" t="s">
        <v>50</v>
      </c>
      <c r="H1560" s="1" t="s">
        <v>50</v>
      </c>
      <c r="I1560" s="1" t="s">
        <v>50</v>
      </c>
      <c r="J1560" s="1" t="s">
        <v>50</v>
      </c>
      <c r="K1560" s="1" t="s">
        <v>50</v>
      </c>
      <c r="L1560">
        <f t="shared" si="159"/>
        <v>100.96468435237094</v>
      </c>
      <c r="M1560">
        <f t="shared" si="158"/>
        <v>497.09146032949423</v>
      </c>
      <c r="N1560">
        <f t="shared" si="160"/>
        <v>99.353565178501128</v>
      </c>
      <c r="O1560" t="e">
        <f t="shared" si="161"/>
        <v>#N/A</v>
      </c>
      <c r="P1560" t="e">
        <f t="shared" si="162"/>
        <v>#N/A</v>
      </c>
      <c r="Q1560" t="e">
        <f t="shared" si="163"/>
        <v>#N/A</v>
      </c>
      <c r="U1560">
        <f>C1560/Navio!$J$4</f>
        <v>19.159249850534561</v>
      </c>
    </row>
    <row r="1561" spans="1:21" x14ac:dyDescent="0.3">
      <c r="A1561">
        <v>1559</v>
      </c>
      <c r="B1561" s="47">
        <v>395.74461775725933</v>
      </c>
      <c r="C1561" s="46">
        <v>365.177075177897</v>
      </c>
      <c r="D1561" s="1">
        <v>51</v>
      </c>
      <c r="E1561" s="1">
        <v>55</v>
      </c>
      <c r="F1561" s="1">
        <v>50</v>
      </c>
      <c r="G1561" s="1" t="s">
        <v>50</v>
      </c>
      <c r="H1561" s="1" t="s">
        <v>50</v>
      </c>
      <c r="I1561" s="1" t="s">
        <v>50</v>
      </c>
      <c r="J1561" s="1" t="s">
        <v>50</v>
      </c>
      <c r="K1561" s="1" t="s">
        <v>50</v>
      </c>
      <c r="L1561">
        <f t="shared" si="159"/>
        <v>100.96468435237094</v>
      </c>
      <c r="M1561">
        <f t="shared" si="158"/>
        <v>195.4263682263873</v>
      </c>
      <c r="N1561">
        <f t="shared" si="160"/>
        <v>99.353565178501128</v>
      </c>
      <c r="O1561" t="e">
        <f t="shared" si="161"/>
        <v>#N/A</v>
      </c>
      <c r="P1561" t="e">
        <f t="shared" si="162"/>
        <v>#N/A</v>
      </c>
      <c r="Q1561" t="e">
        <f t="shared" si="163"/>
        <v>#N/A</v>
      </c>
      <c r="U1561">
        <f>C1561/Navio!$J$4</f>
        <v>19.7180016558274</v>
      </c>
    </row>
    <row r="1562" spans="1:21" x14ac:dyDescent="0.3">
      <c r="A1562">
        <v>1560</v>
      </c>
      <c r="B1562" s="47">
        <v>637.37979418152815</v>
      </c>
      <c r="C1562" s="46">
        <v>373.82103938605286</v>
      </c>
      <c r="D1562" s="1">
        <v>51</v>
      </c>
      <c r="E1562" s="1">
        <v>56</v>
      </c>
      <c r="F1562" s="1">
        <v>50</v>
      </c>
      <c r="G1562" s="1" t="s">
        <v>50</v>
      </c>
      <c r="H1562" s="1" t="s">
        <v>50</v>
      </c>
      <c r="I1562" s="1" t="s">
        <v>50</v>
      </c>
      <c r="J1562" s="1" t="s">
        <v>50</v>
      </c>
      <c r="K1562" s="1" t="s">
        <v>50</v>
      </c>
      <c r="L1562">
        <f t="shared" si="159"/>
        <v>100.96468435237094</v>
      </c>
      <c r="M1562">
        <f t="shared" si="158"/>
        <v>437.06154465065606</v>
      </c>
      <c r="N1562">
        <f t="shared" si="160"/>
        <v>99.353565178501128</v>
      </c>
      <c r="O1562" t="e">
        <f t="shared" si="161"/>
        <v>#N/A</v>
      </c>
      <c r="P1562" t="e">
        <f t="shared" si="162"/>
        <v>#N/A</v>
      </c>
      <c r="Q1562" t="e">
        <f t="shared" si="163"/>
        <v>#N/A</v>
      </c>
      <c r="U1562">
        <f>C1562/Navio!$J$4</f>
        <v>20.184738787358178</v>
      </c>
    </row>
    <row r="1563" spans="1:21" x14ac:dyDescent="0.3">
      <c r="A1563">
        <v>1561</v>
      </c>
      <c r="B1563" s="47">
        <v>443.74315532053515</v>
      </c>
      <c r="C1563" s="46">
        <v>375.09018002225724</v>
      </c>
      <c r="D1563" s="1">
        <v>51</v>
      </c>
      <c r="E1563" s="1">
        <v>57</v>
      </c>
      <c r="F1563" s="1">
        <v>50</v>
      </c>
      <c r="G1563" s="1" t="s">
        <v>50</v>
      </c>
      <c r="H1563" s="1" t="s">
        <v>50</v>
      </c>
      <c r="I1563" s="1" t="s">
        <v>50</v>
      </c>
      <c r="J1563" s="1" t="s">
        <v>50</v>
      </c>
      <c r="K1563" s="1" t="s">
        <v>50</v>
      </c>
      <c r="L1563">
        <f t="shared" si="159"/>
        <v>100.96468435237094</v>
      </c>
      <c r="M1563">
        <f t="shared" si="158"/>
        <v>243.42490578966306</v>
      </c>
      <c r="N1563">
        <f t="shared" si="160"/>
        <v>99.353565178501128</v>
      </c>
      <c r="O1563" t="e">
        <f t="shared" si="161"/>
        <v>#N/A</v>
      </c>
      <c r="P1563" t="e">
        <f t="shared" si="162"/>
        <v>#N/A</v>
      </c>
      <c r="Q1563" t="e">
        <f t="shared" si="163"/>
        <v>#N/A</v>
      </c>
      <c r="U1563">
        <f>C1563/Navio!$J$4</f>
        <v>20.253266958667847</v>
      </c>
    </row>
    <row r="1564" spans="1:21" x14ac:dyDescent="0.3">
      <c r="A1564">
        <v>1562</v>
      </c>
      <c r="B1564" s="47">
        <v>242.40533437710442</v>
      </c>
      <c r="C1564" s="46">
        <v>386.26222522678779</v>
      </c>
      <c r="D1564" s="1">
        <v>51</v>
      </c>
      <c r="E1564" s="1">
        <v>58</v>
      </c>
      <c r="F1564" s="1">
        <v>50</v>
      </c>
      <c r="G1564" s="1" t="s">
        <v>50</v>
      </c>
      <c r="H1564" s="1" t="s">
        <v>50</v>
      </c>
      <c r="I1564" s="1" t="s">
        <v>50</v>
      </c>
      <c r="J1564" s="1" t="s">
        <v>50</v>
      </c>
      <c r="K1564" s="1" t="s">
        <v>50</v>
      </c>
      <c r="L1564">
        <f t="shared" si="159"/>
        <v>100.96468435237094</v>
      </c>
      <c r="M1564">
        <f t="shared" si="158"/>
        <v>126.26125453869709</v>
      </c>
      <c r="N1564">
        <f t="shared" si="160"/>
        <v>99.353565178501128</v>
      </c>
      <c r="O1564" t="e">
        <f t="shared" si="161"/>
        <v>#N/A</v>
      </c>
      <c r="P1564" t="e">
        <f t="shared" si="162"/>
        <v>#N/A</v>
      </c>
      <c r="Q1564" t="e">
        <f t="shared" si="163"/>
        <v>#N/A</v>
      </c>
      <c r="U1564">
        <f>C1564/Navio!$J$4</f>
        <v>20.856509661497967</v>
      </c>
    </row>
    <row r="1565" spans="1:21" x14ac:dyDescent="0.3">
      <c r="A1565">
        <v>1563</v>
      </c>
      <c r="B1565" s="47">
        <v>462.81665375451951</v>
      </c>
      <c r="C1565" s="46">
        <v>389.00688895450764</v>
      </c>
      <c r="D1565" s="1">
        <v>51</v>
      </c>
      <c r="E1565" s="1">
        <v>59</v>
      </c>
      <c r="F1565" s="1">
        <v>50</v>
      </c>
      <c r="G1565" s="1" t="s">
        <v>50</v>
      </c>
      <c r="H1565" s="1" t="s">
        <v>50</v>
      </c>
      <c r="I1565" s="1" t="s">
        <v>50</v>
      </c>
      <c r="J1565" s="1" t="s">
        <v>50</v>
      </c>
      <c r="K1565" s="1" t="s">
        <v>50</v>
      </c>
      <c r="L1565">
        <f t="shared" si="159"/>
        <v>100.96468435237094</v>
      </c>
      <c r="M1565">
        <f t="shared" si="158"/>
        <v>262.49840422364741</v>
      </c>
      <c r="N1565">
        <f t="shared" si="160"/>
        <v>99.353565178501128</v>
      </c>
      <c r="O1565" t="e">
        <f t="shared" si="161"/>
        <v>#N/A</v>
      </c>
      <c r="P1565" t="e">
        <f t="shared" si="162"/>
        <v>#N/A</v>
      </c>
      <c r="Q1565" t="e">
        <f t="shared" si="163"/>
        <v>#N/A</v>
      </c>
      <c r="U1565">
        <f>C1565/Navio!$J$4</f>
        <v>21.004709774830669</v>
      </c>
    </row>
    <row r="1566" spans="1:21" x14ac:dyDescent="0.3">
      <c r="A1566">
        <v>1564</v>
      </c>
      <c r="B1566" s="47">
        <v>669.54871192951259</v>
      </c>
      <c r="C1566" s="46">
        <v>358.46962227825543</v>
      </c>
      <c r="D1566" s="1">
        <v>52</v>
      </c>
      <c r="E1566" s="1">
        <v>53</v>
      </c>
      <c r="F1566" s="1">
        <v>50</v>
      </c>
      <c r="G1566" s="1" t="s">
        <v>50</v>
      </c>
      <c r="H1566" s="1" t="s">
        <v>50</v>
      </c>
      <c r="I1566" s="1" t="s">
        <v>50</v>
      </c>
      <c r="J1566" s="1" t="s">
        <v>50</v>
      </c>
      <c r="K1566" s="1" t="s">
        <v>50</v>
      </c>
      <c r="L1566">
        <f t="shared" si="159"/>
        <v>169.3516454756429</v>
      </c>
      <c r="M1566">
        <f t="shared" si="158"/>
        <v>400.84350127536862</v>
      </c>
      <c r="N1566">
        <f t="shared" si="160"/>
        <v>99.353565178501128</v>
      </c>
      <c r="O1566" t="e">
        <f t="shared" si="161"/>
        <v>#N/A</v>
      </c>
      <c r="P1566" t="e">
        <f t="shared" si="162"/>
        <v>#N/A</v>
      </c>
      <c r="Q1566" t="e">
        <f t="shared" si="163"/>
        <v>#N/A</v>
      </c>
      <c r="U1566">
        <f>C1566/Navio!$J$4</f>
        <v>19.355827860232246</v>
      </c>
    </row>
    <row r="1567" spans="1:21" x14ac:dyDescent="0.3">
      <c r="A1567">
        <v>1565</v>
      </c>
      <c r="B1567" s="47">
        <v>765.79667098363825</v>
      </c>
      <c r="C1567" s="46">
        <v>362.83035583999617</v>
      </c>
      <c r="D1567" s="1">
        <v>52</v>
      </c>
      <c r="E1567" s="1">
        <v>54</v>
      </c>
      <c r="F1567" s="1">
        <v>50</v>
      </c>
      <c r="G1567" s="1" t="s">
        <v>50</v>
      </c>
      <c r="H1567" s="1" t="s">
        <v>50</v>
      </c>
      <c r="I1567" s="1" t="s">
        <v>50</v>
      </c>
      <c r="J1567" s="1" t="s">
        <v>50</v>
      </c>
      <c r="K1567" s="1" t="s">
        <v>50</v>
      </c>
      <c r="L1567">
        <f t="shared" si="159"/>
        <v>169.3516454756429</v>
      </c>
      <c r="M1567">
        <f t="shared" si="158"/>
        <v>497.09146032949423</v>
      </c>
      <c r="N1567">
        <f t="shared" si="160"/>
        <v>99.353565178501128</v>
      </c>
      <c r="O1567" t="e">
        <f t="shared" si="161"/>
        <v>#N/A</v>
      </c>
      <c r="P1567" t="e">
        <f t="shared" si="162"/>
        <v>#N/A</v>
      </c>
      <c r="Q1567" t="e">
        <f t="shared" si="163"/>
        <v>#N/A</v>
      </c>
      <c r="U1567">
        <f>C1567/Navio!$J$4</f>
        <v>19.591288839126218</v>
      </c>
    </row>
    <row r="1568" spans="1:21" x14ac:dyDescent="0.3">
      <c r="A1568">
        <v>1566</v>
      </c>
      <c r="B1568" s="47">
        <v>464.13157888053132</v>
      </c>
      <c r="C1568" s="46">
        <v>372.02539136229854</v>
      </c>
      <c r="D1568" s="1">
        <v>52</v>
      </c>
      <c r="E1568" s="1">
        <v>55</v>
      </c>
      <c r="F1568" s="1">
        <v>50</v>
      </c>
      <c r="G1568" s="1" t="s">
        <v>50</v>
      </c>
      <c r="H1568" s="1" t="s">
        <v>50</v>
      </c>
      <c r="I1568" s="1" t="s">
        <v>50</v>
      </c>
      <c r="J1568" s="1" t="s">
        <v>50</v>
      </c>
      <c r="K1568" s="1" t="s">
        <v>50</v>
      </c>
      <c r="L1568">
        <f t="shared" si="159"/>
        <v>169.3516454756429</v>
      </c>
      <c r="M1568">
        <f t="shared" si="158"/>
        <v>195.4263682263873</v>
      </c>
      <c r="N1568">
        <f t="shared" si="160"/>
        <v>99.353565178501128</v>
      </c>
      <c r="O1568" t="e">
        <f t="shared" si="161"/>
        <v>#N/A</v>
      </c>
      <c r="P1568" t="e">
        <f t="shared" si="162"/>
        <v>#N/A</v>
      </c>
      <c r="Q1568" t="e">
        <f t="shared" si="163"/>
        <v>#N/A</v>
      </c>
      <c r="U1568">
        <f>C1568/Navio!$J$4</f>
        <v>20.087781466889957</v>
      </c>
    </row>
    <row r="1569" spans="1:21" x14ac:dyDescent="0.3">
      <c r="A1569">
        <v>1567</v>
      </c>
      <c r="B1569" s="47">
        <v>705.76675530480009</v>
      </c>
      <c r="C1569" s="46">
        <v>372.70498314546688</v>
      </c>
      <c r="D1569" s="1">
        <v>52</v>
      </c>
      <c r="E1569" s="1">
        <v>56</v>
      </c>
      <c r="F1569" s="1">
        <v>50</v>
      </c>
      <c r="G1569" s="1" t="s">
        <v>50</v>
      </c>
      <c r="H1569" s="1" t="s">
        <v>50</v>
      </c>
      <c r="I1569" s="1" t="s">
        <v>50</v>
      </c>
      <c r="J1569" s="1" t="s">
        <v>50</v>
      </c>
      <c r="K1569" s="1" t="s">
        <v>50</v>
      </c>
      <c r="L1569">
        <f t="shared" si="159"/>
        <v>169.3516454756429</v>
      </c>
      <c r="M1569">
        <f t="shared" si="158"/>
        <v>437.06154465065606</v>
      </c>
      <c r="N1569">
        <f t="shared" si="160"/>
        <v>99.353565178501128</v>
      </c>
      <c r="O1569" t="e">
        <f t="shared" si="161"/>
        <v>#N/A</v>
      </c>
      <c r="P1569" t="e">
        <f t="shared" si="162"/>
        <v>#N/A</v>
      </c>
      <c r="Q1569" t="e">
        <f t="shared" si="163"/>
        <v>#N/A</v>
      </c>
      <c r="U1569">
        <f>C1569/Navio!$J$4</f>
        <v>20.12447651928138</v>
      </c>
    </row>
    <row r="1570" spans="1:21" x14ac:dyDescent="0.3">
      <c r="A1570">
        <v>1568</v>
      </c>
      <c r="B1570" s="47">
        <v>512.13011644380708</v>
      </c>
      <c r="C1570" s="46">
        <v>377.10902584271673</v>
      </c>
      <c r="D1570" s="1">
        <v>52</v>
      </c>
      <c r="E1570" s="1">
        <v>57</v>
      </c>
      <c r="F1570" s="1">
        <v>50</v>
      </c>
      <c r="G1570" s="1" t="s">
        <v>50</v>
      </c>
      <c r="H1570" s="1" t="s">
        <v>50</v>
      </c>
      <c r="I1570" s="1" t="s">
        <v>50</v>
      </c>
      <c r="J1570" s="1" t="s">
        <v>50</v>
      </c>
      <c r="K1570" s="1" t="s">
        <v>50</v>
      </c>
      <c r="L1570">
        <f t="shared" si="159"/>
        <v>169.3516454756429</v>
      </c>
      <c r="M1570">
        <f t="shared" si="158"/>
        <v>243.42490578966306</v>
      </c>
      <c r="N1570">
        <f t="shared" si="160"/>
        <v>99.353565178501128</v>
      </c>
      <c r="O1570" t="e">
        <f t="shared" si="161"/>
        <v>#N/A</v>
      </c>
      <c r="P1570" t="e">
        <f t="shared" si="162"/>
        <v>#N/A</v>
      </c>
      <c r="Q1570" t="e">
        <f t="shared" si="163"/>
        <v>#N/A</v>
      </c>
      <c r="U1570">
        <f>C1570/Navio!$J$4</f>
        <v>20.362276006432658</v>
      </c>
    </row>
    <row r="1571" spans="1:21" x14ac:dyDescent="0.3">
      <c r="A1571">
        <v>1569</v>
      </c>
      <c r="B1571" s="47">
        <v>310.79229550037638</v>
      </c>
      <c r="C1571" s="46">
        <v>389.30853495599899</v>
      </c>
      <c r="D1571" s="1">
        <v>52</v>
      </c>
      <c r="E1571" s="1">
        <v>58</v>
      </c>
      <c r="F1571" s="1">
        <v>50</v>
      </c>
      <c r="G1571" s="1" t="s">
        <v>50</v>
      </c>
      <c r="H1571" s="1" t="s">
        <v>50</v>
      </c>
      <c r="I1571" s="1" t="s">
        <v>50</v>
      </c>
      <c r="J1571" s="1" t="s">
        <v>50</v>
      </c>
      <c r="K1571" s="1" t="s">
        <v>50</v>
      </c>
      <c r="L1571">
        <f t="shared" si="159"/>
        <v>169.3516454756429</v>
      </c>
      <c r="M1571">
        <f t="shared" si="158"/>
        <v>126.26125453869709</v>
      </c>
      <c r="N1571">
        <f t="shared" si="160"/>
        <v>99.353565178501128</v>
      </c>
      <c r="O1571" t="e">
        <f t="shared" si="161"/>
        <v>#N/A</v>
      </c>
      <c r="P1571" t="e">
        <f t="shared" si="162"/>
        <v>#N/A</v>
      </c>
      <c r="Q1571" t="e">
        <f t="shared" si="163"/>
        <v>#N/A</v>
      </c>
      <c r="U1571">
        <f>C1571/Navio!$J$4</f>
        <v>21.020997369976076</v>
      </c>
    </row>
    <row r="1572" spans="1:21" x14ac:dyDescent="0.3">
      <c r="A1572">
        <v>1570</v>
      </c>
      <c r="B1572" s="47">
        <v>531.20361487779144</v>
      </c>
      <c r="C1572" s="46">
        <v>388.05237244566763</v>
      </c>
      <c r="D1572" s="1">
        <v>52</v>
      </c>
      <c r="E1572" s="1">
        <v>59</v>
      </c>
      <c r="F1572" s="1">
        <v>50</v>
      </c>
      <c r="G1572" s="1" t="s">
        <v>50</v>
      </c>
      <c r="H1572" s="1" t="s">
        <v>50</v>
      </c>
      <c r="I1572" s="1" t="s">
        <v>50</v>
      </c>
      <c r="J1572" s="1" t="s">
        <v>50</v>
      </c>
      <c r="K1572" s="1" t="s">
        <v>50</v>
      </c>
      <c r="L1572">
        <f t="shared" si="159"/>
        <v>169.3516454756429</v>
      </c>
      <c r="M1572">
        <f t="shared" si="158"/>
        <v>262.49840422364741</v>
      </c>
      <c r="N1572">
        <f t="shared" si="160"/>
        <v>99.353565178501128</v>
      </c>
      <c r="O1572" t="e">
        <f t="shared" si="161"/>
        <v>#N/A</v>
      </c>
      <c r="P1572" t="e">
        <f t="shared" si="162"/>
        <v>#N/A</v>
      </c>
      <c r="Q1572" t="e">
        <f t="shared" si="163"/>
        <v>#N/A</v>
      </c>
      <c r="U1572">
        <f>C1572/Navio!$J$4</f>
        <v>20.953169962007937</v>
      </c>
    </row>
    <row r="1573" spans="1:21" x14ac:dyDescent="0.3">
      <c r="A1573">
        <v>1571</v>
      </c>
      <c r="B1573" s="47">
        <v>695.62343468025711</v>
      </c>
      <c r="C1573" s="46">
        <v>374.07255259083456</v>
      </c>
      <c r="D1573" s="1">
        <v>53</v>
      </c>
      <c r="E1573" s="1">
        <v>55</v>
      </c>
      <c r="F1573" s="1">
        <v>50</v>
      </c>
      <c r="G1573" s="1" t="s">
        <v>50</v>
      </c>
      <c r="H1573" s="1" t="s">
        <v>50</v>
      </c>
      <c r="I1573" s="1" t="s">
        <v>50</v>
      </c>
      <c r="J1573" s="1" t="s">
        <v>50</v>
      </c>
      <c r="K1573" s="1" t="s">
        <v>50</v>
      </c>
      <c r="L1573">
        <f t="shared" si="159"/>
        <v>400.84350127536862</v>
      </c>
      <c r="M1573">
        <f t="shared" si="158"/>
        <v>195.4263682263873</v>
      </c>
      <c r="N1573">
        <f t="shared" si="160"/>
        <v>99.353565178501128</v>
      </c>
      <c r="O1573" t="e">
        <f t="shared" si="161"/>
        <v>#N/A</v>
      </c>
      <c r="P1573" t="e">
        <f t="shared" si="162"/>
        <v>#N/A</v>
      </c>
      <c r="Q1573" t="e">
        <f t="shared" si="163"/>
        <v>#N/A</v>
      </c>
      <c r="U1573">
        <f>C1573/Navio!$J$4</f>
        <v>20.198319425698994</v>
      </c>
    </row>
    <row r="1574" spans="1:21" x14ac:dyDescent="0.3">
      <c r="A1574">
        <v>1572</v>
      </c>
      <c r="B1574" s="47">
        <v>743.62197224353281</v>
      </c>
      <c r="C1574" s="46">
        <v>377.85898055005458</v>
      </c>
      <c r="D1574" s="1">
        <v>53</v>
      </c>
      <c r="E1574" s="1">
        <v>57</v>
      </c>
      <c r="F1574" s="1">
        <v>50</v>
      </c>
      <c r="G1574" s="1" t="s">
        <v>50</v>
      </c>
      <c r="H1574" s="1" t="s">
        <v>50</v>
      </c>
      <c r="I1574" s="1" t="s">
        <v>50</v>
      </c>
      <c r="J1574" s="1" t="s">
        <v>50</v>
      </c>
      <c r="K1574" s="1" t="s">
        <v>50</v>
      </c>
      <c r="L1574">
        <f t="shared" si="159"/>
        <v>400.84350127536862</v>
      </c>
      <c r="M1574">
        <f t="shared" si="158"/>
        <v>243.42490578966306</v>
      </c>
      <c r="N1574">
        <f t="shared" si="160"/>
        <v>99.353565178501128</v>
      </c>
      <c r="O1574" t="e">
        <f t="shared" si="161"/>
        <v>#N/A</v>
      </c>
      <c r="P1574" t="e">
        <f t="shared" si="162"/>
        <v>#N/A</v>
      </c>
      <c r="Q1574" t="e">
        <f t="shared" si="163"/>
        <v>#N/A</v>
      </c>
      <c r="U1574">
        <f>C1574/Navio!$J$4</f>
        <v>20.40277035606805</v>
      </c>
    </row>
    <row r="1575" spans="1:21" x14ac:dyDescent="0.3">
      <c r="A1575">
        <v>1573</v>
      </c>
      <c r="B1575" s="47">
        <v>542.28415130010217</v>
      </c>
      <c r="C1575" s="46">
        <v>390.14304972491789</v>
      </c>
      <c r="D1575" s="1">
        <v>53</v>
      </c>
      <c r="E1575" s="1">
        <v>58</v>
      </c>
      <c r="F1575" s="1">
        <v>50</v>
      </c>
      <c r="G1575" s="1" t="s">
        <v>50</v>
      </c>
      <c r="H1575" s="1" t="s">
        <v>50</v>
      </c>
      <c r="I1575" s="1" t="s">
        <v>50</v>
      </c>
      <c r="J1575" s="1" t="s">
        <v>50</v>
      </c>
      <c r="K1575" s="1" t="s">
        <v>50</v>
      </c>
      <c r="L1575">
        <f t="shared" si="159"/>
        <v>400.84350127536862</v>
      </c>
      <c r="M1575">
        <f t="shared" si="158"/>
        <v>126.26125453869709</v>
      </c>
      <c r="N1575">
        <f t="shared" si="160"/>
        <v>99.353565178501128</v>
      </c>
      <c r="O1575" t="e">
        <f t="shared" si="161"/>
        <v>#N/A</v>
      </c>
      <c r="P1575" t="e">
        <f t="shared" si="162"/>
        <v>#N/A</v>
      </c>
      <c r="Q1575" t="e">
        <f t="shared" si="163"/>
        <v>#N/A</v>
      </c>
      <c r="U1575">
        <f>C1575/Navio!$J$4</f>
        <v>21.066057601611202</v>
      </c>
    </row>
    <row r="1576" spans="1:21" x14ac:dyDescent="0.3">
      <c r="A1576">
        <v>1574</v>
      </c>
      <c r="B1576" s="47">
        <v>762.69547067751716</v>
      </c>
      <c r="C1576" s="46">
        <v>388.14051933806184</v>
      </c>
      <c r="D1576" s="1">
        <v>53</v>
      </c>
      <c r="E1576" s="1">
        <v>59</v>
      </c>
      <c r="F1576" s="1">
        <v>50</v>
      </c>
      <c r="G1576" s="1" t="s">
        <v>50</v>
      </c>
      <c r="H1576" s="1" t="s">
        <v>50</v>
      </c>
      <c r="I1576" s="1" t="s">
        <v>50</v>
      </c>
      <c r="J1576" s="1" t="s">
        <v>50</v>
      </c>
      <c r="K1576" s="1" t="s">
        <v>50</v>
      </c>
      <c r="L1576">
        <f t="shared" si="159"/>
        <v>400.84350127536862</v>
      </c>
      <c r="M1576">
        <f t="shared" si="158"/>
        <v>262.49840422364741</v>
      </c>
      <c r="N1576">
        <f t="shared" si="160"/>
        <v>99.353565178501128</v>
      </c>
      <c r="O1576" t="e">
        <f t="shared" si="161"/>
        <v>#N/A</v>
      </c>
      <c r="P1576" t="e">
        <f t="shared" si="162"/>
        <v>#N/A</v>
      </c>
      <c r="Q1576" t="e">
        <f t="shared" si="163"/>
        <v>#N/A</v>
      </c>
      <c r="U1576">
        <f>C1576/Navio!$J$4</f>
        <v>20.957929517545036</v>
      </c>
    </row>
    <row r="1577" spans="1:21" x14ac:dyDescent="0.3">
      <c r="A1577">
        <v>1575</v>
      </c>
      <c r="B1577" s="47">
        <v>791.87139373438265</v>
      </c>
      <c r="C1577" s="46">
        <v>361.9610054861123</v>
      </c>
      <c r="D1577" s="1">
        <v>55</v>
      </c>
      <c r="E1577" s="1">
        <v>54</v>
      </c>
      <c r="F1577" s="1">
        <v>50</v>
      </c>
      <c r="G1577" s="1" t="s">
        <v>50</v>
      </c>
      <c r="H1577" s="1" t="s">
        <v>50</v>
      </c>
      <c r="I1577" s="1" t="s">
        <v>50</v>
      </c>
      <c r="J1577" s="1" t="s">
        <v>50</v>
      </c>
      <c r="K1577" s="1" t="s">
        <v>50</v>
      </c>
      <c r="L1577">
        <f t="shared" si="159"/>
        <v>195.4263682263873</v>
      </c>
      <c r="M1577">
        <f t="shared" si="158"/>
        <v>497.09146032949423</v>
      </c>
      <c r="N1577">
        <f t="shared" si="160"/>
        <v>99.353565178501128</v>
      </c>
      <c r="O1577" t="e">
        <f t="shared" si="161"/>
        <v>#N/A</v>
      </c>
      <c r="P1577" t="e">
        <f t="shared" si="162"/>
        <v>#N/A</v>
      </c>
      <c r="Q1577" t="e">
        <f t="shared" si="163"/>
        <v>#N/A</v>
      </c>
      <c r="U1577">
        <f>C1577/Navio!$J$4</f>
        <v>19.544347634755638</v>
      </c>
    </row>
    <row r="1578" spans="1:21" x14ac:dyDescent="0.3">
      <c r="A1578">
        <v>1576</v>
      </c>
      <c r="B1578" s="47">
        <v>839.86993129765847</v>
      </c>
      <c r="C1578" s="46">
        <v>376.65423932878662</v>
      </c>
      <c r="D1578" s="1">
        <v>57</v>
      </c>
      <c r="E1578" s="1">
        <v>54</v>
      </c>
      <c r="F1578" s="1">
        <v>50</v>
      </c>
      <c r="G1578" s="1" t="s">
        <v>50</v>
      </c>
      <c r="H1578" s="1" t="s">
        <v>50</v>
      </c>
      <c r="I1578" s="1" t="s">
        <v>50</v>
      </c>
      <c r="J1578" s="1" t="s">
        <v>50</v>
      </c>
      <c r="K1578" s="1" t="s">
        <v>50</v>
      </c>
      <c r="L1578">
        <f t="shared" si="159"/>
        <v>243.42490578966306</v>
      </c>
      <c r="M1578">
        <f t="shared" si="158"/>
        <v>497.09146032949423</v>
      </c>
      <c r="N1578">
        <f t="shared" si="160"/>
        <v>99.353565178501128</v>
      </c>
      <c r="O1578" t="e">
        <f t="shared" si="161"/>
        <v>#N/A</v>
      </c>
      <c r="P1578" t="e">
        <f t="shared" si="162"/>
        <v>#N/A</v>
      </c>
      <c r="Q1578" t="e">
        <f t="shared" si="163"/>
        <v>#N/A</v>
      </c>
      <c r="U1578">
        <f>C1578/Navio!$J$4</f>
        <v>20.337719477985868</v>
      </c>
    </row>
    <row r="1579" spans="1:21" x14ac:dyDescent="0.3">
      <c r="A1579">
        <v>1577</v>
      </c>
      <c r="B1579" s="47">
        <v>638.53211035422771</v>
      </c>
      <c r="C1579" s="46">
        <v>385.97292712373633</v>
      </c>
      <c r="D1579" s="1">
        <v>54</v>
      </c>
      <c r="E1579" s="1">
        <v>58</v>
      </c>
      <c r="F1579" s="1">
        <v>50</v>
      </c>
      <c r="G1579" s="1" t="s">
        <v>50</v>
      </c>
      <c r="H1579" s="1" t="s">
        <v>50</v>
      </c>
      <c r="I1579" s="1" t="s">
        <v>50</v>
      </c>
      <c r="J1579" s="1" t="s">
        <v>50</v>
      </c>
      <c r="K1579" s="1" t="s">
        <v>50</v>
      </c>
      <c r="L1579">
        <f t="shared" si="159"/>
        <v>497.09146032949423</v>
      </c>
      <c r="M1579">
        <f t="shared" si="158"/>
        <v>126.26125453869709</v>
      </c>
      <c r="N1579">
        <f t="shared" si="160"/>
        <v>99.353565178501128</v>
      </c>
      <c r="O1579" t="e">
        <f t="shared" si="161"/>
        <v>#N/A</v>
      </c>
      <c r="P1579" t="e">
        <f t="shared" si="162"/>
        <v>#N/A</v>
      </c>
      <c r="Q1579" t="e">
        <f t="shared" si="163"/>
        <v>#N/A</v>
      </c>
      <c r="U1579">
        <f>C1579/Navio!$J$4</f>
        <v>20.840888800105674</v>
      </c>
    </row>
    <row r="1580" spans="1:21" x14ac:dyDescent="0.3">
      <c r="A1580">
        <v>1578</v>
      </c>
      <c r="B1580" s="47">
        <v>858.94342973164271</v>
      </c>
      <c r="C1580" s="46">
        <v>390.43492913139704</v>
      </c>
      <c r="D1580" s="1">
        <v>59</v>
      </c>
      <c r="E1580" s="1">
        <v>54</v>
      </c>
      <c r="F1580" s="1">
        <v>50</v>
      </c>
      <c r="G1580" s="1" t="s">
        <v>50</v>
      </c>
      <c r="H1580" s="1" t="s">
        <v>50</v>
      </c>
      <c r="I1580" s="1" t="s">
        <v>50</v>
      </c>
      <c r="J1580" s="1" t="s">
        <v>50</v>
      </c>
      <c r="K1580" s="1" t="s">
        <v>50</v>
      </c>
      <c r="L1580">
        <f t="shared" si="159"/>
        <v>262.49840422364741</v>
      </c>
      <c r="M1580">
        <f t="shared" si="158"/>
        <v>497.09146032949423</v>
      </c>
      <c r="N1580">
        <f t="shared" si="160"/>
        <v>99.353565178501128</v>
      </c>
      <c r="O1580" t="e">
        <f t="shared" si="161"/>
        <v>#N/A</v>
      </c>
      <c r="P1580" t="e">
        <f t="shared" si="162"/>
        <v>#N/A</v>
      </c>
      <c r="Q1580" t="e">
        <f t="shared" si="163"/>
        <v>#N/A</v>
      </c>
      <c r="U1580">
        <f>C1580/Navio!$J$4</f>
        <v>21.081817842358667</v>
      </c>
    </row>
    <row r="1581" spans="1:21" x14ac:dyDescent="0.3">
      <c r="A1581">
        <v>1579</v>
      </c>
      <c r="B1581" s="47">
        <v>731.84147805554448</v>
      </c>
      <c r="C1581" s="46">
        <v>381.35318844331232</v>
      </c>
      <c r="D1581" s="1">
        <v>56</v>
      </c>
      <c r="E1581" s="1">
        <v>55</v>
      </c>
      <c r="F1581" s="1">
        <v>50</v>
      </c>
      <c r="G1581" s="1" t="s">
        <v>50</v>
      </c>
      <c r="H1581" s="1" t="s">
        <v>50</v>
      </c>
      <c r="I1581" s="1" t="s">
        <v>50</v>
      </c>
      <c r="J1581" s="1" t="s">
        <v>50</v>
      </c>
      <c r="K1581" s="1" t="s">
        <v>50</v>
      </c>
      <c r="L1581">
        <f t="shared" si="159"/>
        <v>437.06154465065606</v>
      </c>
      <c r="M1581">
        <f t="shared" si="158"/>
        <v>195.4263682263873</v>
      </c>
      <c r="N1581">
        <f t="shared" si="160"/>
        <v>99.353565178501128</v>
      </c>
      <c r="O1581" t="e">
        <f t="shared" si="161"/>
        <v>#N/A</v>
      </c>
      <c r="P1581" t="e">
        <f t="shared" si="162"/>
        <v>#N/A</v>
      </c>
      <c r="Q1581" t="e">
        <f t="shared" si="163"/>
        <v>#N/A</v>
      </c>
      <c r="U1581">
        <f>C1581/Navio!$J$4</f>
        <v>20.591442651533193</v>
      </c>
    </row>
    <row r="1582" spans="1:21" x14ac:dyDescent="0.3">
      <c r="A1582">
        <v>1580</v>
      </c>
      <c r="B1582" s="47">
        <v>538.20483919455148</v>
      </c>
      <c r="C1582" s="46">
        <v>379.35394250569232</v>
      </c>
      <c r="D1582" s="1">
        <v>55</v>
      </c>
      <c r="E1582" s="1">
        <v>57</v>
      </c>
      <c r="F1582" s="1">
        <v>50</v>
      </c>
      <c r="G1582" s="1" t="s">
        <v>50</v>
      </c>
      <c r="H1582" s="1" t="s">
        <v>50</v>
      </c>
      <c r="I1582" s="1" t="s">
        <v>50</v>
      </c>
      <c r="J1582" s="1" t="s">
        <v>50</v>
      </c>
      <c r="K1582" s="1" t="s">
        <v>50</v>
      </c>
      <c r="L1582">
        <f t="shared" si="159"/>
        <v>195.4263682263873</v>
      </c>
      <c r="M1582">
        <f t="shared" si="158"/>
        <v>243.42490578966306</v>
      </c>
      <c r="N1582">
        <f t="shared" si="160"/>
        <v>99.353565178501128</v>
      </c>
      <c r="O1582" t="e">
        <f t="shared" si="161"/>
        <v>#N/A</v>
      </c>
      <c r="P1582" t="e">
        <f t="shared" si="162"/>
        <v>#N/A</v>
      </c>
      <c r="Q1582" t="e">
        <f t="shared" si="163"/>
        <v>#N/A</v>
      </c>
      <c r="U1582">
        <f>C1582/Navio!$J$4</f>
        <v>20.483491913691303</v>
      </c>
    </row>
    <row r="1583" spans="1:21" x14ac:dyDescent="0.3">
      <c r="A1583">
        <v>1581</v>
      </c>
      <c r="B1583" s="47">
        <v>336.86701825112078</v>
      </c>
      <c r="C1583" s="46">
        <v>386.5968957383958</v>
      </c>
      <c r="D1583" s="1">
        <v>55</v>
      </c>
      <c r="E1583" s="1">
        <v>58</v>
      </c>
      <c r="F1583" s="1">
        <v>50</v>
      </c>
      <c r="G1583" s="1" t="s">
        <v>50</v>
      </c>
      <c r="H1583" s="1" t="s">
        <v>50</v>
      </c>
      <c r="I1583" s="1" t="s">
        <v>50</v>
      </c>
      <c r="J1583" s="1" t="s">
        <v>50</v>
      </c>
      <c r="K1583" s="1" t="s">
        <v>50</v>
      </c>
      <c r="L1583">
        <f t="shared" si="159"/>
        <v>195.4263682263873</v>
      </c>
      <c r="M1583">
        <f t="shared" si="158"/>
        <v>126.26125453869709</v>
      </c>
      <c r="N1583">
        <f t="shared" si="160"/>
        <v>99.353565178501128</v>
      </c>
      <c r="O1583" t="e">
        <f t="shared" si="161"/>
        <v>#N/A</v>
      </c>
      <c r="P1583" t="e">
        <f t="shared" si="162"/>
        <v>#N/A</v>
      </c>
      <c r="Q1583" t="e">
        <f t="shared" si="163"/>
        <v>#N/A</v>
      </c>
      <c r="U1583">
        <f>C1583/Navio!$J$4</f>
        <v>20.874580439075746</v>
      </c>
    </row>
    <row r="1584" spans="1:21" x14ac:dyDescent="0.3">
      <c r="A1584">
        <v>1582</v>
      </c>
      <c r="B1584" s="47">
        <v>557.27833762853584</v>
      </c>
      <c r="C1584" s="46">
        <v>393.95257708837119</v>
      </c>
      <c r="D1584" s="1">
        <v>59</v>
      </c>
      <c r="E1584" s="1">
        <v>55</v>
      </c>
      <c r="F1584" s="1">
        <v>50</v>
      </c>
      <c r="G1584" s="1" t="s">
        <v>50</v>
      </c>
      <c r="H1584" s="1" t="s">
        <v>50</v>
      </c>
      <c r="I1584" s="1" t="s">
        <v>50</v>
      </c>
      <c r="J1584" s="1" t="s">
        <v>50</v>
      </c>
      <c r="K1584" s="1" t="s">
        <v>50</v>
      </c>
      <c r="L1584">
        <f t="shared" si="159"/>
        <v>262.49840422364741</v>
      </c>
      <c r="M1584">
        <f t="shared" si="158"/>
        <v>195.4263682263873</v>
      </c>
      <c r="N1584">
        <f t="shared" si="160"/>
        <v>99.353565178501128</v>
      </c>
      <c r="O1584" t="e">
        <f t="shared" si="161"/>
        <v>#N/A</v>
      </c>
      <c r="P1584" t="e">
        <f t="shared" si="162"/>
        <v>#N/A</v>
      </c>
      <c r="Q1584" t="e">
        <f t="shared" si="163"/>
        <v>#N/A</v>
      </c>
      <c r="U1584">
        <f>C1584/Navio!$J$4</f>
        <v>21.271755801104966</v>
      </c>
    </row>
    <row r="1585" spans="1:21" x14ac:dyDescent="0.3">
      <c r="A1585">
        <v>1583</v>
      </c>
      <c r="B1585" s="47">
        <v>779.84001561882019</v>
      </c>
      <c r="C1585" s="46">
        <v>379.23685294644201</v>
      </c>
      <c r="D1585" s="1">
        <v>56</v>
      </c>
      <c r="E1585" s="1">
        <v>57</v>
      </c>
      <c r="F1585" s="1">
        <v>50</v>
      </c>
      <c r="G1585" s="1" t="s">
        <v>50</v>
      </c>
      <c r="H1585" s="1" t="s">
        <v>50</v>
      </c>
      <c r="I1585" s="1" t="s">
        <v>50</v>
      </c>
      <c r="J1585" s="1" t="s">
        <v>50</v>
      </c>
      <c r="K1585" s="1" t="s">
        <v>50</v>
      </c>
      <c r="L1585">
        <f t="shared" si="159"/>
        <v>437.06154465065606</v>
      </c>
      <c r="M1585">
        <f t="shared" si="158"/>
        <v>243.42490578966306</v>
      </c>
      <c r="N1585">
        <f t="shared" si="160"/>
        <v>99.353565178501128</v>
      </c>
      <c r="O1585" t="e">
        <f t="shared" si="161"/>
        <v>#N/A</v>
      </c>
      <c r="P1585" t="e">
        <f t="shared" si="162"/>
        <v>#N/A</v>
      </c>
      <c r="Q1585" t="e">
        <f t="shared" si="163"/>
        <v>#N/A</v>
      </c>
      <c r="U1585">
        <f>C1585/Navio!$J$4</f>
        <v>20.477169577816159</v>
      </c>
    </row>
    <row r="1586" spans="1:21" x14ac:dyDescent="0.3">
      <c r="A1586">
        <v>1584</v>
      </c>
      <c r="B1586" s="47">
        <v>578.50219467538955</v>
      </c>
      <c r="C1586" s="46">
        <v>391.1613043825198</v>
      </c>
      <c r="D1586" s="1">
        <v>56</v>
      </c>
      <c r="E1586" s="1">
        <v>58</v>
      </c>
      <c r="F1586" s="1">
        <v>50</v>
      </c>
      <c r="G1586" s="1" t="s">
        <v>50</v>
      </c>
      <c r="H1586" s="1" t="s">
        <v>50</v>
      </c>
      <c r="I1586" s="1" t="s">
        <v>50</v>
      </c>
      <c r="J1586" s="1" t="s">
        <v>50</v>
      </c>
      <c r="K1586" s="1" t="s">
        <v>50</v>
      </c>
      <c r="L1586">
        <f t="shared" si="159"/>
        <v>437.06154465065606</v>
      </c>
      <c r="M1586">
        <f t="shared" si="158"/>
        <v>126.26125453869709</v>
      </c>
      <c r="N1586">
        <f t="shared" si="160"/>
        <v>99.353565178501128</v>
      </c>
      <c r="O1586" t="e">
        <f t="shared" si="161"/>
        <v>#N/A</v>
      </c>
      <c r="P1586" t="e">
        <f t="shared" si="162"/>
        <v>#N/A</v>
      </c>
      <c r="Q1586" t="e">
        <f t="shared" si="163"/>
        <v>#N/A</v>
      </c>
      <c r="U1586">
        <f>C1586/Navio!$J$4</f>
        <v>21.121039002113598</v>
      </c>
    </row>
    <row r="1587" spans="1:21" x14ac:dyDescent="0.3">
      <c r="A1587">
        <v>1585</v>
      </c>
      <c r="B1587" s="47">
        <v>798.91351405280466</v>
      </c>
      <c r="C1587" s="46">
        <v>388.02654514437063</v>
      </c>
      <c r="D1587" s="1">
        <v>56</v>
      </c>
      <c r="E1587" s="1">
        <v>59</v>
      </c>
      <c r="F1587" s="1">
        <v>50</v>
      </c>
      <c r="G1587" s="1" t="s">
        <v>50</v>
      </c>
      <c r="H1587" s="1" t="s">
        <v>50</v>
      </c>
      <c r="I1587" s="1" t="s">
        <v>50</v>
      </c>
      <c r="J1587" s="1" t="s">
        <v>50</v>
      </c>
      <c r="K1587" s="1" t="s">
        <v>50</v>
      </c>
      <c r="L1587">
        <f t="shared" si="159"/>
        <v>437.06154465065606</v>
      </c>
      <c r="M1587">
        <f t="shared" si="158"/>
        <v>262.49840422364741</v>
      </c>
      <c r="N1587">
        <f t="shared" si="160"/>
        <v>99.353565178501128</v>
      </c>
      <c r="O1587" t="e">
        <f t="shared" si="161"/>
        <v>#N/A</v>
      </c>
      <c r="P1587" t="e">
        <f t="shared" si="162"/>
        <v>#N/A</v>
      </c>
      <c r="Q1587" t="e">
        <f t="shared" si="163"/>
        <v>#N/A</v>
      </c>
      <c r="U1587">
        <f>C1587/Navio!$J$4</f>
        <v>20.951775398098111</v>
      </c>
    </row>
    <row r="1588" spans="1:21" x14ac:dyDescent="0.3">
      <c r="A1588">
        <v>1586</v>
      </c>
      <c r="B1588" s="47">
        <v>384.86555581439654</v>
      </c>
      <c r="C1588" s="46">
        <v>387.3985438100064</v>
      </c>
      <c r="D1588" s="1">
        <v>57</v>
      </c>
      <c r="E1588" s="1">
        <v>58</v>
      </c>
      <c r="F1588" s="1">
        <v>50</v>
      </c>
      <c r="G1588" s="1" t="s">
        <v>50</v>
      </c>
      <c r="H1588" s="1" t="s">
        <v>50</v>
      </c>
      <c r="I1588" s="1" t="s">
        <v>50</v>
      </c>
      <c r="J1588" s="1" t="s">
        <v>50</v>
      </c>
      <c r="K1588" s="1" t="s">
        <v>50</v>
      </c>
      <c r="L1588">
        <f t="shared" si="159"/>
        <v>243.42490578966306</v>
      </c>
      <c r="M1588">
        <f t="shared" si="158"/>
        <v>126.26125453869709</v>
      </c>
      <c r="N1588">
        <f t="shared" si="160"/>
        <v>99.353565178501128</v>
      </c>
      <c r="O1588" t="e">
        <f t="shared" si="161"/>
        <v>#N/A</v>
      </c>
      <c r="P1588" t="e">
        <f t="shared" si="162"/>
        <v>#N/A</v>
      </c>
      <c r="Q1588" t="e">
        <f t="shared" si="163"/>
        <v>#N/A</v>
      </c>
      <c r="U1588">
        <f>C1588/Navio!$J$4</f>
        <v>20.917866009495818</v>
      </c>
    </row>
    <row r="1589" spans="1:21" x14ac:dyDescent="0.3">
      <c r="A1589">
        <v>1587</v>
      </c>
      <c r="B1589" s="47">
        <v>605.27687519181154</v>
      </c>
      <c r="C1589" s="46">
        <v>389.3839054959318</v>
      </c>
      <c r="D1589" s="1">
        <v>59</v>
      </c>
      <c r="E1589" s="1">
        <v>57</v>
      </c>
      <c r="F1589" s="1">
        <v>50</v>
      </c>
      <c r="G1589" s="1" t="s">
        <v>50</v>
      </c>
      <c r="H1589" s="1" t="s">
        <v>50</v>
      </c>
      <c r="I1589" s="1" t="s">
        <v>50</v>
      </c>
      <c r="J1589" s="1" t="s">
        <v>50</v>
      </c>
      <c r="K1589" s="1" t="s">
        <v>50</v>
      </c>
      <c r="L1589">
        <f t="shared" si="159"/>
        <v>262.49840422364741</v>
      </c>
      <c r="M1589">
        <f t="shared" si="158"/>
        <v>243.42490578966306</v>
      </c>
      <c r="N1589">
        <f t="shared" si="160"/>
        <v>99.353565178501128</v>
      </c>
      <c r="O1589" t="e">
        <f t="shared" si="161"/>
        <v>#N/A</v>
      </c>
      <c r="P1589" t="e">
        <f t="shared" si="162"/>
        <v>#N/A</v>
      </c>
      <c r="Q1589" t="e">
        <f t="shared" si="163"/>
        <v>#N/A</v>
      </c>
      <c r="U1589">
        <f>C1589/Navio!$J$4</f>
        <v>21.025067057073688</v>
      </c>
    </row>
    <row r="1590" spans="1:21" x14ac:dyDescent="0.3">
      <c r="A1590">
        <v>1588</v>
      </c>
      <c r="B1590" s="47">
        <v>403.9390542483809</v>
      </c>
      <c r="C1590" s="46">
        <v>397.271501994255</v>
      </c>
      <c r="D1590" s="1">
        <v>59</v>
      </c>
      <c r="E1590" s="1">
        <v>58</v>
      </c>
      <c r="F1590" s="1">
        <v>50</v>
      </c>
      <c r="G1590" s="1" t="s">
        <v>50</v>
      </c>
      <c r="H1590" s="1" t="s">
        <v>50</v>
      </c>
      <c r="I1590" s="1" t="s">
        <v>50</v>
      </c>
      <c r="J1590" s="1" t="s">
        <v>50</v>
      </c>
      <c r="K1590" s="1" t="s">
        <v>50</v>
      </c>
      <c r="L1590">
        <f t="shared" si="159"/>
        <v>262.49840422364741</v>
      </c>
      <c r="M1590">
        <f t="shared" si="158"/>
        <v>126.26125453869709</v>
      </c>
      <c r="N1590">
        <f t="shared" si="160"/>
        <v>99.353565178501128</v>
      </c>
      <c r="O1590" t="e">
        <f t="shared" si="161"/>
        <v>#N/A</v>
      </c>
      <c r="P1590" t="e">
        <f t="shared" si="162"/>
        <v>#N/A</v>
      </c>
      <c r="Q1590" t="e">
        <f t="shared" si="163"/>
        <v>#N/A</v>
      </c>
      <c r="U1590">
        <f>C1590/Navio!$J$4</f>
        <v>21.450963564237149</v>
      </c>
    </row>
    <row r="1591" spans="1:21" x14ac:dyDescent="0.3">
      <c r="A1591">
        <v>1589</v>
      </c>
      <c r="B1591" s="47">
        <v>671.15983110338243</v>
      </c>
      <c r="C1591" s="46">
        <v>355.12872119569948</v>
      </c>
      <c r="D1591" s="1">
        <v>52</v>
      </c>
      <c r="E1591" s="1">
        <v>53</v>
      </c>
      <c r="F1591" s="1">
        <v>51</v>
      </c>
      <c r="G1591" s="1" t="s">
        <v>50</v>
      </c>
      <c r="H1591" s="1" t="s">
        <v>50</v>
      </c>
      <c r="I1591" s="1" t="s">
        <v>50</v>
      </c>
      <c r="J1591" s="1" t="s">
        <v>50</v>
      </c>
      <c r="K1591" s="1" t="s">
        <v>50</v>
      </c>
      <c r="L1591">
        <f t="shared" si="159"/>
        <v>169.3516454756429</v>
      </c>
      <c r="M1591">
        <f t="shared" si="158"/>
        <v>400.84350127536862</v>
      </c>
      <c r="N1591">
        <f t="shared" si="160"/>
        <v>100.96468435237094</v>
      </c>
      <c r="O1591" t="e">
        <f t="shared" si="161"/>
        <v>#N/A</v>
      </c>
      <c r="P1591" t="e">
        <f t="shared" si="162"/>
        <v>#N/A</v>
      </c>
      <c r="Q1591" t="e">
        <f t="shared" si="163"/>
        <v>#N/A</v>
      </c>
      <c r="U1591">
        <f>C1591/Navio!$J$4</f>
        <v>19.1754334774641</v>
      </c>
    </row>
    <row r="1592" spans="1:21" x14ac:dyDescent="0.3">
      <c r="A1592">
        <v>1590</v>
      </c>
      <c r="B1592" s="47">
        <v>767.40779015750809</v>
      </c>
      <c r="C1592" s="46">
        <v>363.41287063863911</v>
      </c>
      <c r="D1592" s="1">
        <v>54</v>
      </c>
      <c r="E1592" s="1">
        <v>51</v>
      </c>
      <c r="F1592" s="1">
        <v>52</v>
      </c>
      <c r="G1592" s="1" t="s">
        <v>50</v>
      </c>
      <c r="H1592" s="1" t="s">
        <v>50</v>
      </c>
      <c r="I1592" s="1" t="s">
        <v>50</v>
      </c>
      <c r="J1592" s="1" t="s">
        <v>50</v>
      </c>
      <c r="K1592" s="1" t="s">
        <v>50</v>
      </c>
      <c r="L1592">
        <f t="shared" si="159"/>
        <v>497.09146032949423</v>
      </c>
      <c r="M1592">
        <f t="shared" si="158"/>
        <v>100.96468435237094</v>
      </c>
      <c r="N1592">
        <f t="shared" si="160"/>
        <v>169.3516454756429</v>
      </c>
      <c r="O1592" t="e">
        <f t="shared" si="161"/>
        <v>#N/A</v>
      </c>
      <c r="P1592" t="e">
        <f t="shared" si="162"/>
        <v>#N/A</v>
      </c>
      <c r="Q1592" t="e">
        <f t="shared" si="163"/>
        <v>#N/A</v>
      </c>
      <c r="U1592">
        <f>C1592/Navio!$J$4</f>
        <v>19.622742149163795</v>
      </c>
    </row>
    <row r="1593" spans="1:21" x14ac:dyDescent="0.3">
      <c r="A1593">
        <v>1591</v>
      </c>
      <c r="B1593" s="47">
        <v>465.7426980544011</v>
      </c>
      <c r="C1593" s="46">
        <v>373.35295225305549</v>
      </c>
      <c r="D1593" s="1">
        <v>55</v>
      </c>
      <c r="E1593" s="1">
        <v>51</v>
      </c>
      <c r="F1593" s="1">
        <v>52</v>
      </c>
      <c r="G1593" s="1" t="s">
        <v>50</v>
      </c>
      <c r="H1593" s="1" t="s">
        <v>50</v>
      </c>
      <c r="I1593" s="1" t="s">
        <v>50</v>
      </c>
      <c r="J1593" s="1" t="s">
        <v>50</v>
      </c>
      <c r="K1593" s="1" t="s">
        <v>50</v>
      </c>
      <c r="L1593">
        <f t="shared" si="159"/>
        <v>195.4263682263873</v>
      </c>
      <c r="M1593">
        <f t="shared" si="158"/>
        <v>100.96468435237094</v>
      </c>
      <c r="N1593">
        <f t="shared" si="160"/>
        <v>169.3516454756429</v>
      </c>
      <c r="O1593" t="e">
        <f t="shared" si="161"/>
        <v>#N/A</v>
      </c>
      <c r="P1593" t="e">
        <f t="shared" si="162"/>
        <v>#N/A</v>
      </c>
      <c r="Q1593" t="e">
        <f t="shared" si="163"/>
        <v>#N/A</v>
      </c>
      <c r="U1593">
        <f>C1593/Navio!$J$4</f>
        <v>20.159464082315377</v>
      </c>
    </row>
    <row r="1594" spans="1:21" x14ac:dyDescent="0.3">
      <c r="A1594">
        <v>1592</v>
      </c>
      <c r="B1594" s="47">
        <v>707.37787447866992</v>
      </c>
      <c r="C1594" s="46">
        <v>370.69391723251431</v>
      </c>
      <c r="D1594" s="1">
        <v>52</v>
      </c>
      <c r="E1594" s="1">
        <v>56</v>
      </c>
      <c r="F1594" s="1">
        <v>51</v>
      </c>
      <c r="G1594" s="1" t="s">
        <v>50</v>
      </c>
      <c r="H1594" s="1" t="s">
        <v>50</v>
      </c>
      <c r="I1594" s="1" t="s">
        <v>50</v>
      </c>
      <c r="J1594" s="1" t="s">
        <v>50</v>
      </c>
      <c r="K1594" s="1" t="s">
        <v>50</v>
      </c>
      <c r="L1594">
        <f t="shared" si="159"/>
        <v>169.3516454756429</v>
      </c>
      <c r="M1594">
        <f t="shared" si="158"/>
        <v>437.06154465065606</v>
      </c>
      <c r="N1594">
        <f t="shared" si="160"/>
        <v>100.96468435237094</v>
      </c>
      <c r="O1594" t="e">
        <f t="shared" si="161"/>
        <v>#N/A</v>
      </c>
      <c r="P1594" t="e">
        <f t="shared" si="162"/>
        <v>#N/A</v>
      </c>
      <c r="Q1594" t="e">
        <f t="shared" si="163"/>
        <v>#N/A</v>
      </c>
      <c r="U1594">
        <f>C1594/Navio!$J$4</f>
        <v>20.015887553278354</v>
      </c>
    </row>
    <row r="1595" spans="1:21" x14ac:dyDescent="0.3">
      <c r="A1595">
        <v>1593</v>
      </c>
      <c r="B1595" s="47">
        <v>513.74123561767692</v>
      </c>
      <c r="C1595" s="46">
        <v>376.58763122342623</v>
      </c>
      <c r="D1595" s="1">
        <v>52</v>
      </c>
      <c r="E1595" s="1">
        <v>57</v>
      </c>
      <c r="F1595" s="1">
        <v>51</v>
      </c>
      <c r="G1595" s="1" t="s">
        <v>50</v>
      </c>
      <c r="H1595" s="1" t="s">
        <v>50</v>
      </c>
      <c r="I1595" s="1" t="s">
        <v>50</v>
      </c>
      <c r="J1595" s="1" t="s">
        <v>50</v>
      </c>
      <c r="K1595" s="1" t="s">
        <v>50</v>
      </c>
      <c r="L1595">
        <f t="shared" si="159"/>
        <v>169.3516454756429</v>
      </c>
      <c r="M1595">
        <f t="shared" si="158"/>
        <v>243.42490578966306</v>
      </c>
      <c r="N1595">
        <f t="shared" si="160"/>
        <v>100.96468435237094</v>
      </c>
      <c r="O1595" t="e">
        <f t="shared" si="161"/>
        <v>#N/A</v>
      </c>
      <c r="P1595" t="e">
        <f t="shared" si="162"/>
        <v>#N/A</v>
      </c>
      <c r="Q1595" t="e">
        <f t="shared" si="163"/>
        <v>#N/A</v>
      </c>
      <c r="U1595">
        <f>C1595/Navio!$J$4</f>
        <v>20.334122924913231</v>
      </c>
    </row>
    <row r="1596" spans="1:21" x14ac:dyDescent="0.3">
      <c r="A1596">
        <v>1594</v>
      </c>
      <c r="B1596" s="47">
        <v>312.40341467424622</v>
      </c>
      <c r="C1596" s="46">
        <v>389.73932724381029</v>
      </c>
      <c r="D1596" s="1">
        <v>52</v>
      </c>
      <c r="E1596" s="1">
        <v>58</v>
      </c>
      <c r="F1596" s="1">
        <v>51</v>
      </c>
      <c r="G1596" s="1" t="s">
        <v>50</v>
      </c>
      <c r="H1596" s="1" t="s">
        <v>50</v>
      </c>
      <c r="I1596" s="1" t="s">
        <v>50</v>
      </c>
      <c r="J1596" s="1" t="s">
        <v>50</v>
      </c>
      <c r="K1596" s="1" t="s">
        <v>50</v>
      </c>
      <c r="L1596">
        <f t="shared" si="159"/>
        <v>169.3516454756429</v>
      </c>
      <c r="M1596">
        <f t="shared" si="158"/>
        <v>126.26125453869709</v>
      </c>
      <c r="N1596">
        <f t="shared" si="160"/>
        <v>100.96468435237094</v>
      </c>
      <c r="O1596" t="e">
        <f t="shared" si="161"/>
        <v>#N/A</v>
      </c>
      <c r="P1596" t="e">
        <f t="shared" si="162"/>
        <v>#N/A</v>
      </c>
      <c r="Q1596" t="e">
        <f t="shared" si="163"/>
        <v>#N/A</v>
      </c>
      <c r="U1596">
        <f>C1596/Navio!$J$4</f>
        <v>21.044258312739917</v>
      </c>
    </row>
    <row r="1597" spans="1:21" x14ac:dyDescent="0.3">
      <c r="A1597">
        <v>1595</v>
      </c>
      <c r="B1597" s="47">
        <v>532.81473405166128</v>
      </c>
      <c r="C1597" s="46">
        <v>386.50928520981074</v>
      </c>
      <c r="D1597" s="1">
        <v>52</v>
      </c>
      <c r="E1597" s="1">
        <v>59</v>
      </c>
      <c r="F1597" s="1">
        <v>51</v>
      </c>
      <c r="G1597" s="1" t="s">
        <v>50</v>
      </c>
      <c r="H1597" s="1" t="s">
        <v>50</v>
      </c>
      <c r="I1597" s="1" t="s">
        <v>50</v>
      </c>
      <c r="J1597" s="1" t="s">
        <v>50</v>
      </c>
      <c r="K1597" s="1" t="s">
        <v>50</v>
      </c>
      <c r="L1597">
        <f t="shared" si="159"/>
        <v>169.3516454756429</v>
      </c>
      <c r="M1597">
        <f t="shared" si="158"/>
        <v>262.49840422364741</v>
      </c>
      <c r="N1597">
        <f t="shared" si="160"/>
        <v>100.96468435237094</v>
      </c>
      <c r="O1597" t="e">
        <f t="shared" si="161"/>
        <v>#N/A</v>
      </c>
      <c r="P1597" t="e">
        <f t="shared" si="162"/>
        <v>#N/A</v>
      </c>
      <c r="Q1597" t="e">
        <f t="shared" si="163"/>
        <v>#N/A</v>
      </c>
      <c r="U1597">
        <f>C1597/Navio!$J$4</f>
        <v>20.869849844892453</v>
      </c>
    </row>
    <row r="1598" spans="1:21" x14ac:dyDescent="0.3">
      <c r="A1598">
        <v>1596</v>
      </c>
      <c r="B1598" s="47">
        <v>697.23455385412683</v>
      </c>
      <c r="C1598" s="46">
        <v>376.45900267639246</v>
      </c>
      <c r="D1598" s="1">
        <v>53</v>
      </c>
      <c r="E1598" s="1">
        <v>55</v>
      </c>
      <c r="F1598" s="1">
        <v>51</v>
      </c>
      <c r="G1598" s="1" t="s">
        <v>50</v>
      </c>
      <c r="H1598" s="1" t="s">
        <v>50</v>
      </c>
      <c r="I1598" s="1" t="s">
        <v>50</v>
      </c>
      <c r="J1598" s="1" t="s">
        <v>50</v>
      </c>
      <c r="K1598" s="1" t="s">
        <v>50</v>
      </c>
      <c r="L1598">
        <f t="shared" si="159"/>
        <v>400.84350127536862</v>
      </c>
      <c r="M1598">
        <f t="shared" si="158"/>
        <v>195.4263682263873</v>
      </c>
      <c r="N1598">
        <f t="shared" si="160"/>
        <v>100.96468435237094</v>
      </c>
      <c r="O1598" t="e">
        <f t="shared" si="161"/>
        <v>#N/A</v>
      </c>
      <c r="P1598" t="e">
        <f t="shared" si="162"/>
        <v>#N/A</v>
      </c>
      <c r="Q1598" t="e">
        <f t="shared" si="163"/>
        <v>#N/A</v>
      </c>
      <c r="U1598">
        <f>C1598/Navio!$J$4</f>
        <v>20.32717753300394</v>
      </c>
    </row>
    <row r="1599" spans="1:21" x14ac:dyDescent="0.3">
      <c r="A1599">
        <v>1597</v>
      </c>
      <c r="B1599" s="47">
        <v>745.23309141740265</v>
      </c>
      <c r="C1599" s="46">
        <v>377.33758593076408</v>
      </c>
      <c r="D1599" s="1">
        <v>53</v>
      </c>
      <c r="E1599" s="1">
        <v>57</v>
      </c>
      <c r="F1599" s="1">
        <v>51</v>
      </c>
      <c r="G1599" s="1" t="s">
        <v>50</v>
      </c>
      <c r="H1599" s="1" t="s">
        <v>50</v>
      </c>
      <c r="I1599" s="1" t="s">
        <v>50</v>
      </c>
      <c r="J1599" s="1" t="s">
        <v>50</v>
      </c>
      <c r="K1599" s="1" t="s">
        <v>50</v>
      </c>
      <c r="L1599">
        <f t="shared" si="159"/>
        <v>400.84350127536862</v>
      </c>
      <c r="M1599">
        <f t="shared" si="158"/>
        <v>243.42490578966306</v>
      </c>
      <c r="N1599">
        <f t="shared" si="160"/>
        <v>100.96468435237094</v>
      </c>
      <c r="O1599" t="e">
        <f t="shared" si="161"/>
        <v>#N/A</v>
      </c>
      <c r="P1599" t="e">
        <f t="shared" si="162"/>
        <v>#N/A</v>
      </c>
      <c r="Q1599" t="e">
        <f t="shared" si="163"/>
        <v>#N/A</v>
      </c>
      <c r="U1599">
        <f>C1599/Navio!$J$4</f>
        <v>20.374617274548619</v>
      </c>
    </row>
    <row r="1600" spans="1:21" x14ac:dyDescent="0.3">
      <c r="A1600">
        <v>1598</v>
      </c>
      <c r="B1600" s="47">
        <v>543.89527047397189</v>
      </c>
      <c r="C1600" s="46">
        <v>390.57384201272919</v>
      </c>
      <c r="D1600" s="1">
        <v>53</v>
      </c>
      <c r="E1600" s="1">
        <v>58</v>
      </c>
      <c r="F1600" s="1">
        <v>51</v>
      </c>
      <c r="G1600" s="1" t="s">
        <v>50</v>
      </c>
      <c r="H1600" s="1" t="s">
        <v>50</v>
      </c>
      <c r="I1600" s="1" t="s">
        <v>50</v>
      </c>
      <c r="J1600" s="1" t="s">
        <v>50</v>
      </c>
      <c r="K1600" s="1" t="s">
        <v>50</v>
      </c>
      <c r="L1600">
        <f t="shared" si="159"/>
        <v>400.84350127536862</v>
      </c>
      <c r="M1600">
        <f t="shared" si="158"/>
        <v>126.26125453869709</v>
      </c>
      <c r="N1600">
        <f t="shared" si="160"/>
        <v>100.96468435237094</v>
      </c>
      <c r="O1600" t="e">
        <f t="shared" si="161"/>
        <v>#N/A</v>
      </c>
      <c r="P1600" t="e">
        <f t="shared" si="162"/>
        <v>#N/A</v>
      </c>
      <c r="Q1600" t="e">
        <f t="shared" si="163"/>
        <v>#N/A</v>
      </c>
      <c r="U1600">
        <f>C1600/Navio!$J$4</f>
        <v>21.089318544375047</v>
      </c>
    </row>
    <row r="1601" spans="1:21" x14ac:dyDescent="0.3">
      <c r="A1601">
        <v>1599</v>
      </c>
      <c r="B1601" s="47">
        <v>764.306589851387</v>
      </c>
      <c r="C1601" s="46">
        <v>386.59743210220495</v>
      </c>
      <c r="D1601" s="1">
        <v>53</v>
      </c>
      <c r="E1601" s="1">
        <v>59</v>
      </c>
      <c r="F1601" s="1">
        <v>51</v>
      </c>
      <c r="G1601" s="1" t="s">
        <v>50</v>
      </c>
      <c r="H1601" s="1" t="s">
        <v>50</v>
      </c>
      <c r="I1601" s="1" t="s">
        <v>50</v>
      </c>
      <c r="J1601" s="1" t="s">
        <v>50</v>
      </c>
      <c r="K1601" s="1" t="s">
        <v>50</v>
      </c>
      <c r="L1601">
        <f t="shared" si="159"/>
        <v>400.84350127536862</v>
      </c>
      <c r="M1601">
        <f t="shared" si="158"/>
        <v>262.49840422364741</v>
      </c>
      <c r="N1601">
        <f t="shared" si="160"/>
        <v>100.96468435237094</v>
      </c>
      <c r="O1601" t="e">
        <f t="shared" si="161"/>
        <v>#N/A</v>
      </c>
      <c r="P1601" t="e">
        <f t="shared" si="162"/>
        <v>#N/A</v>
      </c>
      <c r="Q1601" t="e">
        <f t="shared" si="163"/>
        <v>#N/A</v>
      </c>
      <c r="U1601">
        <f>C1601/Navio!$J$4</f>
        <v>20.874609400429552</v>
      </c>
    </row>
    <row r="1602" spans="1:21" x14ac:dyDescent="0.3">
      <c r="A1602">
        <v>1600</v>
      </c>
      <c r="B1602" s="47">
        <v>793.48251290825249</v>
      </c>
      <c r="C1602" s="46">
        <v>364.75544845124836</v>
      </c>
      <c r="D1602" s="1">
        <v>54</v>
      </c>
      <c r="E1602" s="1">
        <v>55</v>
      </c>
      <c r="F1602" s="1">
        <v>51</v>
      </c>
      <c r="G1602" s="1" t="s">
        <v>50</v>
      </c>
      <c r="H1602" s="1" t="s">
        <v>50</v>
      </c>
      <c r="I1602" s="1" t="s">
        <v>50</v>
      </c>
      <c r="J1602" s="1" t="s">
        <v>50</v>
      </c>
      <c r="K1602" s="1" t="s">
        <v>50</v>
      </c>
      <c r="L1602">
        <f t="shared" si="159"/>
        <v>497.09146032949423</v>
      </c>
      <c r="M1602">
        <f t="shared" si="158"/>
        <v>195.4263682263873</v>
      </c>
      <c r="N1602">
        <f t="shared" si="160"/>
        <v>100.96468435237094</v>
      </c>
      <c r="O1602" t="e">
        <f t="shared" si="161"/>
        <v>#N/A</v>
      </c>
      <c r="P1602" t="e">
        <f t="shared" si="162"/>
        <v>#N/A</v>
      </c>
      <c r="Q1602" t="e">
        <f t="shared" si="163"/>
        <v>#N/A</v>
      </c>
      <c r="U1602">
        <f>C1602/Navio!$J$4</f>
        <v>19.695235614201845</v>
      </c>
    </row>
    <row r="1603" spans="1:21" x14ac:dyDescent="0.3">
      <c r="A1603">
        <v>1601</v>
      </c>
      <c r="B1603" s="47">
        <v>841.48105047152819</v>
      </c>
      <c r="C1603" s="46">
        <v>376.23263987515043</v>
      </c>
      <c r="D1603" s="1">
        <v>54</v>
      </c>
      <c r="E1603" s="1">
        <v>57</v>
      </c>
      <c r="F1603" s="1">
        <v>51</v>
      </c>
      <c r="G1603" s="1" t="s">
        <v>50</v>
      </c>
      <c r="H1603" s="1" t="s">
        <v>50</v>
      </c>
      <c r="I1603" s="1" t="s">
        <v>50</v>
      </c>
      <c r="J1603" s="1" t="s">
        <v>50</v>
      </c>
      <c r="K1603" s="1" t="s">
        <v>50</v>
      </c>
      <c r="L1603">
        <f t="shared" si="159"/>
        <v>497.09146032949423</v>
      </c>
      <c r="M1603">
        <f t="shared" ref="M1603:M1666" si="164">VLOOKUP(E1603,$Y$2:$Z$80,2)</f>
        <v>243.42490578966306</v>
      </c>
      <c r="N1603">
        <f t="shared" si="160"/>
        <v>100.96468435237094</v>
      </c>
      <c r="O1603" t="e">
        <f t="shared" si="161"/>
        <v>#N/A</v>
      </c>
      <c r="P1603" t="e">
        <f t="shared" si="162"/>
        <v>#N/A</v>
      </c>
      <c r="Q1603" t="e">
        <f t="shared" si="163"/>
        <v>#N/A</v>
      </c>
      <c r="U1603">
        <f>C1603/Navio!$J$4</f>
        <v>20.314954908986444</v>
      </c>
    </row>
    <row r="1604" spans="1:21" x14ac:dyDescent="0.3">
      <c r="A1604">
        <v>1602</v>
      </c>
      <c r="B1604" s="47">
        <v>640.14322952809755</v>
      </c>
      <c r="C1604" s="46">
        <v>386.40371941154757</v>
      </c>
      <c r="D1604" s="1">
        <v>54</v>
      </c>
      <c r="E1604" s="1">
        <v>58</v>
      </c>
      <c r="F1604" s="1">
        <v>51</v>
      </c>
      <c r="G1604" s="1" t="s">
        <v>50</v>
      </c>
      <c r="H1604" s="1" t="s">
        <v>50</v>
      </c>
      <c r="I1604" s="1" t="s">
        <v>50</v>
      </c>
      <c r="J1604" s="1" t="s">
        <v>50</v>
      </c>
      <c r="K1604" s="1" t="s">
        <v>50</v>
      </c>
      <c r="L1604">
        <f t="shared" si="159"/>
        <v>497.09146032949423</v>
      </c>
      <c r="M1604">
        <f t="shared" si="164"/>
        <v>126.26125453869709</v>
      </c>
      <c r="N1604">
        <f t="shared" si="160"/>
        <v>100.96468435237094</v>
      </c>
      <c r="O1604" t="e">
        <f t="shared" si="161"/>
        <v>#N/A</v>
      </c>
      <c r="P1604" t="e">
        <f t="shared" si="162"/>
        <v>#N/A</v>
      </c>
      <c r="Q1604" t="e">
        <f t="shared" si="163"/>
        <v>#N/A</v>
      </c>
      <c r="U1604">
        <f>C1604/Navio!$J$4</f>
        <v>20.864149742869515</v>
      </c>
    </row>
    <row r="1605" spans="1:21" x14ac:dyDescent="0.3">
      <c r="A1605">
        <v>1603</v>
      </c>
      <c r="B1605" s="47">
        <v>860.55454890551255</v>
      </c>
      <c r="C1605" s="46">
        <v>391.01425601263759</v>
      </c>
      <c r="D1605" s="1">
        <v>54</v>
      </c>
      <c r="E1605" s="1">
        <v>59</v>
      </c>
      <c r="F1605" s="1">
        <v>51</v>
      </c>
      <c r="G1605" s="1" t="s">
        <v>50</v>
      </c>
      <c r="H1605" s="1" t="s">
        <v>50</v>
      </c>
      <c r="I1605" s="1" t="s">
        <v>50</v>
      </c>
      <c r="J1605" s="1" t="s">
        <v>50</v>
      </c>
      <c r="K1605" s="1" t="s">
        <v>50</v>
      </c>
      <c r="L1605">
        <f t="shared" si="159"/>
        <v>497.09146032949423</v>
      </c>
      <c r="M1605">
        <f t="shared" si="164"/>
        <v>262.49840422364741</v>
      </c>
      <c r="N1605">
        <f t="shared" si="160"/>
        <v>100.96468435237094</v>
      </c>
      <c r="O1605" t="e">
        <f t="shared" si="161"/>
        <v>#N/A</v>
      </c>
      <c r="P1605" t="e">
        <f t="shared" si="162"/>
        <v>#N/A</v>
      </c>
      <c r="Q1605" t="e">
        <f t="shared" si="163"/>
        <v>#N/A</v>
      </c>
      <c r="U1605">
        <f>C1605/Navio!$J$4</f>
        <v>21.113099018478504</v>
      </c>
    </row>
    <row r="1606" spans="1:21" x14ac:dyDescent="0.3">
      <c r="A1606">
        <v>1604</v>
      </c>
      <c r="B1606" s="47">
        <v>733.45259722941432</v>
      </c>
      <c r="C1606" s="46">
        <v>381.78694636817056</v>
      </c>
      <c r="D1606" s="1">
        <v>55</v>
      </c>
      <c r="E1606" s="1">
        <v>56</v>
      </c>
      <c r="F1606" s="1">
        <v>51</v>
      </c>
      <c r="G1606" s="1" t="s">
        <v>50</v>
      </c>
      <c r="H1606" s="1" t="s">
        <v>50</v>
      </c>
      <c r="I1606" s="1" t="s">
        <v>50</v>
      </c>
      <c r="J1606" s="1" t="s">
        <v>50</v>
      </c>
      <c r="K1606" s="1" t="s">
        <v>50</v>
      </c>
      <c r="L1606">
        <f t="shared" si="159"/>
        <v>195.4263682263873</v>
      </c>
      <c r="M1606">
        <f t="shared" si="164"/>
        <v>437.06154465065606</v>
      </c>
      <c r="N1606">
        <f t="shared" si="160"/>
        <v>100.96468435237094</v>
      </c>
      <c r="O1606" t="e">
        <f t="shared" si="161"/>
        <v>#N/A</v>
      </c>
      <c r="P1606" t="e">
        <f t="shared" si="162"/>
        <v>#N/A</v>
      </c>
      <c r="Q1606" t="e">
        <f t="shared" si="163"/>
        <v>#N/A</v>
      </c>
      <c r="U1606">
        <f>C1606/Navio!$J$4</f>
        <v>20.614863726025387</v>
      </c>
    </row>
    <row r="1607" spans="1:21" x14ac:dyDescent="0.3">
      <c r="A1607">
        <v>1605</v>
      </c>
      <c r="B1607" s="47">
        <v>539.81595836842132</v>
      </c>
      <c r="C1607" s="46">
        <v>378.83254788640181</v>
      </c>
      <c r="D1607" s="1">
        <v>55</v>
      </c>
      <c r="E1607" s="1">
        <v>57</v>
      </c>
      <c r="F1607" s="1">
        <v>51</v>
      </c>
      <c r="G1607" s="1" t="s">
        <v>50</v>
      </c>
      <c r="H1607" s="1" t="s">
        <v>50</v>
      </c>
      <c r="I1607" s="1" t="s">
        <v>50</v>
      </c>
      <c r="J1607" s="1" t="s">
        <v>50</v>
      </c>
      <c r="K1607" s="1" t="s">
        <v>50</v>
      </c>
      <c r="L1607">
        <f t="shared" si="159"/>
        <v>195.4263682263873</v>
      </c>
      <c r="M1607">
        <f t="shared" si="164"/>
        <v>243.42490578966306</v>
      </c>
      <c r="N1607">
        <f t="shared" si="160"/>
        <v>100.96468435237094</v>
      </c>
      <c r="O1607" t="e">
        <f t="shared" si="161"/>
        <v>#N/A</v>
      </c>
      <c r="P1607" t="e">
        <f t="shared" si="162"/>
        <v>#N/A</v>
      </c>
      <c r="Q1607" t="e">
        <f t="shared" si="163"/>
        <v>#N/A</v>
      </c>
      <c r="U1607">
        <f>C1607/Navio!$J$4</f>
        <v>20.455338832171876</v>
      </c>
    </row>
    <row r="1608" spans="1:21" x14ac:dyDescent="0.3">
      <c r="A1608">
        <v>1606</v>
      </c>
      <c r="B1608" s="47">
        <v>338.47813742499062</v>
      </c>
      <c r="C1608" s="46">
        <v>387.02768802620704</v>
      </c>
      <c r="D1608" s="1">
        <v>55</v>
      </c>
      <c r="E1608" s="1">
        <v>58</v>
      </c>
      <c r="F1608" s="1">
        <v>51</v>
      </c>
      <c r="G1608" s="1" t="s">
        <v>50</v>
      </c>
      <c r="H1608" s="1" t="s">
        <v>50</v>
      </c>
      <c r="I1608" s="1" t="s">
        <v>50</v>
      </c>
      <c r="J1608" s="1" t="s">
        <v>50</v>
      </c>
      <c r="K1608" s="1" t="s">
        <v>50</v>
      </c>
      <c r="L1608">
        <f t="shared" si="159"/>
        <v>195.4263682263873</v>
      </c>
      <c r="M1608">
        <f t="shared" si="164"/>
        <v>126.26125453869709</v>
      </c>
      <c r="N1608">
        <f t="shared" si="160"/>
        <v>100.96468435237094</v>
      </c>
      <c r="O1608" t="e">
        <f t="shared" si="161"/>
        <v>#N/A</v>
      </c>
      <c r="P1608" t="e">
        <f t="shared" si="162"/>
        <v>#N/A</v>
      </c>
      <c r="Q1608" t="e">
        <f t="shared" si="163"/>
        <v>#N/A</v>
      </c>
      <c r="U1608">
        <f>C1608/Navio!$J$4</f>
        <v>20.897841381839587</v>
      </c>
    </row>
    <row r="1609" spans="1:21" x14ac:dyDescent="0.3">
      <c r="A1609">
        <v>1607</v>
      </c>
      <c r="B1609" s="47">
        <v>558.88945680240568</v>
      </c>
      <c r="C1609" s="46">
        <v>394.12391109003352</v>
      </c>
      <c r="D1609" s="1">
        <v>55</v>
      </c>
      <c r="E1609" s="1">
        <v>59</v>
      </c>
      <c r="F1609" s="1">
        <v>51</v>
      </c>
      <c r="G1609" s="1" t="s">
        <v>50</v>
      </c>
      <c r="H1609" s="1" t="s">
        <v>50</v>
      </c>
      <c r="I1609" s="1" t="s">
        <v>50</v>
      </c>
      <c r="J1609" s="1" t="s">
        <v>50</v>
      </c>
      <c r="K1609" s="1" t="s">
        <v>50</v>
      </c>
      <c r="L1609">
        <f t="shared" si="159"/>
        <v>195.4263682263873</v>
      </c>
      <c r="M1609">
        <f t="shared" si="164"/>
        <v>262.49840422364741</v>
      </c>
      <c r="N1609">
        <f t="shared" si="160"/>
        <v>100.96468435237094</v>
      </c>
      <c r="O1609" t="e">
        <f t="shared" si="161"/>
        <v>#N/A</v>
      </c>
      <c r="P1609" t="e">
        <f t="shared" si="162"/>
        <v>#N/A</v>
      </c>
      <c r="Q1609" t="e">
        <f t="shared" si="163"/>
        <v>#N/A</v>
      </c>
      <c r="U1609">
        <f>C1609/Navio!$J$4</f>
        <v>21.281007105083543</v>
      </c>
    </row>
    <row r="1610" spans="1:21" x14ac:dyDescent="0.3">
      <c r="A1610">
        <v>1608</v>
      </c>
      <c r="B1610" s="47">
        <v>781.45113479269003</v>
      </c>
      <c r="C1610" s="46">
        <v>378.71545832715151</v>
      </c>
      <c r="D1610" s="1">
        <v>56</v>
      </c>
      <c r="E1610" s="1">
        <v>57</v>
      </c>
      <c r="F1610" s="1">
        <v>51</v>
      </c>
      <c r="G1610" s="1" t="s">
        <v>50</v>
      </c>
      <c r="H1610" s="1" t="s">
        <v>50</v>
      </c>
      <c r="I1610" s="1" t="s">
        <v>50</v>
      </c>
      <c r="J1610" s="1" t="s">
        <v>50</v>
      </c>
      <c r="K1610" s="1" t="s">
        <v>50</v>
      </c>
      <c r="L1610">
        <f t="shared" si="159"/>
        <v>437.06154465065606</v>
      </c>
      <c r="M1610">
        <f t="shared" si="164"/>
        <v>243.42490578966306</v>
      </c>
      <c r="N1610">
        <f t="shared" si="160"/>
        <v>100.96468435237094</v>
      </c>
      <c r="O1610" t="e">
        <f t="shared" si="161"/>
        <v>#N/A</v>
      </c>
      <c r="P1610" t="e">
        <f t="shared" si="162"/>
        <v>#N/A</v>
      </c>
      <c r="Q1610" t="e">
        <f t="shared" si="163"/>
        <v>#N/A</v>
      </c>
      <c r="U1610">
        <f>C1610/Navio!$J$4</f>
        <v>20.449016496296728</v>
      </c>
    </row>
    <row r="1611" spans="1:21" x14ac:dyDescent="0.3">
      <c r="A1611">
        <v>1609</v>
      </c>
      <c r="B1611" s="47">
        <v>580.11331384925938</v>
      </c>
      <c r="C1611" s="46">
        <v>391.5920966703311</v>
      </c>
      <c r="D1611" s="1">
        <v>56</v>
      </c>
      <c r="E1611" s="1">
        <v>58</v>
      </c>
      <c r="F1611" s="1">
        <v>51</v>
      </c>
      <c r="G1611" s="1" t="s">
        <v>50</v>
      </c>
      <c r="H1611" s="1" t="s">
        <v>50</v>
      </c>
      <c r="I1611" s="1" t="s">
        <v>50</v>
      </c>
      <c r="J1611" s="1" t="s">
        <v>50</v>
      </c>
      <c r="K1611" s="1" t="s">
        <v>50</v>
      </c>
      <c r="L1611">
        <f t="shared" si="159"/>
        <v>437.06154465065606</v>
      </c>
      <c r="M1611">
        <f t="shared" si="164"/>
        <v>126.26125453869709</v>
      </c>
      <c r="N1611">
        <f t="shared" si="160"/>
        <v>100.96468435237094</v>
      </c>
      <c r="O1611" t="e">
        <f t="shared" si="161"/>
        <v>#N/A</v>
      </c>
      <c r="P1611" t="e">
        <f t="shared" si="162"/>
        <v>#N/A</v>
      </c>
      <c r="Q1611" t="e">
        <f t="shared" si="163"/>
        <v>#N/A</v>
      </c>
      <c r="U1611">
        <f>C1611/Navio!$J$4</f>
        <v>21.144299944877442</v>
      </c>
    </row>
    <row r="1612" spans="1:21" x14ac:dyDescent="0.3">
      <c r="A1612">
        <v>1610</v>
      </c>
      <c r="B1612" s="47">
        <v>800.52463322667438</v>
      </c>
      <c r="C1612" s="46">
        <v>386.48345790851374</v>
      </c>
      <c r="D1612" s="1">
        <v>56</v>
      </c>
      <c r="E1612" s="1">
        <v>59</v>
      </c>
      <c r="F1612" s="1">
        <v>51</v>
      </c>
      <c r="G1612" s="1" t="s">
        <v>50</v>
      </c>
      <c r="H1612" s="1" t="s">
        <v>50</v>
      </c>
      <c r="I1612" s="1" t="s">
        <v>50</v>
      </c>
      <c r="J1612" s="1" t="s">
        <v>50</v>
      </c>
      <c r="K1612" s="1" t="s">
        <v>50</v>
      </c>
      <c r="L1612">
        <f t="shared" si="159"/>
        <v>437.06154465065606</v>
      </c>
      <c r="M1612">
        <f t="shared" si="164"/>
        <v>262.49840422364741</v>
      </c>
      <c r="N1612">
        <f t="shared" si="160"/>
        <v>100.96468435237094</v>
      </c>
      <c r="O1612" t="e">
        <f t="shared" si="161"/>
        <v>#N/A</v>
      </c>
      <c r="P1612" t="e">
        <f t="shared" si="162"/>
        <v>#N/A</v>
      </c>
      <c r="Q1612" t="e">
        <f t="shared" si="163"/>
        <v>#N/A</v>
      </c>
      <c r="U1612">
        <f>C1612/Navio!$J$4</f>
        <v>20.868455280982626</v>
      </c>
    </row>
    <row r="1613" spans="1:21" x14ac:dyDescent="0.3">
      <c r="A1613">
        <v>1611</v>
      </c>
      <c r="B1613" s="47">
        <v>386.47667498826638</v>
      </c>
      <c r="C1613" s="46">
        <v>387.3986065934173</v>
      </c>
      <c r="D1613" s="1">
        <v>58</v>
      </c>
      <c r="E1613" s="1">
        <v>57</v>
      </c>
      <c r="F1613" s="1">
        <v>51</v>
      </c>
      <c r="G1613" s="1" t="s">
        <v>50</v>
      </c>
      <c r="H1613" s="1" t="s">
        <v>50</v>
      </c>
      <c r="I1613" s="1" t="s">
        <v>50</v>
      </c>
      <c r="J1613" s="1" t="s">
        <v>50</v>
      </c>
      <c r="K1613" s="1" t="s">
        <v>50</v>
      </c>
      <c r="L1613">
        <f t="shared" ref="L1613:L1676" si="165">VLOOKUP(D1613,$Y$2:$Z$80,2)</f>
        <v>126.26125453869709</v>
      </c>
      <c r="M1613">
        <f t="shared" si="164"/>
        <v>243.42490578966306</v>
      </c>
      <c r="N1613">
        <f t="shared" ref="N1613:N1676" si="166">VLOOKUP(F1613,$Y$2:$Z$80,2)</f>
        <v>100.96468435237094</v>
      </c>
      <c r="O1613" t="e">
        <f t="shared" ref="O1613:O1676" si="167">VLOOKUP(G1613,$Y$2:$Z$80,2)</f>
        <v>#N/A</v>
      </c>
      <c r="P1613" t="e">
        <f t="shared" ref="P1613:P1676" si="168">VLOOKUP(H1613,$Y$2:$Z$80,2)</f>
        <v>#N/A</v>
      </c>
      <c r="Q1613" t="e">
        <f t="shared" ref="Q1613:Q1676" si="169">VLOOKUP(I1613,$Y$2:$Z$80,2)</f>
        <v>#N/A</v>
      </c>
      <c r="U1613">
        <f>C1613/Navio!$J$4</f>
        <v>20.917869399531732</v>
      </c>
    </row>
    <row r="1614" spans="1:21" x14ac:dyDescent="0.3">
      <c r="A1614">
        <v>1612</v>
      </c>
      <c r="B1614" s="47">
        <v>606.88799436568138</v>
      </c>
      <c r="C1614" s="46">
        <v>388.86251087664129</v>
      </c>
      <c r="D1614" s="1">
        <v>59</v>
      </c>
      <c r="E1614" s="1">
        <v>57</v>
      </c>
      <c r="F1614" s="1">
        <v>51</v>
      </c>
      <c r="G1614" s="1" t="s">
        <v>50</v>
      </c>
      <c r="H1614" s="1" t="s">
        <v>50</v>
      </c>
      <c r="I1614" s="1" t="s">
        <v>50</v>
      </c>
      <c r="J1614" s="1" t="s">
        <v>50</v>
      </c>
      <c r="K1614" s="1" t="s">
        <v>50</v>
      </c>
      <c r="L1614">
        <f t="shared" si="165"/>
        <v>262.49840422364741</v>
      </c>
      <c r="M1614">
        <f t="shared" si="164"/>
        <v>243.42490578966306</v>
      </c>
      <c r="N1614">
        <f t="shared" si="166"/>
        <v>100.96468435237094</v>
      </c>
      <c r="O1614" t="e">
        <f t="shared" si="167"/>
        <v>#N/A</v>
      </c>
      <c r="P1614" t="e">
        <f t="shared" si="168"/>
        <v>#N/A</v>
      </c>
      <c r="Q1614" t="e">
        <f t="shared" si="169"/>
        <v>#N/A</v>
      </c>
      <c r="U1614">
        <f>C1614/Navio!$J$4</f>
        <v>20.996913975554261</v>
      </c>
    </row>
    <row r="1615" spans="1:21" x14ac:dyDescent="0.3">
      <c r="A1615">
        <v>1613</v>
      </c>
      <c r="B1615" s="47">
        <v>405.55017342225074</v>
      </c>
      <c r="C1615" s="46">
        <v>397.7022942820663</v>
      </c>
      <c r="D1615" s="1">
        <v>59</v>
      </c>
      <c r="E1615" s="1">
        <v>58</v>
      </c>
      <c r="F1615" s="1">
        <v>51</v>
      </c>
      <c r="G1615" s="1" t="s">
        <v>50</v>
      </c>
      <c r="H1615" s="1" t="s">
        <v>50</v>
      </c>
      <c r="I1615" s="1" t="s">
        <v>50</v>
      </c>
      <c r="J1615" s="1" t="s">
        <v>50</v>
      </c>
      <c r="K1615" s="1" t="s">
        <v>50</v>
      </c>
      <c r="L1615">
        <f t="shared" si="165"/>
        <v>262.49840422364741</v>
      </c>
      <c r="M1615">
        <f t="shared" si="164"/>
        <v>126.26125453869709</v>
      </c>
      <c r="N1615">
        <f t="shared" si="166"/>
        <v>100.96468435237094</v>
      </c>
      <c r="O1615" t="e">
        <f t="shared" si="167"/>
        <v>#N/A</v>
      </c>
      <c r="P1615" t="e">
        <f t="shared" si="168"/>
        <v>#N/A</v>
      </c>
      <c r="Q1615" t="e">
        <f t="shared" si="169"/>
        <v>#N/A</v>
      </c>
      <c r="U1615">
        <f>C1615/Navio!$J$4</f>
        <v>21.474224507000994</v>
      </c>
    </row>
    <row r="1616" spans="1:21" x14ac:dyDescent="0.3">
      <c r="A1616">
        <v>1614</v>
      </c>
      <c r="B1616" s="47">
        <v>765.62151497739887</v>
      </c>
      <c r="C1616" s="46">
        <v>373.39575883662678</v>
      </c>
      <c r="D1616" s="1">
        <v>55</v>
      </c>
      <c r="E1616" s="1">
        <v>53</v>
      </c>
      <c r="F1616" s="1">
        <v>52</v>
      </c>
      <c r="G1616" s="1" t="s">
        <v>50</v>
      </c>
      <c r="H1616" s="1" t="s">
        <v>50</v>
      </c>
      <c r="I1616" s="1" t="s">
        <v>50</v>
      </c>
      <c r="J1616" s="1" t="s">
        <v>50</v>
      </c>
      <c r="K1616" s="1" t="s">
        <v>50</v>
      </c>
      <c r="L1616">
        <f t="shared" si="165"/>
        <v>195.4263682263873</v>
      </c>
      <c r="M1616">
        <f t="shared" si="164"/>
        <v>400.84350127536862</v>
      </c>
      <c r="N1616">
        <f t="shared" si="166"/>
        <v>169.3516454756429</v>
      </c>
      <c r="O1616" t="e">
        <f t="shared" si="167"/>
        <v>#N/A</v>
      </c>
      <c r="P1616" t="e">
        <f t="shared" si="168"/>
        <v>#N/A</v>
      </c>
      <c r="Q1616" t="e">
        <f t="shared" si="169"/>
        <v>#N/A</v>
      </c>
      <c r="U1616">
        <f>C1616/Navio!$J$4</f>
        <v>20.161775454915446</v>
      </c>
    </row>
    <row r="1617" spans="1:21" x14ac:dyDescent="0.3">
      <c r="A1617">
        <v>1615</v>
      </c>
      <c r="B1617" s="47">
        <v>813.62005254067458</v>
      </c>
      <c r="C1617" s="46">
        <v>377.49038450977071</v>
      </c>
      <c r="D1617" s="1">
        <v>57</v>
      </c>
      <c r="E1617" s="1">
        <v>53</v>
      </c>
      <c r="F1617" s="1">
        <v>52</v>
      </c>
      <c r="G1617" s="1" t="s">
        <v>50</v>
      </c>
      <c r="H1617" s="1" t="s">
        <v>50</v>
      </c>
      <c r="I1617" s="1" t="s">
        <v>50</v>
      </c>
      <c r="J1617" s="1" t="s">
        <v>50</v>
      </c>
      <c r="K1617" s="1" t="s">
        <v>50</v>
      </c>
      <c r="L1617">
        <f t="shared" si="165"/>
        <v>243.42490578966306</v>
      </c>
      <c r="M1617">
        <f t="shared" si="164"/>
        <v>400.84350127536862</v>
      </c>
      <c r="N1617">
        <f t="shared" si="166"/>
        <v>169.3516454756429</v>
      </c>
      <c r="O1617" t="e">
        <f t="shared" si="167"/>
        <v>#N/A</v>
      </c>
      <c r="P1617" t="e">
        <f t="shared" si="168"/>
        <v>#N/A</v>
      </c>
      <c r="Q1617" t="e">
        <f t="shared" si="169"/>
        <v>#N/A</v>
      </c>
      <c r="U1617">
        <f>C1617/Navio!$J$4</f>
        <v>20.382867744905756</v>
      </c>
    </row>
    <row r="1618" spans="1:21" x14ac:dyDescent="0.3">
      <c r="A1618">
        <v>1616</v>
      </c>
      <c r="B1618" s="47">
        <v>612.28223159724394</v>
      </c>
      <c r="C1618" s="46">
        <v>390.29591108733541</v>
      </c>
      <c r="D1618" s="1">
        <v>58</v>
      </c>
      <c r="E1618" s="1">
        <v>53</v>
      </c>
      <c r="F1618" s="1">
        <v>52</v>
      </c>
      <c r="G1618" s="1" t="s">
        <v>50</v>
      </c>
      <c r="H1618" s="1" t="s">
        <v>50</v>
      </c>
      <c r="I1618" s="1" t="s">
        <v>50</v>
      </c>
      <c r="J1618" s="1" t="s">
        <v>50</v>
      </c>
      <c r="K1618" s="1" t="s">
        <v>50</v>
      </c>
      <c r="L1618">
        <f t="shared" si="165"/>
        <v>126.26125453869709</v>
      </c>
      <c r="M1618">
        <f t="shared" si="164"/>
        <v>400.84350127536862</v>
      </c>
      <c r="N1618">
        <f t="shared" si="166"/>
        <v>169.3516454756429</v>
      </c>
      <c r="O1618" t="e">
        <f t="shared" si="167"/>
        <v>#N/A</v>
      </c>
      <c r="P1618" t="e">
        <f t="shared" si="168"/>
        <v>#N/A</v>
      </c>
      <c r="Q1618" t="e">
        <f t="shared" si="169"/>
        <v>#N/A</v>
      </c>
      <c r="U1618">
        <f>C1618/Navio!$J$4</f>
        <v>21.074311462004253</v>
      </c>
    </row>
    <row r="1619" spans="1:21" x14ac:dyDescent="0.3">
      <c r="A1619">
        <v>1617</v>
      </c>
      <c r="B1619" s="47">
        <v>832.69355097465893</v>
      </c>
      <c r="C1619" s="46">
        <v>385.64291559336493</v>
      </c>
      <c r="D1619" s="1">
        <v>53</v>
      </c>
      <c r="E1619" s="1">
        <v>59</v>
      </c>
      <c r="F1619" s="1">
        <v>52</v>
      </c>
      <c r="G1619" s="1" t="s">
        <v>50</v>
      </c>
      <c r="H1619" s="1" t="s">
        <v>50</v>
      </c>
      <c r="I1619" s="1" t="s">
        <v>50</v>
      </c>
      <c r="J1619" s="1" t="s">
        <v>50</v>
      </c>
      <c r="K1619" s="1" t="s">
        <v>50</v>
      </c>
      <c r="L1619">
        <f t="shared" si="165"/>
        <v>400.84350127536862</v>
      </c>
      <c r="M1619">
        <f t="shared" si="164"/>
        <v>262.49840422364741</v>
      </c>
      <c r="N1619">
        <f t="shared" si="166"/>
        <v>169.3516454756429</v>
      </c>
      <c r="O1619" t="e">
        <f t="shared" si="167"/>
        <v>#N/A</v>
      </c>
      <c r="P1619" t="e">
        <f t="shared" si="168"/>
        <v>#N/A</v>
      </c>
      <c r="Q1619" t="e">
        <f t="shared" si="169"/>
        <v>#N/A</v>
      </c>
      <c r="U1619">
        <f>C1619/Navio!$J$4</f>
        <v>20.82306958760682</v>
      </c>
    </row>
    <row r="1620" spans="1:21" x14ac:dyDescent="0.3">
      <c r="A1620">
        <v>1618</v>
      </c>
      <c r="B1620" s="47">
        <v>861.86947403152442</v>
      </c>
      <c r="C1620" s="46">
        <v>371.6037646356499</v>
      </c>
      <c r="D1620" s="1">
        <v>54</v>
      </c>
      <c r="E1620" s="1">
        <v>55</v>
      </c>
      <c r="F1620" s="1">
        <v>52</v>
      </c>
      <c r="G1620" s="1" t="s">
        <v>50</v>
      </c>
      <c r="H1620" s="1" t="s">
        <v>50</v>
      </c>
      <c r="I1620" s="1" t="s">
        <v>50</v>
      </c>
      <c r="J1620" s="1" t="s">
        <v>50</v>
      </c>
      <c r="K1620" s="1" t="s">
        <v>50</v>
      </c>
      <c r="L1620">
        <f t="shared" si="165"/>
        <v>497.09146032949423</v>
      </c>
      <c r="M1620">
        <f t="shared" si="164"/>
        <v>195.4263682263873</v>
      </c>
      <c r="N1620">
        <f t="shared" si="166"/>
        <v>169.3516454756429</v>
      </c>
      <c r="O1620" t="e">
        <f t="shared" si="167"/>
        <v>#N/A</v>
      </c>
      <c r="P1620" t="e">
        <f t="shared" si="168"/>
        <v>#N/A</v>
      </c>
      <c r="Q1620" t="e">
        <f t="shared" si="169"/>
        <v>#N/A</v>
      </c>
      <c r="U1620">
        <f>C1620/Navio!$J$4</f>
        <v>20.065015425264399</v>
      </c>
    </row>
    <row r="1621" spans="1:21" x14ac:dyDescent="0.3">
      <c r="A1621">
        <v>1619</v>
      </c>
      <c r="B1621" s="47">
        <v>708.53019065136948</v>
      </c>
      <c r="C1621" s="46">
        <v>389.45002914075877</v>
      </c>
      <c r="D1621" s="1">
        <v>54</v>
      </c>
      <c r="E1621" s="1">
        <v>58</v>
      </c>
      <c r="F1621" s="1">
        <v>52</v>
      </c>
      <c r="G1621" s="1" t="s">
        <v>50</v>
      </c>
      <c r="H1621" s="1" t="s">
        <v>50</v>
      </c>
      <c r="I1621" s="1" t="s">
        <v>50</v>
      </c>
      <c r="J1621" s="1" t="s">
        <v>50</v>
      </c>
      <c r="K1621" s="1" t="s">
        <v>50</v>
      </c>
      <c r="L1621">
        <f t="shared" si="165"/>
        <v>497.09146032949423</v>
      </c>
      <c r="M1621">
        <f t="shared" si="164"/>
        <v>126.26125453869709</v>
      </c>
      <c r="N1621">
        <f t="shared" si="166"/>
        <v>169.3516454756429</v>
      </c>
      <c r="O1621" t="e">
        <f t="shared" si="167"/>
        <v>#N/A</v>
      </c>
      <c r="P1621" t="e">
        <f t="shared" si="168"/>
        <v>#N/A</v>
      </c>
      <c r="Q1621" t="e">
        <f t="shared" si="169"/>
        <v>#N/A</v>
      </c>
      <c r="U1621">
        <f>C1621/Navio!$J$4</f>
        <v>21.028637451347624</v>
      </c>
    </row>
    <row r="1622" spans="1:21" x14ac:dyDescent="0.3">
      <c r="A1622">
        <v>1620</v>
      </c>
      <c r="B1622" s="47">
        <v>801.83955835268625</v>
      </c>
      <c r="C1622" s="46">
        <v>380.67089012758458</v>
      </c>
      <c r="D1622" s="1">
        <v>55</v>
      </c>
      <c r="E1622" s="1">
        <v>56</v>
      </c>
      <c r="F1622" s="1">
        <v>52</v>
      </c>
      <c r="G1622" s="1" t="s">
        <v>50</v>
      </c>
      <c r="H1622" s="1" t="s">
        <v>50</v>
      </c>
      <c r="I1622" s="1" t="s">
        <v>50</v>
      </c>
      <c r="J1622" s="1" t="s">
        <v>50</v>
      </c>
      <c r="K1622" s="1" t="s">
        <v>50</v>
      </c>
      <c r="L1622">
        <f t="shared" si="165"/>
        <v>195.4263682263873</v>
      </c>
      <c r="M1622">
        <f t="shared" si="164"/>
        <v>437.06154465065606</v>
      </c>
      <c r="N1622">
        <f t="shared" si="166"/>
        <v>169.3516454756429</v>
      </c>
      <c r="O1622" t="e">
        <f t="shared" si="167"/>
        <v>#N/A</v>
      </c>
      <c r="P1622" t="e">
        <f t="shared" si="168"/>
        <v>#N/A</v>
      </c>
      <c r="Q1622" t="e">
        <f t="shared" si="169"/>
        <v>#N/A</v>
      </c>
      <c r="U1622">
        <f>C1622/Navio!$J$4</f>
        <v>20.554601457948589</v>
      </c>
    </row>
    <row r="1623" spans="1:21" x14ac:dyDescent="0.3">
      <c r="A1623">
        <v>1621</v>
      </c>
      <c r="B1623" s="47">
        <v>608.20291949169325</v>
      </c>
      <c r="C1623" s="46">
        <v>380.85139370686124</v>
      </c>
      <c r="D1623" s="1">
        <v>55</v>
      </c>
      <c r="E1623" s="1">
        <v>57</v>
      </c>
      <c r="F1623" s="1">
        <v>52</v>
      </c>
      <c r="G1623" s="1" t="s">
        <v>50</v>
      </c>
      <c r="H1623" s="1" t="s">
        <v>50</v>
      </c>
      <c r="I1623" s="1" t="s">
        <v>50</v>
      </c>
      <c r="J1623" s="1" t="s">
        <v>50</v>
      </c>
      <c r="K1623" s="1" t="s">
        <v>50</v>
      </c>
      <c r="L1623">
        <f t="shared" si="165"/>
        <v>195.4263682263873</v>
      </c>
      <c r="M1623">
        <f t="shared" si="164"/>
        <v>243.42490578966306</v>
      </c>
      <c r="N1623">
        <f t="shared" si="166"/>
        <v>169.3516454756429</v>
      </c>
      <c r="O1623" t="e">
        <f t="shared" si="167"/>
        <v>#N/A</v>
      </c>
      <c r="P1623" t="e">
        <f t="shared" si="168"/>
        <v>#N/A</v>
      </c>
      <c r="Q1623" t="e">
        <f t="shared" si="169"/>
        <v>#N/A</v>
      </c>
      <c r="U1623">
        <f>C1623/Navio!$J$4</f>
        <v>20.56434787993668</v>
      </c>
    </row>
    <row r="1624" spans="1:21" x14ac:dyDescent="0.3">
      <c r="A1624">
        <v>1622</v>
      </c>
      <c r="B1624" s="47">
        <v>406.86509854826255</v>
      </c>
      <c r="C1624" s="46">
        <v>390.07399775541825</v>
      </c>
      <c r="D1624" s="1">
        <v>55</v>
      </c>
      <c r="E1624" s="1">
        <v>58</v>
      </c>
      <c r="F1624" s="1">
        <v>52</v>
      </c>
      <c r="G1624" s="1" t="s">
        <v>50</v>
      </c>
      <c r="H1624" s="1" t="s">
        <v>50</v>
      </c>
      <c r="I1624" s="1" t="s">
        <v>50</v>
      </c>
      <c r="J1624" s="1" t="s">
        <v>50</v>
      </c>
      <c r="K1624" s="1" t="s">
        <v>50</v>
      </c>
      <c r="L1624">
        <f t="shared" si="165"/>
        <v>195.4263682263873</v>
      </c>
      <c r="M1624">
        <f t="shared" si="164"/>
        <v>126.26125453869709</v>
      </c>
      <c r="N1624">
        <f t="shared" si="166"/>
        <v>169.3516454756429</v>
      </c>
      <c r="O1624" t="e">
        <f t="shared" si="167"/>
        <v>#N/A</v>
      </c>
      <c r="P1624" t="e">
        <f t="shared" si="168"/>
        <v>#N/A</v>
      </c>
      <c r="Q1624" t="e">
        <f t="shared" si="169"/>
        <v>#N/A</v>
      </c>
      <c r="U1624">
        <f>C1624/Navio!$J$4</f>
        <v>21.062329090317693</v>
      </c>
    </row>
    <row r="1625" spans="1:21" x14ac:dyDescent="0.3">
      <c r="A1625">
        <v>1623</v>
      </c>
      <c r="B1625" s="47">
        <v>627.27641792567761</v>
      </c>
      <c r="C1625" s="46">
        <v>393.16939458119344</v>
      </c>
      <c r="D1625" s="1">
        <v>55</v>
      </c>
      <c r="E1625" s="1">
        <v>59</v>
      </c>
      <c r="F1625" s="1">
        <v>52</v>
      </c>
      <c r="G1625" s="1" t="s">
        <v>50</v>
      </c>
      <c r="H1625" s="1" t="s">
        <v>50</v>
      </c>
      <c r="I1625" s="1" t="s">
        <v>50</v>
      </c>
      <c r="J1625" s="1" t="s">
        <v>50</v>
      </c>
      <c r="K1625" s="1" t="s">
        <v>50</v>
      </c>
      <c r="L1625">
        <f t="shared" si="165"/>
        <v>195.4263682263873</v>
      </c>
      <c r="M1625">
        <f t="shared" si="164"/>
        <v>262.49840422364741</v>
      </c>
      <c r="N1625">
        <f t="shared" si="166"/>
        <v>169.3516454756429</v>
      </c>
      <c r="O1625" t="e">
        <f t="shared" si="167"/>
        <v>#N/A</v>
      </c>
      <c r="P1625" t="e">
        <f t="shared" si="168"/>
        <v>#N/A</v>
      </c>
      <c r="Q1625" t="e">
        <f t="shared" si="169"/>
        <v>#N/A</v>
      </c>
      <c r="U1625">
        <f>C1625/Navio!$J$4</f>
        <v>21.229467292260804</v>
      </c>
    </row>
    <row r="1626" spans="1:21" x14ac:dyDescent="0.3">
      <c r="A1626">
        <v>1624</v>
      </c>
      <c r="B1626" s="47">
        <v>849.83809591596196</v>
      </c>
      <c r="C1626" s="46">
        <v>378.86275234463812</v>
      </c>
      <c r="D1626" s="1">
        <v>57</v>
      </c>
      <c r="E1626" s="1">
        <v>56</v>
      </c>
      <c r="F1626" s="1">
        <v>52</v>
      </c>
      <c r="G1626" s="1" t="s">
        <v>50</v>
      </c>
      <c r="H1626" s="1" t="s">
        <v>50</v>
      </c>
      <c r="I1626" s="1" t="s">
        <v>50</v>
      </c>
      <c r="J1626" s="1" t="s">
        <v>50</v>
      </c>
      <c r="K1626" s="1" t="s">
        <v>50</v>
      </c>
      <c r="L1626">
        <f t="shared" si="165"/>
        <v>243.42490578966306</v>
      </c>
      <c r="M1626">
        <f t="shared" si="164"/>
        <v>437.06154465065606</v>
      </c>
      <c r="N1626">
        <f t="shared" si="166"/>
        <v>169.3516454756429</v>
      </c>
      <c r="O1626" t="e">
        <f t="shared" si="167"/>
        <v>#N/A</v>
      </c>
      <c r="P1626" t="e">
        <f t="shared" si="168"/>
        <v>#N/A</v>
      </c>
      <c r="Q1626" t="e">
        <f t="shared" si="169"/>
        <v>#N/A</v>
      </c>
      <c r="U1626">
        <f>C1626/Navio!$J$4</f>
        <v>20.45696974385281</v>
      </c>
    </row>
    <row r="1627" spans="1:21" x14ac:dyDescent="0.3">
      <c r="A1627">
        <v>1625</v>
      </c>
      <c r="B1627" s="47">
        <v>648.50027497253132</v>
      </c>
      <c r="C1627" s="46">
        <v>391.30866118341731</v>
      </c>
      <c r="D1627" s="1">
        <v>58</v>
      </c>
      <c r="E1627" s="1">
        <v>56</v>
      </c>
      <c r="F1627" s="1">
        <v>52</v>
      </c>
      <c r="G1627" s="1" t="s">
        <v>50</v>
      </c>
      <c r="H1627" s="1" t="s">
        <v>50</v>
      </c>
      <c r="I1627" s="1" t="s">
        <v>50</v>
      </c>
      <c r="J1627" s="1" t="s">
        <v>50</v>
      </c>
      <c r="K1627" s="1" t="s">
        <v>50</v>
      </c>
      <c r="L1627">
        <f t="shared" si="165"/>
        <v>126.26125453869709</v>
      </c>
      <c r="M1627">
        <f t="shared" si="164"/>
        <v>437.06154465065606</v>
      </c>
      <c r="N1627">
        <f t="shared" si="166"/>
        <v>169.3516454756429</v>
      </c>
      <c r="O1627" t="e">
        <f t="shared" si="167"/>
        <v>#N/A</v>
      </c>
      <c r="P1627" t="e">
        <f t="shared" si="168"/>
        <v>#N/A</v>
      </c>
      <c r="Q1627" t="e">
        <f t="shared" si="169"/>
        <v>#N/A</v>
      </c>
      <c r="U1627">
        <f>C1627/Navio!$J$4</f>
        <v>21.12899563970559</v>
      </c>
    </row>
    <row r="1628" spans="1:21" x14ac:dyDescent="0.3">
      <c r="A1628">
        <v>1626</v>
      </c>
      <c r="B1628" s="47">
        <v>868.91159434994643</v>
      </c>
      <c r="C1628" s="46">
        <v>385.52894139967367</v>
      </c>
      <c r="D1628" s="1">
        <v>56</v>
      </c>
      <c r="E1628" s="1">
        <v>59</v>
      </c>
      <c r="F1628" s="1">
        <v>52</v>
      </c>
      <c r="G1628" s="1" t="s">
        <v>50</v>
      </c>
      <c r="H1628" s="1" t="s">
        <v>50</v>
      </c>
      <c r="I1628" s="1" t="s">
        <v>50</v>
      </c>
      <c r="J1628" s="1" t="s">
        <v>50</v>
      </c>
      <c r="K1628" s="1" t="s">
        <v>50</v>
      </c>
      <c r="L1628">
        <f t="shared" si="165"/>
        <v>437.06154465065606</v>
      </c>
      <c r="M1628">
        <f t="shared" si="164"/>
        <v>262.49840422364741</v>
      </c>
      <c r="N1628">
        <f t="shared" si="166"/>
        <v>169.3516454756429</v>
      </c>
      <c r="O1628" t="e">
        <f t="shared" si="167"/>
        <v>#N/A</v>
      </c>
      <c r="P1628" t="e">
        <f t="shared" si="168"/>
        <v>#N/A</v>
      </c>
      <c r="Q1628" t="e">
        <f t="shared" si="169"/>
        <v>#N/A</v>
      </c>
      <c r="U1628">
        <f>C1628/Navio!$J$4</f>
        <v>20.816915468159888</v>
      </c>
    </row>
    <row r="1629" spans="1:21" x14ac:dyDescent="0.3">
      <c r="A1629">
        <v>1627</v>
      </c>
      <c r="B1629" s="47">
        <v>454.86363611153831</v>
      </c>
      <c r="C1629" s="46">
        <v>389.41745241387673</v>
      </c>
      <c r="D1629" s="1">
        <v>58</v>
      </c>
      <c r="E1629" s="1">
        <v>57</v>
      </c>
      <c r="F1629" s="1">
        <v>52</v>
      </c>
      <c r="G1629" s="1" t="s">
        <v>50</v>
      </c>
      <c r="H1629" s="1" t="s">
        <v>50</v>
      </c>
      <c r="I1629" s="1" t="s">
        <v>50</v>
      </c>
      <c r="J1629" s="1" t="s">
        <v>50</v>
      </c>
      <c r="K1629" s="1" t="s">
        <v>50</v>
      </c>
      <c r="L1629">
        <f t="shared" si="165"/>
        <v>126.26125453869709</v>
      </c>
      <c r="M1629">
        <f t="shared" si="164"/>
        <v>243.42490578966306</v>
      </c>
      <c r="N1629">
        <f t="shared" si="166"/>
        <v>169.3516454756429</v>
      </c>
      <c r="O1629" t="e">
        <f t="shared" si="167"/>
        <v>#N/A</v>
      </c>
      <c r="P1629" t="e">
        <f t="shared" si="168"/>
        <v>#N/A</v>
      </c>
      <c r="Q1629" t="e">
        <f t="shared" si="169"/>
        <v>#N/A</v>
      </c>
      <c r="U1629">
        <f>C1629/Navio!$J$4</f>
        <v>21.026878447296536</v>
      </c>
    </row>
    <row r="1630" spans="1:21" x14ac:dyDescent="0.3">
      <c r="A1630">
        <v>1628</v>
      </c>
      <c r="B1630" s="47">
        <v>675.27495548895331</v>
      </c>
      <c r="C1630" s="46">
        <v>388.90892070267802</v>
      </c>
      <c r="D1630" s="1">
        <v>57</v>
      </c>
      <c r="E1630" s="1">
        <v>59</v>
      </c>
      <c r="F1630" s="1">
        <v>52</v>
      </c>
      <c r="G1630" s="1" t="s">
        <v>50</v>
      </c>
      <c r="H1630" s="1" t="s">
        <v>50</v>
      </c>
      <c r="I1630" s="1" t="s">
        <v>50</v>
      </c>
      <c r="J1630" s="1" t="s">
        <v>50</v>
      </c>
      <c r="K1630" s="1" t="s">
        <v>50</v>
      </c>
      <c r="L1630">
        <f t="shared" si="165"/>
        <v>243.42490578966306</v>
      </c>
      <c r="M1630">
        <f t="shared" si="164"/>
        <v>262.49840422364741</v>
      </c>
      <c r="N1630">
        <f t="shared" si="166"/>
        <v>169.3516454756429</v>
      </c>
      <c r="O1630" t="e">
        <f t="shared" si="167"/>
        <v>#N/A</v>
      </c>
      <c r="P1630" t="e">
        <f t="shared" si="168"/>
        <v>#N/A</v>
      </c>
      <c r="Q1630" t="e">
        <f t="shared" si="169"/>
        <v>#N/A</v>
      </c>
      <c r="U1630">
        <f>C1630/Navio!$J$4</f>
        <v>20.999419907850783</v>
      </c>
    </row>
    <row r="1631" spans="1:21" x14ac:dyDescent="0.3">
      <c r="A1631">
        <v>1629</v>
      </c>
      <c r="B1631" s="47">
        <v>473.93713454552267</v>
      </c>
      <c r="C1631" s="46">
        <v>397.31797460370257</v>
      </c>
      <c r="D1631" s="1">
        <v>58</v>
      </c>
      <c r="E1631" s="1">
        <v>59</v>
      </c>
      <c r="F1631" s="1">
        <v>52</v>
      </c>
      <c r="G1631" s="1" t="s">
        <v>50</v>
      </c>
      <c r="H1631" s="1" t="s">
        <v>50</v>
      </c>
      <c r="I1631" s="1" t="s">
        <v>50</v>
      </c>
      <c r="J1631" s="1" t="s">
        <v>50</v>
      </c>
      <c r="K1631" s="1" t="s">
        <v>50</v>
      </c>
      <c r="L1631">
        <f t="shared" si="165"/>
        <v>126.26125453869709</v>
      </c>
      <c r="M1631">
        <f t="shared" si="164"/>
        <v>262.49840422364741</v>
      </c>
      <c r="N1631">
        <f t="shared" si="166"/>
        <v>169.3516454756429</v>
      </c>
      <c r="O1631" t="e">
        <f t="shared" si="167"/>
        <v>#N/A</v>
      </c>
      <c r="P1631" t="e">
        <f t="shared" si="168"/>
        <v>#N/A</v>
      </c>
      <c r="Q1631" t="e">
        <f t="shared" si="169"/>
        <v>#N/A</v>
      </c>
      <c r="U1631">
        <f>C1631/Navio!$J$4</f>
        <v>21.453472886569585</v>
      </c>
    </row>
    <row r="1632" spans="1:21" x14ac:dyDescent="0.3">
      <c r="A1632">
        <v>1630</v>
      </c>
      <c r="B1632" s="47">
        <v>839.69477529141898</v>
      </c>
      <c r="C1632" s="46">
        <v>381.60134841419915</v>
      </c>
      <c r="D1632" s="1">
        <v>55</v>
      </c>
      <c r="E1632" s="1">
        <v>57</v>
      </c>
      <c r="F1632" s="1">
        <v>53</v>
      </c>
      <c r="G1632" s="1" t="s">
        <v>50</v>
      </c>
      <c r="H1632" s="1" t="s">
        <v>50</v>
      </c>
      <c r="I1632" s="1" t="s">
        <v>50</v>
      </c>
      <c r="J1632" s="1" t="s">
        <v>50</v>
      </c>
      <c r="K1632" s="1" t="s">
        <v>50</v>
      </c>
      <c r="L1632">
        <f t="shared" si="165"/>
        <v>195.4263682263873</v>
      </c>
      <c r="M1632">
        <f t="shared" si="164"/>
        <v>243.42490578966306</v>
      </c>
      <c r="N1632">
        <f t="shared" si="166"/>
        <v>400.84350127536862</v>
      </c>
      <c r="O1632" t="e">
        <f t="shared" si="167"/>
        <v>#N/A</v>
      </c>
      <c r="P1632" t="e">
        <f t="shared" si="168"/>
        <v>#N/A</v>
      </c>
      <c r="Q1632" t="e">
        <f t="shared" si="169"/>
        <v>#N/A</v>
      </c>
      <c r="U1632">
        <f>C1632/Navio!$J$4</f>
        <v>20.604842229572075</v>
      </c>
    </row>
    <row r="1633" spans="1:21" x14ac:dyDescent="0.3">
      <c r="A1633">
        <v>1631</v>
      </c>
      <c r="B1633" s="47">
        <v>638.35695434798834</v>
      </c>
      <c r="C1633" s="46">
        <v>390.90851252433714</v>
      </c>
      <c r="D1633" s="1">
        <v>55</v>
      </c>
      <c r="E1633" s="1">
        <v>58</v>
      </c>
      <c r="F1633" s="1">
        <v>53</v>
      </c>
      <c r="G1633" s="1" t="s">
        <v>50</v>
      </c>
      <c r="H1633" s="1" t="s">
        <v>50</v>
      </c>
      <c r="I1633" s="1" t="s">
        <v>50</v>
      </c>
      <c r="J1633" s="1" t="s">
        <v>50</v>
      </c>
      <c r="K1633" s="1" t="s">
        <v>50</v>
      </c>
      <c r="L1633">
        <f t="shared" si="165"/>
        <v>195.4263682263873</v>
      </c>
      <c r="M1633">
        <f t="shared" si="164"/>
        <v>126.26125453869709</v>
      </c>
      <c r="N1633">
        <f t="shared" si="166"/>
        <v>400.84350127536862</v>
      </c>
      <c r="O1633" t="e">
        <f t="shared" si="167"/>
        <v>#N/A</v>
      </c>
      <c r="P1633" t="e">
        <f t="shared" si="168"/>
        <v>#N/A</v>
      </c>
      <c r="Q1633" t="e">
        <f t="shared" si="169"/>
        <v>#N/A</v>
      </c>
      <c r="U1633">
        <f>C1633/Navio!$J$4</f>
        <v>21.107389321952823</v>
      </c>
    </row>
    <row r="1634" spans="1:21" x14ac:dyDescent="0.3">
      <c r="A1634">
        <v>1632</v>
      </c>
      <c r="B1634" s="47">
        <v>858.76827372540333</v>
      </c>
      <c r="C1634" s="46">
        <v>393.25754147358771</v>
      </c>
      <c r="D1634" s="1">
        <v>55</v>
      </c>
      <c r="E1634" s="1">
        <v>59</v>
      </c>
      <c r="F1634" s="1">
        <v>53</v>
      </c>
      <c r="G1634" s="1" t="s">
        <v>50</v>
      </c>
      <c r="H1634" s="1" t="s">
        <v>50</v>
      </c>
      <c r="I1634" s="1" t="s">
        <v>50</v>
      </c>
      <c r="J1634" s="1" t="s">
        <v>50</v>
      </c>
      <c r="K1634" s="1" t="s">
        <v>50</v>
      </c>
      <c r="L1634">
        <f t="shared" si="165"/>
        <v>195.4263682263873</v>
      </c>
      <c r="M1634">
        <f t="shared" si="164"/>
        <v>262.49840422364741</v>
      </c>
      <c r="N1634">
        <f t="shared" si="166"/>
        <v>400.84350127536862</v>
      </c>
      <c r="O1634" t="e">
        <f t="shared" si="167"/>
        <v>#N/A</v>
      </c>
      <c r="P1634" t="e">
        <f t="shared" si="168"/>
        <v>#N/A</v>
      </c>
      <c r="Q1634" t="e">
        <f t="shared" si="169"/>
        <v>#N/A</v>
      </c>
      <c r="U1634">
        <f>C1634/Navio!$J$4</f>
        <v>21.234226847797906</v>
      </c>
    </row>
    <row r="1635" spans="1:21" x14ac:dyDescent="0.3">
      <c r="A1635">
        <v>1633</v>
      </c>
      <c r="B1635" s="47">
        <v>879.99213077225704</v>
      </c>
      <c r="C1635" s="46">
        <v>391.52305150023096</v>
      </c>
      <c r="D1635" s="1">
        <v>58</v>
      </c>
      <c r="E1635" s="1">
        <v>56</v>
      </c>
      <c r="F1635" s="1">
        <v>53</v>
      </c>
      <c r="G1635" s="1" t="s">
        <v>50</v>
      </c>
      <c r="H1635" s="1" t="s">
        <v>50</v>
      </c>
      <c r="I1635" s="1" t="s">
        <v>50</v>
      </c>
      <c r="J1635" s="1" t="s">
        <v>50</v>
      </c>
      <c r="K1635" s="1" t="s">
        <v>50</v>
      </c>
      <c r="L1635">
        <f t="shared" si="165"/>
        <v>126.26125453869709</v>
      </c>
      <c r="M1635">
        <f t="shared" si="164"/>
        <v>437.06154465065606</v>
      </c>
      <c r="N1635">
        <f t="shared" si="166"/>
        <v>400.84350127536862</v>
      </c>
      <c r="O1635" t="e">
        <f t="shared" si="167"/>
        <v>#N/A</v>
      </c>
      <c r="P1635" t="e">
        <f t="shared" si="168"/>
        <v>#N/A</v>
      </c>
      <c r="Q1635" t="e">
        <f t="shared" si="169"/>
        <v>#N/A</v>
      </c>
      <c r="U1635">
        <f>C1635/Navio!$J$4</f>
        <v>21.140571800722448</v>
      </c>
    </row>
    <row r="1636" spans="1:21" x14ac:dyDescent="0.3">
      <c r="A1636">
        <v>1634</v>
      </c>
      <c r="B1636" s="47">
        <v>686.35549191126404</v>
      </c>
      <c r="C1636" s="46">
        <v>390.16740712121464</v>
      </c>
      <c r="D1636" s="1">
        <v>58</v>
      </c>
      <c r="E1636" s="1">
        <v>57</v>
      </c>
      <c r="F1636" s="1">
        <v>53</v>
      </c>
      <c r="G1636" s="1" t="s">
        <v>50</v>
      </c>
      <c r="H1636" s="1" t="s">
        <v>50</v>
      </c>
      <c r="I1636" s="1" t="s">
        <v>50</v>
      </c>
      <c r="J1636" s="1" t="s">
        <v>50</v>
      </c>
      <c r="K1636" s="1" t="s">
        <v>50</v>
      </c>
      <c r="L1636">
        <f t="shared" si="165"/>
        <v>126.26125453869709</v>
      </c>
      <c r="M1636">
        <f t="shared" si="164"/>
        <v>243.42490578966306</v>
      </c>
      <c r="N1636">
        <f t="shared" si="166"/>
        <v>400.84350127536862</v>
      </c>
      <c r="O1636" t="e">
        <f t="shared" si="167"/>
        <v>#N/A</v>
      </c>
      <c r="P1636" t="e">
        <f t="shared" si="168"/>
        <v>#N/A</v>
      </c>
      <c r="Q1636" t="e">
        <f t="shared" si="169"/>
        <v>#N/A</v>
      </c>
      <c r="U1636">
        <f>C1636/Navio!$J$4</f>
        <v>21.067372796931931</v>
      </c>
    </row>
    <row r="1637" spans="1:21" x14ac:dyDescent="0.3">
      <c r="A1637">
        <v>1635</v>
      </c>
      <c r="B1637" s="47">
        <v>705.42899034524839</v>
      </c>
      <c r="C1637" s="46">
        <v>397.40612149609683</v>
      </c>
      <c r="D1637" s="1">
        <v>58</v>
      </c>
      <c r="E1637" s="1">
        <v>59</v>
      </c>
      <c r="F1637" s="1">
        <v>53</v>
      </c>
      <c r="G1637" s="1" t="s">
        <v>50</v>
      </c>
      <c r="H1637" s="1" t="s">
        <v>50</v>
      </c>
      <c r="I1637" s="1" t="s">
        <v>50</v>
      </c>
      <c r="J1637" s="1" t="s">
        <v>50</v>
      </c>
      <c r="K1637" s="1" t="s">
        <v>50</v>
      </c>
      <c r="L1637">
        <f t="shared" si="165"/>
        <v>126.26125453869709</v>
      </c>
      <c r="M1637">
        <f t="shared" si="164"/>
        <v>262.49840422364741</v>
      </c>
      <c r="N1637">
        <f t="shared" si="166"/>
        <v>400.84350127536862</v>
      </c>
      <c r="O1637" t="e">
        <f t="shared" si="167"/>
        <v>#N/A</v>
      </c>
      <c r="P1637" t="e">
        <f t="shared" si="168"/>
        <v>#N/A</v>
      </c>
      <c r="Q1637" t="e">
        <f t="shared" si="169"/>
        <v>#N/A</v>
      </c>
      <c r="U1637">
        <f>C1637/Navio!$J$4</f>
        <v>21.458232442106688</v>
      </c>
    </row>
    <row r="1638" spans="1:21" x14ac:dyDescent="0.3">
      <c r="A1638">
        <v>1636</v>
      </c>
      <c r="B1638" s="47">
        <v>734.60491340211388</v>
      </c>
      <c r="C1638" s="46">
        <v>386.73838992315552</v>
      </c>
      <c r="D1638" s="1">
        <v>55</v>
      </c>
      <c r="E1638" s="1">
        <v>58</v>
      </c>
      <c r="F1638" s="1">
        <v>54</v>
      </c>
      <c r="G1638" s="1" t="s">
        <v>50</v>
      </c>
      <c r="H1638" s="1" t="s">
        <v>50</v>
      </c>
      <c r="I1638" s="1" t="s">
        <v>50</v>
      </c>
      <c r="J1638" s="1" t="s">
        <v>50</v>
      </c>
      <c r="K1638" s="1" t="s">
        <v>50</v>
      </c>
      <c r="L1638">
        <f t="shared" si="165"/>
        <v>195.4263682263873</v>
      </c>
      <c r="M1638">
        <f t="shared" si="164"/>
        <v>126.26125453869709</v>
      </c>
      <c r="N1638">
        <f t="shared" si="166"/>
        <v>497.09146032949423</v>
      </c>
      <c r="O1638" t="e">
        <f t="shared" si="167"/>
        <v>#N/A</v>
      </c>
      <c r="P1638" t="e">
        <f t="shared" si="168"/>
        <v>#N/A</v>
      </c>
      <c r="Q1638" t="e">
        <f t="shared" si="169"/>
        <v>#N/A</v>
      </c>
      <c r="U1638">
        <f>C1638/Navio!$J$4</f>
        <v>20.882220520447291</v>
      </c>
    </row>
    <row r="1639" spans="1:21" x14ac:dyDescent="0.3">
      <c r="A1639">
        <v>1637</v>
      </c>
      <c r="B1639" s="47">
        <v>782.6034509653897</v>
      </c>
      <c r="C1639" s="46">
        <v>387.54003799476618</v>
      </c>
      <c r="D1639" s="1">
        <v>57</v>
      </c>
      <c r="E1639" s="1">
        <v>58</v>
      </c>
      <c r="F1639" s="1">
        <v>54</v>
      </c>
      <c r="G1639" s="1" t="s">
        <v>50</v>
      </c>
      <c r="H1639" s="1" t="s">
        <v>50</v>
      </c>
      <c r="I1639" s="1" t="s">
        <v>50</v>
      </c>
      <c r="J1639" s="1" t="s">
        <v>50</v>
      </c>
      <c r="K1639" s="1" t="s">
        <v>50</v>
      </c>
      <c r="L1639">
        <f t="shared" si="165"/>
        <v>243.42490578966306</v>
      </c>
      <c r="M1639">
        <f t="shared" si="164"/>
        <v>126.26125453869709</v>
      </c>
      <c r="N1639">
        <f t="shared" si="166"/>
        <v>497.09146032949423</v>
      </c>
      <c r="O1639" t="e">
        <f t="shared" si="167"/>
        <v>#N/A</v>
      </c>
      <c r="P1639" t="e">
        <f t="shared" si="168"/>
        <v>#N/A</v>
      </c>
      <c r="Q1639" t="e">
        <f t="shared" si="169"/>
        <v>#N/A</v>
      </c>
      <c r="U1639">
        <f>C1639/Navio!$J$4</f>
        <v>20.925506090867366</v>
      </c>
    </row>
    <row r="1640" spans="1:21" x14ac:dyDescent="0.3">
      <c r="A1640">
        <v>1638</v>
      </c>
      <c r="B1640" s="47">
        <v>801.67694939937405</v>
      </c>
      <c r="C1640" s="46">
        <v>397.41299617901478</v>
      </c>
      <c r="D1640" s="1">
        <v>59</v>
      </c>
      <c r="E1640" s="1">
        <v>58</v>
      </c>
      <c r="F1640" s="1">
        <v>54</v>
      </c>
      <c r="G1640" s="1" t="s">
        <v>50</v>
      </c>
      <c r="H1640" s="1" t="s">
        <v>50</v>
      </c>
      <c r="I1640" s="1" t="s">
        <v>50</v>
      </c>
      <c r="J1640" s="1" t="s">
        <v>50</v>
      </c>
      <c r="K1640" s="1" t="s">
        <v>50</v>
      </c>
      <c r="L1640">
        <f t="shared" si="165"/>
        <v>262.49840422364741</v>
      </c>
      <c r="M1640">
        <f t="shared" si="164"/>
        <v>126.26125453869709</v>
      </c>
      <c r="N1640">
        <f t="shared" si="166"/>
        <v>497.09146032949423</v>
      </c>
      <c r="O1640" t="e">
        <f t="shared" si="167"/>
        <v>#N/A</v>
      </c>
      <c r="P1640" t="e">
        <f t="shared" si="168"/>
        <v>#N/A</v>
      </c>
      <c r="Q1640" t="e">
        <f t="shared" si="169"/>
        <v>#N/A</v>
      </c>
      <c r="U1640">
        <f>C1640/Navio!$J$4</f>
        <v>21.458603645608697</v>
      </c>
    </row>
    <row r="1641" spans="1:21" x14ac:dyDescent="0.3">
      <c r="A1641">
        <v>1639</v>
      </c>
      <c r="B1641" s="47">
        <v>875.91281866670647</v>
      </c>
      <c r="C1641" s="46">
        <v>382.97922081058653</v>
      </c>
      <c r="D1641" s="1">
        <v>56</v>
      </c>
      <c r="E1641" s="1">
        <v>57</v>
      </c>
      <c r="F1641" s="1">
        <v>55</v>
      </c>
      <c r="G1641" s="1" t="s">
        <v>50</v>
      </c>
      <c r="H1641" s="1" t="s">
        <v>50</v>
      </c>
      <c r="I1641" s="1" t="s">
        <v>50</v>
      </c>
      <c r="J1641" s="1" t="s">
        <v>50</v>
      </c>
      <c r="K1641" s="1" t="s">
        <v>50</v>
      </c>
      <c r="L1641">
        <f t="shared" si="165"/>
        <v>437.06154465065606</v>
      </c>
      <c r="M1641">
        <f t="shared" si="164"/>
        <v>243.42490578966306</v>
      </c>
      <c r="N1641">
        <f t="shared" si="166"/>
        <v>195.4263682263873</v>
      </c>
      <c r="O1641" t="e">
        <f t="shared" si="167"/>
        <v>#N/A</v>
      </c>
      <c r="P1641" t="e">
        <f t="shared" si="168"/>
        <v>#N/A</v>
      </c>
      <c r="Q1641" t="e">
        <f t="shared" si="169"/>
        <v>#N/A</v>
      </c>
      <c r="U1641">
        <f>C1641/Navio!$J$4</f>
        <v>20.679241451320181</v>
      </c>
    </row>
    <row r="1642" spans="1:21" x14ac:dyDescent="0.3">
      <c r="A1642">
        <v>1640</v>
      </c>
      <c r="B1642" s="47">
        <v>674.57499772327571</v>
      </c>
      <c r="C1642" s="46">
        <v>391.92676718193911</v>
      </c>
      <c r="D1642" s="1">
        <v>56</v>
      </c>
      <c r="E1642" s="1">
        <v>58</v>
      </c>
      <c r="F1642" s="1">
        <v>55</v>
      </c>
      <c r="G1642" s="1" t="s">
        <v>50</v>
      </c>
      <c r="H1642" s="1" t="s">
        <v>50</v>
      </c>
      <c r="I1642" s="1" t="s">
        <v>50</v>
      </c>
      <c r="J1642" s="1" t="s">
        <v>50</v>
      </c>
      <c r="K1642" s="1" t="s">
        <v>50</v>
      </c>
      <c r="L1642">
        <f t="shared" si="165"/>
        <v>437.06154465065606</v>
      </c>
      <c r="M1642">
        <f t="shared" si="164"/>
        <v>126.26125453869709</v>
      </c>
      <c r="N1642">
        <f t="shared" si="166"/>
        <v>195.4263682263873</v>
      </c>
      <c r="O1642" t="e">
        <f t="shared" si="167"/>
        <v>#N/A</v>
      </c>
      <c r="P1642" t="e">
        <f t="shared" si="168"/>
        <v>#N/A</v>
      </c>
      <c r="Q1642" t="e">
        <f t="shared" si="169"/>
        <v>#N/A</v>
      </c>
      <c r="U1642">
        <f>C1642/Navio!$J$4</f>
        <v>21.162370722455218</v>
      </c>
    </row>
    <row r="1643" spans="1:21" x14ac:dyDescent="0.3">
      <c r="A1643">
        <v>1641</v>
      </c>
      <c r="B1643" s="47">
        <v>894.98631710069071</v>
      </c>
      <c r="C1643" s="46">
        <v>393.14356727989644</v>
      </c>
      <c r="D1643" s="1">
        <v>56</v>
      </c>
      <c r="E1643" s="1">
        <v>59</v>
      </c>
      <c r="F1643" s="1">
        <v>55</v>
      </c>
      <c r="G1643" s="1" t="s">
        <v>50</v>
      </c>
      <c r="H1643" s="1" t="s">
        <v>50</v>
      </c>
      <c r="I1643" s="1" t="s">
        <v>50</v>
      </c>
      <c r="J1643" s="1" t="s">
        <v>50</v>
      </c>
      <c r="K1643" s="1" t="s">
        <v>50</v>
      </c>
      <c r="L1643">
        <f t="shared" si="165"/>
        <v>437.06154465065606</v>
      </c>
      <c r="M1643">
        <f t="shared" si="164"/>
        <v>262.49840422364741</v>
      </c>
      <c r="N1643">
        <f t="shared" si="166"/>
        <v>195.4263682263873</v>
      </c>
      <c r="O1643" t="e">
        <f t="shared" si="167"/>
        <v>#N/A</v>
      </c>
      <c r="P1643" t="e">
        <f t="shared" si="168"/>
        <v>#N/A</v>
      </c>
      <c r="Q1643" t="e">
        <f t="shared" si="169"/>
        <v>#N/A</v>
      </c>
      <c r="U1643">
        <f>C1643/Navio!$J$4</f>
        <v>21.228072728350977</v>
      </c>
    </row>
    <row r="1644" spans="1:21" x14ac:dyDescent="0.3">
      <c r="A1644">
        <v>1642</v>
      </c>
      <c r="B1644" s="47">
        <v>480.93835886228271</v>
      </c>
      <c r="C1644" s="46">
        <v>388.16400660942566</v>
      </c>
      <c r="D1644" s="1">
        <v>57</v>
      </c>
      <c r="E1644" s="1">
        <v>58</v>
      </c>
      <c r="F1644" s="1">
        <v>55</v>
      </c>
      <c r="G1644" s="1" t="s">
        <v>50</v>
      </c>
      <c r="H1644" s="1" t="s">
        <v>50</v>
      </c>
      <c r="I1644" s="1" t="s">
        <v>50</v>
      </c>
      <c r="J1644" s="1" t="s">
        <v>50</v>
      </c>
      <c r="K1644" s="1" t="s">
        <v>50</v>
      </c>
      <c r="L1644">
        <f t="shared" si="165"/>
        <v>243.42490578966306</v>
      </c>
      <c r="M1644">
        <f t="shared" si="164"/>
        <v>126.26125453869709</v>
      </c>
      <c r="N1644">
        <f t="shared" si="166"/>
        <v>195.4263682263873</v>
      </c>
      <c r="O1644" t="e">
        <f t="shared" si="167"/>
        <v>#N/A</v>
      </c>
      <c r="P1644" t="e">
        <f t="shared" si="168"/>
        <v>#N/A</v>
      </c>
      <c r="Q1644" t="e">
        <f t="shared" si="169"/>
        <v>#N/A</v>
      </c>
      <c r="U1644">
        <f>C1644/Navio!$J$4</f>
        <v>20.959197729837435</v>
      </c>
    </row>
    <row r="1645" spans="1:21" x14ac:dyDescent="0.3">
      <c r="A1645">
        <v>1643</v>
      </c>
      <c r="B1645" s="47">
        <v>701.34967823969782</v>
      </c>
      <c r="C1645" s="46">
        <v>393.12627336007642</v>
      </c>
      <c r="D1645" s="1">
        <v>59</v>
      </c>
      <c r="E1645" s="1">
        <v>57</v>
      </c>
      <c r="F1645" s="1">
        <v>55</v>
      </c>
      <c r="G1645" s="1" t="s">
        <v>50</v>
      </c>
      <c r="H1645" s="1" t="s">
        <v>50</v>
      </c>
      <c r="I1645" s="1" t="s">
        <v>50</v>
      </c>
      <c r="J1645" s="1" t="s">
        <v>50</v>
      </c>
      <c r="K1645" s="1" t="s">
        <v>50</v>
      </c>
      <c r="L1645">
        <f t="shared" si="165"/>
        <v>262.49840422364741</v>
      </c>
      <c r="M1645">
        <f t="shared" si="164"/>
        <v>243.42490578966306</v>
      </c>
      <c r="N1645">
        <f t="shared" si="166"/>
        <v>195.4263682263873</v>
      </c>
      <c r="O1645" t="e">
        <f t="shared" si="167"/>
        <v>#N/A</v>
      </c>
      <c r="P1645" t="e">
        <f t="shared" si="168"/>
        <v>#N/A</v>
      </c>
      <c r="Q1645" t="e">
        <f t="shared" si="169"/>
        <v>#N/A</v>
      </c>
      <c r="U1645">
        <f>C1645/Navio!$J$4</f>
        <v>21.227138930577716</v>
      </c>
    </row>
    <row r="1646" spans="1:21" x14ac:dyDescent="0.3">
      <c r="A1646">
        <v>1644</v>
      </c>
      <c r="B1646" s="47">
        <v>500.01185729626707</v>
      </c>
      <c r="C1646" s="46">
        <v>398.03696479367431</v>
      </c>
      <c r="D1646" s="1">
        <v>59</v>
      </c>
      <c r="E1646" s="1">
        <v>58</v>
      </c>
      <c r="F1646" s="1">
        <v>55</v>
      </c>
      <c r="G1646" s="1" t="s">
        <v>50</v>
      </c>
      <c r="H1646" s="1" t="s">
        <v>50</v>
      </c>
      <c r="I1646" s="1" t="s">
        <v>50</v>
      </c>
      <c r="J1646" s="1" t="s">
        <v>50</v>
      </c>
      <c r="K1646" s="1" t="s">
        <v>50</v>
      </c>
      <c r="L1646">
        <f t="shared" si="165"/>
        <v>262.49840422364741</v>
      </c>
      <c r="M1646">
        <f t="shared" si="164"/>
        <v>126.26125453869709</v>
      </c>
      <c r="N1646">
        <f t="shared" si="166"/>
        <v>195.4263682263873</v>
      </c>
      <c r="O1646" t="e">
        <f t="shared" si="167"/>
        <v>#N/A</v>
      </c>
      <c r="P1646" t="e">
        <f t="shared" si="168"/>
        <v>#N/A</v>
      </c>
      <c r="Q1646" t="e">
        <f t="shared" si="169"/>
        <v>#N/A</v>
      </c>
      <c r="U1646">
        <f>C1646/Navio!$J$4</f>
        <v>21.49229528457877</v>
      </c>
    </row>
    <row r="1647" spans="1:21" x14ac:dyDescent="0.3">
      <c r="A1647">
        <v>1645</v>
      </c>
      <c r="B1647" s="47">
        <v>722.57353528655153</v>
      </c>
      <c r="C1647" s="46">
        <v>391.54527951760201</v>
      </c>
      <c r="D1647" s="1">
        <v>58</v>
      </c>
      <c r="E1647" s="1">
        <v>57</v>
      </c>
      <c r="F1647" s="1">
        <v>56</v>
      </c>
      <c r="G1647" s="1" t="s">
        <v>50</v>
      </c>
      <c r="H1647" s="1" t="s">
        <v>50</v>
      </c>
      <c r="I1647" s="1" t="s">
        <v>50</v>
      </c>
      <c r="J1647" s="1" t="s">
        <v>50</v>
      </c>
      <c r="K1647" s="1" t="s">
        <v>50</v>
      </c>
      <c r="L1647">
        <f t="shared" si="165"/>
        <v>126.26125453869709</v>
      </c>
      <c r="M1647">
        <f t="shared" si="164"/>
        <v>243.42490578966306</v>
      </c>
      <c r="N1647">
        <f t="shared" si="166"/>
        <v>437.06154465065606</v>
      </c>
      <c r="O1647" t="e">
        <f t="shared" si="167"/>
        <v>#N/A</v>
      </c>
      <c r="P1647" t="e">
        <f t="shared" si="168"/>
        <v>#N/A</v>
      </c>
      <c r="Q1647" t="e">
        <f t="shared" si="169"/>
        <v>#N/A</v>
      </c>
      <c r="U1647">
        <f>C1647/Navio!$J$4</f>
        <v>21.141772018680037</v>
      </c>
    </row>
    <row r="1648" spans="1:21" x14ac:dyDescent="0.3">
      <c r="A1648">
        <v>1646</v>
      </c>
      <c r="B1648" s="47">
        <v>741.64703372053589</v>
      </c>
      <c r="C1648" s="46">
        <v>397.29214730240557</v>
      </c>
      <c r="D1648" s="1">
        <v>58</v>
      </c>
      <c r="E1648" s="1">
        <v>59</v>
      </c>
      <c r="F1648" s="1">
        <v>56</v>
      </c>
      <c r="G1648" s="1" t="s">
        <v>50</v>
      </c>
      <c r="H1648" s="1" t="s">
        <v>50</v>
      </c>
      <c r="I1648" s="1" t="s">
        <v>50</v>
      </c>
      <c r="J1648" s="1" t="s">
        <v>50</v>
      </c>
      <c r="K1648" s="1" t="s">
        <v>50</v>
      </c>
      <c r="L1648">
        <f t="shared" si="165"/>
        <v>126.26125453869709</v>
      </c>
      <c r="M1648">
        <f t="shared" si="164"/>
        <v>262.49840422364741</v>
      </c>
      <c r="N1648">
        <f t="shared" si="166"/>
        <v>437.06154465065606</v>
      </c>
      <c r="O1648" t="e">
        <f t="shared" si="167"/>
        <v>#N/A</v>
      </c>
      <c r="P1648" t="e">
        <f t="shared" si="168"/>
        <v>#N/A</v>
      </c>
      <c r="Q1648" t="e">
        <f t="shared" si="169"/>
        <v>#N/A</v>
      </c>
      <c r="U1648">
        <f>C1648/Navio!$J$4</f>
        <v>21.452078322659759</v>
      </c>
    </row>
    <row r="1649" spans="1:21" x14ac:dyDescent="0.3">
      <c r="A1649">
        <v>1647</v>
      </c>
      <c r="B1649" s="47">
        <v>548.01039485954288</v>
      </c>
      <c r="C1649" s="46">
        <v>398.83861286528486</v>
      </c>
      <c r="D1649" s="1">
        <v>59</v>
      </c>
      <c r="E1649" s="1">
        <v>58</v>
      </c>
      <c r="F1649" s="1">
        <v>57</v>
      </c>
      <c r="G1649" s="1" t="s">
        <v>50</v>
      </c>
      <c r="H1649" s="1" t="s">
        <v>50</v>
      </c>
      <c r="I1649" s="1" t="s">
        <v>50</v>
      </c>
      <c r="J1649" s="1" t="s">
        <v>50</v>
      </c>
      <c r="K1649" s="1" t="s">
        <v>50</v>
      </c>
      <c r="L1649">
        <f t="shared" si="165"/>
        <v>262.49840422364741</v>
      </c>
      <c r="M1649">
        <f t="shared" si="164"/>
        <v>126.26125453869709</v>
      </c>
      <c r="N1649">
        <f t="shared" si="166"/>
        <v>243.42490578966306</v>
      </c>
      <c r="O1649" t="e">
        <f t="shared" si="167"/>
        <v>#N/A</v>
      </c>
      <c r="P1649" t="e">
        <f t="shared" si="168"/>
        <v>#N/A</v>
      </c>
      <c r="Q1649" t="e">
        <f t="shared" si="169"/>
        <v>#N/A</v>
      </c>
      <c r="U1649">
        <f>C1649/Navio!$J$4</f>
        <v>21.535580854998841</v>
      </c>
    </row>
    <row r="1650" spans="1:21" x14ac:dyDescent="0.3">
      <c r="A1650">
        <v>1648</v>
      </c>
      <c r="B1650" s="47">
        <v>770.51339628188362</v>
      </c>
      <c r="C1650" s="46">
        <v>358.50297414066722</v>
      </c>
      <c r="D1650" s="1">
        <v>52</v>
      </c>
      <c r="E1650" s="1">
        <v>53</v>
      </c>
      <c r="F1650" s="1">
        <v>51</v>
      </c>
      <c r="G1650" s="1">
        <v>50</v>
      </c>
      <c r="H1650" s="1" t="s">
        <v>50</v>
      </c>
      <c r="I1650" s="1" t="s">
        <v>50</v>
      </c>
      <c r="J1650" s="1" t="s">
        <v>50</v>
      </c>
      <c r="K1650" s="1" t="s">
        <v>50</v>
      </c>
      <c r="L1650">
        <f t="shared" si="165"/>
        <v>169.3516454756429</v>
      </c>
      <c r="M1650">
        <f t="shared" si="164"/>
        <v>400.84350127536862</v>
      </c>
      <c r="N1650">
        <f t="shared" si="166"/>
        <v>100.96468435237094</v>
      </c>
      <c r="O1650">
        <f t="shared" si="167"/>
        <v>99.353565178501128</v>
      </c>
      <c r="P1650" t="e">
        <f t="shared" si="168"/>
        <v>#N/A</v>
      </c>
      <c r="Q1650" t="e">
        <f t="shared" si="169"/>
        <v>#N/A</v>
      </c>
      <c r="U1650">
        <f>C1650/Navio!$J$4</f>
        <v>19.357628718289778</v>
      </c>
    </row>
    <row r="1651" spans="1:21" x14ac:dyDescent="0.3">
      <c r="A1651">
        <v>1649</v>
      </c>
      <c r="B1651" s="47">
        <v>866.76135533600916</v>
      </c>
      <c r="C1651" s="46">
        <v>363.83453406943249</v>
      </c>
      <c r="D1651" s="1">
        <v>52</v>
      </c>
      <c r="E1651" s="1">
        <v>51</v>
      </c>
      <c r="F1651" s="1">
        <v>54</v>
      </c>
      <c r="G1651" s="1">
        <v>50</v>
      </c>
      <c r="H1651" s="1" t="s">
        <v>50</v>
      </c>
      <c r="I1651" s="1" t="s">
        <v>50</v>
      </c>
      <c r="J1651" s="1" t="s">
        <v>50</v>
      </c>
      <c r="K1651" s="1" t="s">
        <v>50</v>
      </c>
      <c r="L1651">
        <f t="shared" si="165"/>
        <v>169.3516454756429</v>
      </c>
      <c r="M1651">
        <f t="shared" si="164"/>
        <v>100.96468435237094</v>
      </c>
      <c r="N1651">
        <f t="shared" si="166"/>
        <v>497.09146032949423</v>
      </c>
      <c r="O1651">
        <f t="shared" si="167"/>
        <v>99.353565178501128</v>
      </c>
      <c r="P1651" t="e">
        <f t="shared" si="168"/>
        <v>#N/A</v>
      </c>
      <c r="Q1651" t="e">
        <f t="shared" si="169"/>
        <v>#N/A</v>
      </c>
      <c r="U1651">
        <f>C1651/Navio!$J$4</f>
        <v>19.64551017265633</v>
      </c>
    </row>
    <row r="1652" spans="1:21" x14ac:dyDescent="0.3">
      <c r="A1652">
        <v>1650</v>
      </c>
      <c r="B1652" s="47">
        <v>565.09626323290229</v>
      </c>
      <c r="C1652" s="46">
        <v>374.1826085634271</v>
      </c>
      <c r="D1652" s="1">
        <v>52</v>
      </c>
      <c r="E1652" s="1">
        <v>51</v>
      </c>
      <c r="F1652" s="1">
        <v>55</v>
      </c>
      <c r="G1652" s="1">
        <v>50</v>
      </c>
      <c r="H1652" s="1" t="s">
        <v>50</v>
      </c>
      <c r="I1652" s="1" t="s">
        <v>50</v>
      </c>
      <c r="J1652" s="1" t="s">
        <v>50</v>
      </c>
      <c r="K1652" s="1" t="s">
        <v>50</v>
      </c>
      <c r="L1652">
        <f t="shared" si="165"/>
        <v>169.3516454756429</v>
      </c>
      <c r="M1652">
        <f t="shared" si="164"/>
        <v>100.96468435237094</v>
      </c>
      <c r="N1652">
        <f t="shared" si="166"/>
        <v>195.4263682263873</v>
      </c>
      <c r="O1652">
        <f t="shared" si="167"/>
        <v>99.353565178501128</v>
      </c>
      <c r="P1652" t="e">
        <f t="shared" si="168"/>
        <v>#N/A</v>
      </c>
      <c r="Q1652" t="e">
        <f t="shared" si="169"/>
        <v>#N/A</v>
      </c>
      <c r="U1652">
        <f>C1652/Navio!$J$4</f>
        <v>20.204261977949177</v>
      </c>
    </row>
    <row r="1653" spans="1:21" x14ac:dyDescent="0.3">
      <c r="A1653">
        <v>1651</v>
      </c>
      <c r="B1653" s="47">
        <v>806.73143965717099</v>
      </c>
      <c r="C1653" s="46">
        <v>374.06817017748199</v>
      </c>
      <c r="D1653" s="1">
        <v>52</v>
      </c>
      <c r="E1653" s="1">
        <v>56</v>
      </c>
      <c r="F1653" s="1">
        <v>51</v>
      </c>
      <c r="G1653" s="1">
        <v>50</v>
      </c>
      <c r="H1653" s="1" t="s">
        <v>50</v>
      </c>
      <c r="I1653" s="1" t="s">
        <v>50</v>
      </c>
      <c r="J1653" s="1" t="s">
        <v>50</v>
      </c>
      <c r="K1653" s="1" t="s">
        <v>50</v>
      </c>
      <c r="L1653">
        <f t="shared" si="165"/>
        <v>169.3516454756429</v>
      </c>
      <c r="M1653">
        <f t="shared" si="164"/>
        <v>437.06154465065606</v>
      </c>
      <c r="N1653">
        <f t="shared" si="166"/>
        <v>100.96468435237094</v>
      </c>
      <c r="O1653">
        <f t="shared" si="167"/>
        <v>99.353565178501128</v>
      </c>
      <c r="P1653" t="e">
        <f t="shared" si="168"/>
        <v>#N/A</v>
      </c>
      <c r="Q1653" t="e">
        <f t="shared" si="169"/>
        <v>#N/A</v>
      </c>
      <c r="U1653">
        <f>C1653/Navio!$J$4</f>
        <v>20.198082794104032</v>
      </c>
    </row>
    <row r="1654" spans="1:21" x14ac:dyDescent="0.3">
      <c r="A1654">
        <v>1652</v>
      </c>
      <c r="B1654" s="47">
        <v>613.09480079617799</v>
      </c>
      <c r="C1654" s="46">
        <v>379.96188416839391</v>
      </c>
      <c r="D1654" s="1">
        <v>52</v>
      </c>
      <c r="E1654" s="1">
        <v>57</v>
      </c>
      <c r="F1654" s="1">
        <v>51</v>
      </c>
      <c r="G1654" s="1">
        <v>50</v>
      </c>
      <c r="H1654" s="1" t="s">
        <v>50</v>
      </c>
      <c r="I1654" s="1" t="s">
        <v>50</v>
      </c>
      <c r="J1654" s="1" t="s">
        <v>50</v>
      </c>
      <c r="K1654" s="1" t="s">
        <v>50</v>
      </c>
      <c r="L1654">
        <f t="shared" si="165"/>
        <v>169.3516454756429</v>
      </c>
      <c r="M1654">
        <f t="shared" si="164"/>
        <v>243.42490578966306</v>
      </c>
      <c r="N1654">
        <f t="shared" si="166"/>
        <v>100.96468435237094</v>
      </c>
      <c r="O1654">
        <f t="shared" si="167"/>
        <v>99.353565178501128</v>
      </c>
      <c r="P1654" t="e">
        <f t="shared" si="168"/>
        <v>#N/A</v>
      </c>
      <c r="Q1654" t="e">
        <f t="shared" si="169"/>
        <v>#N/A</v>
      </c>
      <c r="U1654">
        <f>C1654/Navio!$J$4</f>
        <v>20.516318165738905</v>
      </c>
    </row>
    <row r="1655" spans="1:21" x14ac:dyDescent="0.3">
      <c r="A1655">
        <v>1653</v>
      </c>
      <c r="B1655" s="47">
        <v>411.75697985274735</v>
      </c>
      <c r="C1655" s="46">
        <v>393.11358018877797</v>
      </c>
      <c r="D1655" s="1">
        <v>52</v>
      </c>
      <c r="E1655" s="1">
        <v>58</v>
      </c>
      <c r="F1655" s="1">
        <v>51</v>
      </c>
      <c r="G1655" s="1">
        <v>50</v>
      </c>
      <c r="H1655" s="1" t="s">
        <v>50</v>
      </c>
      <c r="I1655" s="1" t="s">
        <v>50</v>
      </c>
      <c r="J1655" s="1" t="s">
        <v>50</v>
      </c>
      <c r="K1655" s="1" t="s">
        <v>50</v>
      </c>
      <c r="L1655">
        <f t="shared" si="165"/>
        <v>169.3516454756429</v>
      </c>
      <c r="M1655">
        <f t="shared" si="164"/>
        <v>126.26125453869709</v>
      </c>
      <c r="N1655">
        <f t="shared" si="166"/>
        <v>100.96468435237094</v>
      </c>
      <c r="O1655">
        <f t="shared" si="167"/>
        <v>99.353565178501128</v>
      </c>
      <c r="P1655" t="e">
        <f t="shared" si="168"/>
        <v>#N/A</v>
      </c>
      <c r="Q1655" t="e">
        <f t="shared" si="169"/>
        <v>#N/A</v>
      </c>
      <c r="U1655">
        <f>C1655/Navio!$J$4</f>
        <v>21.226453553565594</v>
      </c>
    </row>
    <row r="1656" spans="1:21" x14ac:dyDescent="0.3">
      <c r="A1656">
        <v>1654</v>
      </c>
      <c r="B1656" s="47">
        <v>632.16829923016235</v>
      </c>
      <c r="C1656" s="46">
        <v>389.88353815477842</v>
      </c>
      <c r="D1656" s="1">
        <v>52</v>
      </c>
      <c r="E1656" s="1">
        <v>59</v>
      </c>
      <c r="F1656" s="1">
        <v>51</v>
      </c>
      <c r="G1656" s="1">
        <v>50</v>
      </c>
      <c r="H1656" s="1" t="s">
        <v>50</v>
      </c>
      <c r="I1656" s="1" t="s">
        <v>50</v>
      </c>
      <c r="J1656" s="1" t="s">
        <v>50</v>
      </c>
      <c r="K1656" s="1" t="s">
        <v>50</v>
      </c>
      <c r="L1656">
        <f t="shared" si="165"/>
        <v>169.3516454756429</v>
      </c>
      <c r="M1656">
        <f t="shared" si="164"/>
        <v>262.49840422364741</v>
      </c>
      <c r="N1656">
        <f t="shared" si="166"/>
        <v>100.96468435237094</v>
      </c>
      <c r="O1656">
        <f t="shared" si="167"/>
        <v>99.353565178501128</v>
      </c>
      <c r="P1656" t="e">
        <f t="shared" si="168"/>
        <v>#N/A</v>
      </c>
      <c r="Q1656" t="e">
        <f t="shared" si="169"/>
        <v>#N/A</v>
      </c>
      <c r="U1656">
        <f>C1656/Navio!$J$4</f>
        <v>21.052045085718131</v>
      </c>
    </row>
    <row r="1657" spans="1:21" x14ac:dyDescent="0.3">
      <c r="A1657">
        <v>1655</v>
      </c>
      <c r="B1657" s="47">
        <v>796.58811903262801</v>
      </c>
      <c r="C1657" s="46">
        <v>377.50326320891531</v>
      </c>
      <c r="D1657" s="1">
        <v>53</v>
      </c>
      <c r="E1657" s="1">
        <v>51</v>
      </c>
      <c r="F1657" s="1">
        <v>55</v>
      </c>
      <c r="G1657" s="1">
        <v>50</v>
      </c>
      <c r="H1657" s="1" t="s">
        <v>50</v>
      </c>
      <c r="I1657" s="1" t="s">
        <v>50</v>
      </c>
      <c r="J1657" s="1" t="s">
        <v>50</v>
      </c>
      <c r="K1657" s="1" t="s">
        <v>50</v>
      </c>
      <c r="L1657">
        <f t="shared" si="165"/>
        <v>400.84350127536862</v>
      </c>
      <c r="M1657">
        <f t="shared" si="164"/>
        <v>100.96468435237094</v>
      </c>
      <c r="N1657">
        <f t="shared" si="166"/>
        <v>195.4263682263873</v>
      </c>
      <c r="O1657">
        <f t="shared" si="167"/>
        <v>99.353565178501128</v>
      </c>
      <c r="P1657" t="e">
        <f t="shared" si="168"/>
        <v>#N/A</v>
      </c>
      <c r="Q1657" t="e">
        <f t="shared" si="169"/>
        <v>#N/A</v>
      </c>
      <c r="U1657">
        <f>C1657/Navio!$J$4</f>
        <v>20.383563139628809</v>
      </c>
    </row>
    <row r="1658" spans="1:21" x14ac:dyDescent="0.3">
      <c r="A1658">
        <v>1656</v>
      </c>
      <c r="B1658" s="47">
        <v>844.58665659590372</v>
      </c>
      <c r="C1658" s="46">
        <v>380.71183887573181</v>
      </c>
      <c r="D1658" s="1">
        <v>53</v>
      </c>
      <c r="E1658" s="1">
        <v>57</v>
      </c>
      <c r="F1658" s="1">
        <v>51</v>
      </c>
      <c r="G1658" s="1">
        <v>50</v>
      </c>
      <c r="H1658" s="1" t="s">
        <v>50</v>
      </c>
      <c r="I1658" s="1" t="s">
        <v>50</v>
      </c>
      <c r="J1658" s="1" t="s">
        <v>50</v>
      </c>
      <c r="K1658" s="1" t="s">
        <v>50</v>
      </c>
      <c r="L1658">
        <f t="shared" si="165"/>
        <v>400.84350127536862</v>
      </c>
      <c r="M1658">
        <f t="shared" si="164"/>
        <v>243.42490578966306</v>
      </c>
      <c r="N1658">
        <f t="shared" si="166"/>
        <v>100.96468435237094</v>
      </c>
      <c r="O1658">
        <f t="shared" si="167"/>
        <v>99.353565178501128</v>
      </c>
      <c r="P1658" t="e">
        <f t="shared" si="168"/>
        <v>#N/A</v>
      </c>
      <c r="Q1658" t="e">
        <f t="shared" si="169"/>
        <v>#N/A</v>
      </c>
      <c r="U1658">
        <f>C1658/Navio!$J$4</f>
        <v>20.5568125153743</v>
      </c>
    </row>
    <row r="1659" spans="1:21" x14ac:dyDescent="0.3">
      <c r="A1659">
        <v>1657</v>
      </c>
      <c r="B1659" s="47">
        <v>643.24883565247308</v>
      </c>
      <c r="C1659" s="46">
        <v>393.94809495769687</v>
      </c>
      <c r="D1659" s="1">
        <v>53</v>
      </c>
      <c r="E1659" s="1">
        <v>58</v>
      </c>
      <c r="F1659" s="1">
        <v>51</v>
      </c>
      <c r="G1659" s="1">
        <v>50</v>
      </c>
      <c r="H1659" s="1" t="s">
        <v>50</v>
      </c>
      <c r="I1659" s="1" t="s">
        <v>50</v>
      </c>
      <c r="J1659" s="1" t="s">
        <v>50</v>
      </c>
      <c r="K1659" s="1" t="s">
        <v>50</v>
      </c>
      <c r="L1659">
        <f t="shared" si="165"/>
        <v>400.84350127536862</v>
      </c>
      <c r="M1659">
        <f t="shared" si="164"/>
        <v>126.26125453869709</v>
      </c>
      <c r="N1659">
        <f t="shared" si="166"/>
        <v>100.96468435237094</v>
      </c>
      <c r="O1659">
        <f t="shared" si="167"/>
        <v>99.353565178501128</v>
      </c>
      <c r="P1659" t="e">
        <f t="shared" si="168"/>
        <v>#N/A</v>
      </c>
      <c r="Q1659" t="e">
        <f t="shared" si="169"/>
        <v>#N/A</v>
      </c>
      <c r="U1659">
        <f>C1659/Navio!$J$4</f>
        <v>21.271513785200725</v>
      </c>
    </row>
    <row r="1660" spans="1:21" x14ac:dyDescent="0.3">
      <c r="A1660">
        <v>1658</v>
      </c>
      <c r="B1660" s="47">
        <v>863.66015502988807</v>
      </c>
      <c r="C1660" s="46">
        <v>389.97168504717263</v>
      </c>
      <c r="D1660" s="1">
        <v>53</v>
      </c>
      <c r="E1660" s="1">
        <v>59</v>
      </c>
      <c r="F1660" s="1">
        <v>51</v>
      </c>
      <c r="G1660" s="1">
        <v>50</v>
      </c>
      <c r="H1660" s="1" t="s">
        <v>50</v>
      </c>
      <c r="I1660" s="1" t="s">
        <v>50</v>
      </c>
      <c r="J1660" s="1" t="s">
        <v>50</v>
      </c>
      <c r="K1660" s="1" t="s">
        <v>50</v>
      </c>
      <c r="L1660">
        <f t="shared" si="165"/>
        <v>400.84350127536862</v>
      </c>
      <c r="M1660">
        <f t="shared" si="164"/>
        <v>262.49840422364741</v>
      </c>
      <c r="N1660">
        <f t="shared" si="166"/>
        <v>100.96468435237094</v>
      </c>
      <c r="O1660">
        <f t="shared" si="167"/>
        <v>99.353565178501128</v>
      </c>
      <c r="P1660" t="e">
        <f t="shared" si="168"/>
        <v>#N/A</v>
      </c>
      <c r="Q1660" t="e">
        <f t="shared" si="169"/>
        <v>#N/A</v>
      </c>
      <c r="U1660">
        <f>C1660/Navio!$J$4</f>
        <v>21.05680464125523</v>
      </c>
    </row>
    <row r="1661" spans="1:21" x14ac:dyDescent="0.3">
      <c r="A1661">
        <v>1659</v>
      </c>
      <c r="B1661" s="47">
        <v>892.83607808675356</v>
      </c>
      <c r="C1661" s="46">
        <v>365.1771118820418</v>
      </c>
      <c r="D1661" s="1">
        <v>51</v>
      </c>
      <c r="E1661" s="1">
        <v>55</v>
      </c>
      <c r="F1661" s="1">
        <v>54</v>
      </c>
      <c r="G1661" s="1">
        <v>50</v>
      </c>
      <c r="H1661" s="1" t="s">
        <v>50</v>
      </c>
      <c r="I1661" s="1" t="s">
        <v>50</v>
      </c>
      <c r="J1661" s="1" t="s">
        <v>50</v>
      </c>
      <c r="K1661" s="1" t="s">
        <v>50</v>
      </c>
      <c r="L1661">
        <f t="shared" si="165"/>
        <v>100.96468435237094</v>
      </c>
      <c r="M1661">
        <f t="shared" si="164"/>
        <v>195.4263682263873</v>
      </c>
      <c r="N1661">
        <f t="shared" si="166"/>
        <v>497.09146032949423</v>
      </c>
      <c r="O1661">
        <f t="shared" si="167"/>
        <v>99.353565178501128</v>
      </c>
      <c r="P1661" t="e">
        <f t="shared" si="168"/>
        <v>#N/A</v>
      </c>
      <c r="Q1661" t="e">
        <f t="shared" si="169"/>
        <v>#N/A</v>
      </c>
      <c r="U1661">
        <f>C1661/Navio!$J$4</f>
        <v>19.718003637694384</v>
      </c>
    </row>
    <row r="1662" spans="1:21" x14ac:dyDescent="0.3">
      <c r="A1662">
        <v>1660</v>
      </c>
      <c r="B1662" s="47">
        <v>739.49679470659862</v>
      </c>
      <c r="C1662" s="46">
        <v>386.82538284234101</v>
      </c>
      <c r="D1662" s="1">
        <v>51</v>
      </c>
      <c r="E1662" s="1">
        <v>58</v>
      </c>
      <c r="F1662" s="1">
        <v>54</v>
      </c>
      <c r="G1662" s="1">
        <v>50</v>
      </c>
      <c r="H1662" s="1" t="s">
        <v>50</v>
      </c>
      <c r="I1662" s="1" t="s">
        <v>50</v>
      </c>
      <c r="J1662" s="1" t="s">
        <v>50</v>
      </c>
      <c r="K1662" s="1" t="s">
        <v>50</v>
      </c>
      <c r="L1662">
        <f t="shared" si="165"/>
        <v>100.96468435237094</v>
      </c>
      <c r="M1662">
        <f t="shared" si="164"/>
        <v>126.26125453869709</v>
      </c>
      <c r="N1662">
        <f t="shared" si="166"/>
        <v>497.09146032949423</v>
      </c>
      <c r="O1662">
        <f t="shared" si="167"/>
        <v>99.353565178501128</v>
      </c>
      <c r="P1662" t="e">
        <f t="shared" si="168"/>
        <v>#N/A</v>
      </c>
      <c r="Q1662" t="e">
        <f t="shared" si="169"/>
        <v>#N/A</v>
      </c>
      <c r="U1662">
        <f>C1662/Navio!$J$4</f>
        <v>20.886917766362053</v>
      </c>
    </row>
    <row r="1663" spans="1:21" x14ac:dyDescent="0.3">
      <c r="A1663">
        <v>1661</v>
      </c>
      <c r="B1663" s="47">
        <v>832.80616240791539</v>
      </c>
      <c r="C1663" s="46">
        <v>382.61660267854222</v>
      </c>
      <c r="D1663" s="1">
        <v>51</v>
      </c>
      <c r="E1663" s="1">
        <v>56</v>
      </c>
      <c r="F1663" s="1">
        <v>55</v>
      </c>
      <c r="G1663" s="1">
        <v>50</v>
      </c>
      <c r="H1663" s="1" t="s">
        <v>50</v>
      </c>
      <c r="I1663" s="1" t="s">
        <v>50</v>
      </c>
      <c r="J1663" s="1" t="s">
        <v>50</v>
      </c>
      <c r="K1663" s="1" t="s">
        <v>50</v>
      </c>
      <c r="L1663">
        <f t="shared" si="165"/>
        <v>100.96468435237094</v>
      </c>
      <c r="M1663">
        <f t="shared" si="164"/>
        <v>437.06154465065606</v>
      </c>
      <c r="N1663">
        <f t="shared" si="166"/>
        <v>195.4263682263873</v>
      </c>
      <c r="O1663">
        <f t="shared" si="167"/>
        <v>99.353565178501128</v>
      </c>
      <c r="P1663" t="e">
        <f t="shared" si="168"/>
        <v>#N/A</v>
      </c>
      <c r="Q1663" t="e">
        <f t="shared" si="169"/>
        <v>#N/A</v>
      </c>
      <c r="U1663">
        <f>C1663/Navio!$J$4</f>
        <v>20.659661621659186</v>
      </c>
    </row>
    <row r="1664" spans="1:21" x14ac:dyDescent="0.3">
      <c r="A1664">
        <v>1662</v>
      </c>
      <c r="B1664" s="47">
        <v>639.16952354692239</v>
      </c>
      <c r="C1664" s="46">
        <v>379.66220419677342</v>
      </c>
      <c r="D1664" s="1">
        <v>51</v>
      </c>
      <c r="E1664" s="1">
        <v>57</v>
      </c>
      <c r="F1664" s="1">
        <v>55</v>
      </c>
      <c r="G1664" s="1">
        <v>50</v>
      </c>
      <c r="H1664" s="1" t="s">
        <v>50</v>
      </c>
      <c r="I1664" s="1" t="s">
        <v>50</v>
      </c>
      <c r="J1664" s="1" t="s">
        <v>50</v>
      </c>
      <c r="K1664" s="1" t="s">
        <v>50</v>
      </c>
      <c r="L1664">
        <f t="shared" si="165"/>
        <v>100.96468435237094</v>
      </c>
      <c r="M1664">
        <f t="shared" si="164"/>
        <v>243.42490578966306</v>
      </c>
      <c r="N1664">
        <f t="shared" si="166"/>
        <v>195.4263682263873</v>
      </c>
      <c r="O1664">
        <f t="shared" si="167"/>
        <v>99.353565178501128</v>
      </c>
      <c r="P1664" t="e">
        <f t="shared" si="168"/>
        <v>#N/A</v>
      </c>
      <c r="Q1664" t="e">
        <f t="shared" si="169"/>
        <v>#N/A</v>
      </c>
      <c r="U1664">
        <f>C1664/Navio!$J$4</f>
        <v>20.500136727805671</v>
      </c>
    </row>
    <row r="1665" spans="1:21" x14ac:dyDescent="0.3">
      <c r="A1665">
        <v>1663</v>
      </c>
      <c r="B1665" s="47">
        <v>437.83170260349175</v>
      </c>
      <c r="C1665" s="46">
        <v>387.85734433657871</v>
      </c>
      <c r="D1665" s="1">
        <v>51</v>
      </c>
      <c r="E1665" s="1">
        <v>58</v>
      </c>
      <c r="F1665" s="1">
        <v>55</v>
      </c>
      <c r="G1665" s="1">
        <v>50</v>
      </c>
      <c r="H1665" s="1" t="s">
        <v>50</v>
      </c>
      <c r="I1665" s="1" t="s">
        <v>50</v>
      </c>
      <c r="J1665" s="1" t="s">
        <v>50</v>
      </c>
      <c r="K1665" s="1" t="s">
        <v>50</v>
      </c>
      <c r="L1665">
        <f t="shared" si="165"/>
        <v>100.96468435237094</v>
      </c>
      <c r="M1665">
        <f t="shared" si="164"/>
        <v>126.26125453869709</v>
      </c>
      <c r="N1665">
        <f t="shared" si="166"/>
        <v>195.4263682263873</v>
      </c>
      <c r="O1665">
        <f t="shared" si="167"/>
        <v>99.353565178501128</v>
      </c>
      <c r="P1665" t="e">
        <f t="shared" si="168"/>
        <v>#N/A</v>
      </c>
      <c r="Q1665" t="e">
        <f t="shared" si="169"/>
        <v>#N/A</v>
      </c>
      <c r="U1665">
        <f>C1665/Navio!$J$4</f>
        <v>20.942639277473386</v>
      </c>
    </row>
    <row r="1666" spans="1:21" x14ac:dyDescent="0.3">
      <c r="A1666">
        <v>1664</v>
      </c>
      <c r="B1666" s="47">
        <v>658.24302198090675</v>
      </c>
      <c r="C1666" s="46">
        <v>394.95356740040512</v>
      </c>
      <c r="D1666" s="1">
        <v>51</v>
      </c>
      <c r="E1666" s="1">
        <v>59</v>
      </c>
      <c r="F1666" s="1">
        <v>55</v>
      </c>
      <c r="G1666" s="1">
        <v>50</v>
      </c>
      <c r="H1666" s="1" t="s">
        <v>50</v>
      </c>
      <c r="I1666" s="1" t="s">
        <v>50</v>
      </c>
      <c r="J1666" s="1" t="s">
        <v>50</v>
      </c>
      <c r="K1666" s="1" t="s">
        <v>50</v>
      </c>
      <c r="L1666">
        <f t="shared" si="165"/>
        <v>100.96468435237094</v>
      </c>
      <c r="M1666">
        <f t="shared" si="164"/>
        <v>262.49840422364741</v>
      </c>
      <c r="N1666">
        <f t="shared" si="166"/>
        <v>195.4263682263873</v>
      </c>
      <c r="O1666">
        <f t="shared" si="167"/>
        <v>99.353565178501128</v>
      </c>
      <c r="P1666" t="e">
        <f t="shared" si="168"/>
        <v>#N/A</v>
      </c>
      <c r="Q1666" t="e">
        <f t="shared" si="169"/>
        <v>#N/A</v>
      </c>
      <c r="U1666">
        <f>C1666/Navio!$J$4</f>
        <v>21.325805000717338</v>
      </c>
    </row>
    <row r="1667" spans="1:21" x14ac:dyDescent="0.3">
      <c r="A1667">
        <v>1665</v>
      </c>
      <c r="B1667" s="47">
        <v>880.80469997119121</v>
      </c>
      <c r="C1667" s="46">
        <v>380.50026718167186</v>
      </c>
      <c r="D1667" s="1">
        <v>51</v>
      </c>
      <c r="E1667" s="1">
        <v>56</v>
      </c>
      <c r="F1667" s="1">
        <v>57</v>
      </c>
      <c r="G1667" s="1">
        <v>50</v>
      </c>
      <c r="H1667" s="1" t="s">
        <v>50</v>
      </c>
      <c r="I1667" s="1" t="s">
        <v>50</v>
      </c>
      <c r="J1667" s="1" t="s">
        <v>50</v>
      </c>
      <c r="K1667" s="1" t="s">
        <v>50</v>
      </c>
      <c r="L1667">
        <f t="shared" si="165"/>
        <v>100.96468435237094</v>
      </c>
      <c r="M1667">
        <f t="shared" ref="M1667:M1730" si="170">VLOOKUP(E1667,$Y$2:$Z$80,2)</f>
        <v>437.06154465065606</v>
      </c>
      <c r="N1667">
        <f t="shared" si="166"/>
        <v>243.42490578966306</v>
      </c>
      <c r="O1667">
        <f t="shared" si="167"/>
        <v>99.353565178501128</v>
      </c>
      <c r="P1667" t="e">
        <f t="shared" si="168"/>
        <v>#N/A</v>
      </c>
      <c r="Q1667" t="e">
        <f t="shared" si="169"/>
        <v>#N/A</v>
      </c>
      <c r="U1667">
        <f>C1667/Navio!$J$4</f>
        <v>20.545388547942149</v>
      </c>
    </row>
    <row r="1668" spans="1:21" x14ac:dyDescent="0.3">
      <c r="A1668">
        <v>1666</v>
      </c>
      <c r="B1668" s="47">
        <v>679.46687902776046</v>
      </c>
      <c r="C1668" s="46">
        <v>392.4247186177497</v>
      </c>
      <c r="D1668" s="1">
        <v>51</v>
      </c>
      <c r="E1668" s="1">
        <v>56</v>
      </c>
      <c r="F1668" s="1">
        <v>58</v>
      </c>
      <c r="G1668" s="1">
        <v>50</v>
      </c>
      <c r="H1668" s="1" t="s">
        <v>50</v>
      </c>
      <c r="I1668" s="1" t="s">
        <v>50</v>
      </c>
      <c r="J1668" s="1" t="s">
        <v>50</v>
      </c>
      <c r="K1668" s="1" t="s">
        <v>50</v>
      </c>
      <c r="L1668">
        <f t="shared" si="165"/>
        <v>100.96468435237094</v>
      </c>
      <c r="M1668">
        <f t="shared" si="170"/>
        <v>437.06154465065606</v>
      </c>
      <c r="N1668">
        <f t="shared" si="166"/>
        <v>126.26125453869709</v>
      </c>
      <c r="O1668">
        <f t="shared" si="167"/>
        <v>99.353565178501128</v>
      </c>
      <c r="P1668" t="e">
        <f t="shared" si="168"/>
        <v>#N/A</v>
      </c>
      <c r="Q1668" t="e">
        <f t="shared" si="169"/>
        <v>#N/A</v>
      </c>
      <c r="U1668">
        <f>C1668/Navio!$J$4</f>
        <v>21.189257972239592</v>
      </c>
    </row>
    <row r="1669" spans="1:21" x14ac:dyDescent="0.3">
      <c r="A1669">
        <v>1667</v>
      </c>
      <c r="B1669" s="47">
        <v>899.87819840517557</v>
      </c>
      <c r="C1669" s="46">
        <v>389.28995937960042</v>
      </c>
      <c r="D1669" s="1">
        <v>51</v>
      </c>
      <c r="E1669" s="1">
        <v>56</v>
      </c>
      <c r="F1669" s="1">
        <v>59</v>
      </c>
      <c r="G1669" s="1">
        <v>50</v>
      </c>
      <c r="H1669" s="1" t="s">
        <v>50</v>
      </c>
      <c r="I1669" s="1" t="s">
        <v>50</v>
      </c>
      <c r="J1669" s="1" t="s">
        <v>50</v>
      </c>
      <c r="K1669" s="1" t="s">
        <v>50</v>
      </c>
      <c r="L1669">
        <f t="shared" si="165"/>
        <v>100.96468435237094</v>
      </c>
      <c r="M1669">
        <f t="shared" si="170"/>
        <v>437.06154465065606</v>
      </c>
      <c r="N1669">
        <f t="shared" si="166"/>
        <v>262.49840422364741</v>
      </c>
      <c r="O1669">
        <f t="shared" si="167"/>
        <v>99.353565178501128</v>
      </c>
      <c r="P1669" t="e">
        <f t="shared" si="168"/>
        <v>#N/A</v>
      </c>
      <c r="Q1669" t="e">
        <f t="shared" si="169"/>
        <v>#N/A</v>
      </c>
      <c r="U1669">
        <f>C1669/Navio!$J$4</f>
        <v>21.019994368224097</v>
      </c>
    </row>
    <row r="1670" spans="1:21" x14ac:dyDescent="0.3">
      <c r="A1670">
        <v>1668</v>
      </c>
      <c r="B1670" s="47">
        <v>485.83024016676751</v>
      </c>
      <c r="C1670" s="46">
        <v>387.39860778716366</v>
      </c>
      <c r="D1670" s="1">
        <v>51</v>
      </c>
      <c r="E1670" s="1">
        <v>57</v>
      </c>
      <c r="F1670" s="1">
        <v>58</v>
      </c>
      <c r="G1670" s="1">
        <v>50</v>
      </c>
      <c r="H1670" s="1" t="s">
        <v>50</v>
      </c>
      <c r="I1670" s="1" t="s">
        <v>50</v>
      </c>
      <c r="J1670" s="1" t="s">
        <v>50</v>
      </c>
      <c r="K1670" s="1" t="s">
        <v>50</v>
      </c>
      <c r="L1670">
        <f t="shared" si="165"/>
        <v>100.96468435237094</v>
      </c>
      <c r="M1670">
        <f t="shared" si="170"/>
        <v>243.42490578966306</v>
      </c>
      <c r="N1670">
        <f t="shared" si="166"/>
        <v>126.26125453869709</v>
      </c>
      <c r="O1670">
        <f t="shared" si="167"/>
        <v>99.353565178501128</v>
      </c>
      <c r="P1670" t="e">
        <f t="shared" si="168"/>
        <v>#N/A</v>
      </c>
      <c r="Q1670" t="e">
        <f t="shared" si="169"/>
        <v>#N/A</v>
      </c>
      <c r="U1670">
        <f>C1670/Navio!$J$4</f>
        <v>20.917869463988936</v>
      </c>
    </row>
    <row r="1671" spans="1:21" x14ac:dyDescent="0.3">
      <c r="A1671">
        <v>1669</v>
      </c>
      <c r="B1671" s="47">
        <v>706.24155954418256</v>
      </c>
      <c r="C1671" s="46">
        <v>390.38489580796579</v>
      </c>
      <c r="D1671" s="1">
        <v>51</v>
      </c>
      <c r="E1671" s="1">
        <v>59</v>
      </c>
      <c r="F1671" s="1">
        <v>57</v>
      </c>
      <c r="G1671" s="1">
        <v>50</v>
      </c>
      <c r="H1671" s="1" t="s">
        <v>50</v>
      </c>
      <c r="I1671" s="1" t="s">
        <v>50</v>
      </c>
      <c r="J1671" s="1" t="s">
        <v>50</v>
      </c>
      <c r="K1671" s="1" t="s">
        <v>50</v>
      </c>
      <c r="L1671">
        <f t="shared" si="165"/>
        <v>100.96468435237094</v>
      </c>
      <c r="M1671">
        <f t="shared" si="170"/>
        <v>262.49840422364741</v>
      </c>
      <c r="N1671">
        <f t="shared" si="166"/>
        <v>243.42490578966306</v>
      </c>
      <c r="O1671">
        <f t="shared" si="167"/>
        <v>99.353565178501128</v>
      </c>
      <c r="P1671" t="e">
        <f t="shared" si="168"/>
        <v>#N/A</v>
      </c>
      <c r="Q1671" t="e">
        <f t="shared" si="169"/>
        <v>#N/A</v>
      </c>
      <c r="U1671">
        <f>C1671/Navio!$J$4</f>
        <v>21.079116256686063</v>
      </c>
    </row>
    <row r="1672" spans="1:21" x14ac:dyDescent="0.3">
      <c r="A1672">
        <v>1670</v>
      </c>
      <c r="B1672" s="47">
        <v>504.90373860075186</v>
      </c>
      <c r="C1672" s="46">
        <v>398.272492306289</v>
      </c>
      <c r="D1672" s="1">
        <v>51</v>
      </c>
      <c r="E1672" s="1">
        <v>59</v>
      </c>
      <c r="F1672" s="1">
        <v>58</v>
      </c>
      <c r="G1672" s="1">
        <v>50</v>
      </c>
      <c r="H1672" s="1" t="s">
        <v>50</v>
      </c>
      <c r="I1672" s="1" t="s">
        <v>50</v>
      </c>
      <c r="J1672" s="1" t="s">
        <v>50</v>
      </c>
      <c r="K1672" s="1" t="s">
        <v>50</v>
      </c>
      <c r="L1672">
        <f t="shared" si="165"/>
        <v>100.96468435237094</v>
      </c>
      <c r="M1672">
        <f t="shared" si="170"/>
        <v>262.49840422364741</v>
      </c>
      <c r="N1672">
        <f t="shared" si="166"/>
        <v>126.26125453869709</v>
      </c>
      <c r="O1672">
        <f t="shared" si="167"/>
        <v>99.353565178501128</v>
      </c>
      <c r="P1672" t="e">
        <f t="shared" si="168"/>
        <v>#N/A</v>
      </c>
      <c r="Q1672" t="e">
        <f t="shared" si="169"/>
        <v>#N/A</v>
      </c>
      <c r="U1672">
        <f>C1672/Navio!$J$4</f>
        <v>21.505012763849525</v>
      </c>
    </row>
    <row r="1673" spans="1:21" x14ac:dyDescent="0.3">
      <c r="A1673">
        <v>1671</v>
      </c>
      <c r="B1673" s="47">
        <v>864.97508015589995</v>
      </c>
      <c r="C1673" s="46">
        <v>374.22541514699844</v>
      </c>
      <c r="D1673" s="1">
        <v>52</v>
      </c>
      <c r="E1673" s="1">
        <v>53</v>
      </c>
      <c r="F1673" s="1">
        <v>55</v>
      </c>
      <c r="G1673" s="1">
        <v>50</v>
      </c>
      <c r="H1673" s="1" t="s">
        <v>50</v>
      </c>
      <c r="I1673" s="1" t="s">
        <v>50</v>
      </c>
      <c r="J1673" s="1" t="s">
        <v>50</v>
      </c>
      <c r="K1673" s="1" t="s">
        <v>50</v>
      </c>
      <c r="L1673">
        <f t="shared" si="165"/>
        <v>169.3516454756429</v>
      </c>
      <c r="M1673">
        <f t="shared" si="170"/>
        <v>400.84350127536862</v>
      </c>
      <c r="N1673">
        <f t="shared" si="166"/>
        <v>195.4263682263873</v>
      </c>
      <c r="O1673">
        <f t="shared" si="167"/>
        <v>99.353565178501128</v>
      </c>
      <c r="P1673" t="e">
        <f t="shared" si="168"/>
        <v>#N/A</v>
      </c>
      <c r="Q1673" t="e">
        <f t="shared" si="169"/>
        <v>#N/A</v>
      </c>
      <c r="U1673">
        <f>C1673/Navio!$J$4</f>
        <v>20.206573350549245</v>
      </c>
    </row>
    <row r="1674" spans="1:21" x14ac:dyDescent="0.3">
      <c r="A1674">
        <v>1672</v>
      </c>
      <c r="B1674" s="47">
        <v>711.63579677574501</v>
      </c>
      <c r="C1674" s="46">
        <v>390.29591228108177</v>
      </c>
      <c r="D1674" s="1">
        <v>52</v>
      </c>
      <c r="E1674" s="1">
        <v>53</v>
      </c>
      <c r="F1674" s="1">
        <v>58</v>
      </c>
      <c r="G1674" s="1">
        <v>50</v>
      </c>
      <c r="H1674" s="1" t="s">
        <v>50</v>
      </c>
      <c r="I1674" s="1" t="s">
        <v>50</v>
      </c>
      <c r="J1674" s="1" t="s">
        <v>50</v>
      </c>
      <c r="K1674" s="1" t="s">
        <v>50</v>
      </c>
      <c r="L1674">
        <f t="shared" si="165"/>
        <v>169.3516454756429</v>
      </c>
      <c r="M1674">
        <f t="shared" si="170"/>
        <v>400.84350127536862</v>
      </c>
      <c r="N1674">
        <f t="shared" si="166"/>
        <v>126.26125453869709</v>
      </c>
      <c r="O1674">
        <f t="shared" si="167"/>
        <v>99.353565178501128</v>
      </c>
      <c r="P1674" t="e">
        <f t="shared" si="168"/>
        <v>#N/A</v>
      </c>
      <c r="Q1674" t="e">
        <f t="shared" si="169"/>
        <v>#N/A</v>
      </c>
      <c r="U1674">
        <f>C1674/Navio!$J$4</f>
        <v>21.074311526461457</v>
      </c>
    </row>
    <row r="1675" spans="1:21" x14ac:dyDescent="0.3">
      <c r="A1675">
        <v>1673</v>
      </c>
      <c r="B1675" s="47">
        <v>807.88375582987067</v>
      </c>
      <c r="C1675" s="46">
        <v>389.87169257155222</v>
      </c>
      <c r="D1675" s="1">
        <v>52</v>
      </c>
      <c r="E1675" s="1">
        <v>58</v>
      </c>
      <c r="F1675" s="1">
        <v>54</v>
      </c>
      <c r="G1675" s="1">
        <v>50</v>
      </c>
      <c r="H1675" s="1" t="s">
        <v>50</v>
      </c>
      <c r="I1675" s="1" t="s">
        <v>50</v>
      </c>
      <c r="J1675" s="1" t="s">
        <v>50</v>
      </c>
      <c r="K1675" s="1" t="s">
        <v>50</v>
      </c>
      <c r="L1675">
        <f t="shared" si="165"/>
        <v>169.3516454756429</v>
      </c>
      <c r="M1675">
        <f t="shared" si="170"/>
        <v>126.26125453869709</v>
      </c>
      <c r="N1675">
        <f t="shared" si="166"/>
        <v>497.09146032949423</v>
      </c>
      <c r="O1675">
        <f t="shared" si="167"/>
        <v>99.353565178501128</v>
      </c>
      <c r="P1675" t="e">
        <f t="shared" si="168"/>
        <v>#N/A</v>
      </c>
      <c r="Q1675" t="e">
        <f t="shared" si="169"/>
        <v>#N/A</v>
      </c>
      <c r="U1675">
        <f>C1675/Navio!$J$4</f>
        <v>21.051405474840163</v>
      </c>
    </row>
    <row r="1676" spans="1:21" x14ac:dyDescent="0.3">
      <c r="A1676">
        <v>1674</v>
      </c>
      <c r="B1676" s="47">
        <v>707.55648467019432</v>
      </c>
      <c r="C1676" s="46">
        <v>381.68105001723291</v>
      </c>
      <c r="D1676" s="1">
        <v>52</v>
      </c>
      <c r="E1676" s="1">
        <v>57</v>
      </c>
      <c r="F1676" s="1">
        <v>55</v>
      </c>
      <c r="G1676" s="1">
        <v>50</v>
      </c>
      <c r="H1676" s="1" t="s">
        <v>50</v>
      </c>
      <c r="I1676" s="1" t="s">
        <v>50</v>
      </c>
      <c r="J1676" s="1" t="s">
        <v>50</v>
      </c>
      <c r="K1676" s="1" t="s">
        <v>50</v>
      </c>
      <c r="L1676">
        <f t="shared" si="165"/>
        <v>169.3516454756429</v>
      </c>
      <c r="M1676">
        <f t="shared" si="170"/>
        <v>243.42490578966306</v>
      </c>
      <c r="N1676">
        <f t="shared" si="166"/>
        <v>195.4263682263873</v>
      </c>
      <c r="O1676">
        <f t="shared" si="167"/>
        <v>99.353565178501128</v>
      </c>
      <c r="P1676" t="e">
        <f t="shared" si="168"/>
        <v>#N/A</v>
      </c>
      <c r="Q1676" t="e">
        <f t="shared" si="169"/>
        <v>#N/A</v>
      </c>
      <c r="U1676">
        <f>C1676/Navio!$J$4</f>
        <v>20.609145775570479</v>
      </c>
    </row>
    <row r="1677" spans="1:21" x14ac:dyDescent="0.3">
      <c r="A1677">
        <v>1675</v>
      </c>
      <c r="B1677" s="47">
        <v>506.21866372676368</v>
      </c>
      <c r="C1677" s="46">
        <v>390.90365406578991</v>
      </c>
      <c r="D1677" s="1">
        <v>52</v>
      </c>
      <c r="E1677" s="1">
        <v>58</v>
      </c>
      <c r="F1677" s="1">
        <v>55</v>
      </c>
      <c r="G1677" s="1">
        <v>50</v>
      </c>
      <c r="H1677" s="1" t="s">
        <v>50</v>
      </c>
      <c r="I1677" s="1" t="s">
        <v>50</v>
      </c>
      <c r="J1677" s="1" t="s">
        <v>50</v>
      </c>
      <c r="K1677" s="1" t="s">
        <v>50</v>
      </c>
      <c r="L1677">
        <f t="shared" ref="L1677:L1740" si="171">VLOOKUP(D1677,$Y$2:$Z$80,2)</f>
        <v>169.3516454756429</v>
      </c>
      <c r="M1677">
        <f t="shared" si="170"/>
        <v>126.26125453869709</v>
      </c>
      <c r="N1677">
        <f t="shared" ref="N1677:N1740" si="172">VLOOKUP(F1677,$Y$2:$Z$80,2)</f>
        <v>195.4263682263873</v>
      </c>
      <c r="O1677">
        <f t="shared" ref="O1677:O1740" si="173">VLOOKUP(G1677,$Y$2:$Z$80,2)</f>
        <v>99.353565178501128</v>
      </c>
      <c r="P1677" t="e">
        <f t="shared" ref="P1677:P1740" si="174">VLOOKUP(H1677,$Y$2:$Z$80,2)</f>
        <v>#N/A</v>
      </c>
      <c r="Q1677" t="e">
        <f t="shared" ref="Q1677:Q1740" si="175">VLOOKUP(I1677,$Y$2:$Z$80,2)</f>
        <v>#N/A</v>
      </c>
      <c r="U1677">
        <f>C1677/Navio!$J$4</f>
        <v>21.107126985951492</v>
      </c>
    </row>
    <row r="1678" spans="1:21" x14ac:dyDescent="0.3">
      <c r="A1678">
        <v>1676</v>
      </c>
      <c r="B1678" s="47">
        <v>726.62998310417879</v>
      </c>
      <c r="C1678" s="46">
        <v>393.9990508915651</v>
      </c>
      <c r="D1678" s="1">
        <v>52</v>
      </c>
      <c r="E1678" s="1">
        <v>59</v>
      </c>
      <c r="F1678" s="1">
        <v>55</v>
      </c>
      <c r="G1678" s="1">
        <v>50</v>
      </c>
      <c r="H1678" s="1" t="s">
        <v>50</v>
      </c>
      <c r="I1678" s="1" t="s">
        <v>50</v>
      </c>
      <c r="J1678" s="1" t="s">
        <v>50</v>
      </c>
      <c r="K1678" s="1" t="s">
        <v>50</v>
      </c>
      <c r="L1678">
        <f t="shared" si="171"/>
        <v>169.3516454756429</v>
      </c>
      <c r="M1678">
        <f t="shared" si="170"/>
        <v>262.49840422364741</v>
      </c>
      <c r="N1678">
        <f t="shared" si="172"/>
        <v>195.4263682263873</v>
      </c>
      <c r="O1678">
        <f t="shared" si="173"/>
        <v>99.353565178501128</v>
      </c>
      <c r="P1678" t="e">
        <f t="shared" si="174"/>
        <v>#N/A</v>
      </c>
      <c r="Q1678" t="e">
        <f t="shared" si="175"/>
        <v>#N/A</v>
      </c>
      <c r="U1678">
        <f>C1678/Navio!$J$4</f>
        <v>21.274265187894606</v>
      </c>
    </row>
    <row r="1679" spans="1:21" x14ac:dyDescent="0.3">
      <c r="A1679">
        <v>1677</v>
      </c>
      <c r="B1679" s="47">
        <v>747.8538401510325</v>
      </c>
      <c r="C1679" s="46">
        <v>391.30866237716373</v>
      </c>
      <c r="D1679" s="1">
        <v>52</v>
      </c>
      <c r="E1679" s="1">
        <v>56</v>
      </c>
      <c r="F1679" s="1">
        <v>58</v>
      </c>
      <c r="G1679" s="1">
        <v>50</v>
      </c>
      <c r="H1679" s="1" t="s">
        <v>50</v>
      </c>
      <c r="I1679" s="1" t="s">
        <v>50</v>
      </c>
      <c r="J1679" s="1" t="s">
        <v>50</v>
      </c>
      <c r="K1679" s="1" t="s">
        <v>50</v>
      </c>
      <c r="L1679">
        <f t="shared" si="171"/>
        <v>169.3516454756429</v>
      </c>
      <c r="M1679">
        <f t="shared" si="170"/>
        <v>437.06154465065606</v>
      </c>
      <c r="N1679">
        <f t="shared" si="172"/>
        <v>126.26125453869709</v>
      </c>
      <c r="O1679">
        <f t="shared" si="173"/>
        <v>99.353565178501128</v>
      </c>
      <c r="P1679" t="e">
        <f t="shared" si="174"/>
        <v>#N/A</v>
      </c>
      <c r="Q1679" t="e">
        <f t="shared" si="175"/>
        <v>#N/A</v>
      </c>
      <c r="U1679">
        <f>C1679/Navio!$J$4</f>
        <v>21.128995704162797</v>
      </c>
    </row>
    <row r="1680" spans="1:21" x14ac:dyDescent="0.3">
      <c r="A1680">
        <v>1678</v>
      </c>
      <c r="B1680" s="47">
        <v>554.2172012900395</v>
      </c>
      <c r="C1680" s="46">
        <v>389.41745360762309</v>
      </c>
      <c r="D1680" s="1">
        <v>52</v>
      </c>
      <c r="E1680" s="1">
        <v>57</v>
      </c>
      <c r="F1680" s="1">
        <v>58</v>
      </c>
      <c r="G1680" s="1">
        <v>50</v>
      </c>
      <c r="H1680" s="1" t="s">
        <v>50</v>
      </c>
      <c r="I1680" s="1" t="s">
        <v>50</v>
      </c>
      <c r="J1680" s="1" t="s">
        <v>50</v>
      </c>
      <c r="K1680" s="1" t="s">
        <v>50</v>
      </c>
      <c r="L1680">
        <f t="shared" si="171"/>
        <v>169.3516454756429</v>
      </c>
      <c r="M1680">
        <f t="shared" si="170"/>
        <v>243.42490578966306</v>
      </c>
      <c r="N1680">
        <f t="shared" si="172"/>
        <v>126.26125453869709</v>
      </c>
      <c r="O1680">
        <f t="shared" si="173"/>
        <v>99.353565178501128</v>
      </c>
      <c r="P1680" t="e">
        <f t="shared" si="174"/>
        <v>#N/A</v>
      </c>
      <c r="Q1680" t="e">
        <f t="shared" si="175"/>
        <v>#N/A</v>
      </c>
      <c r="U1680">
        <f>C1680/Navio!$J$4</f>
        <v>21.02687851175374</v>
      </c>
    </row>
    <row r="1681" spans="1:21" x14ac:dyDescent="0.3">
      <c r="A1681">
        <v>1679</v>
      </c>
      <c r="B1681" s="47">
        <v>774.6285206674545</v>
      </c>
      <c r="C1681" s="46">
        <v>389.43037929912578</v>
      </c>
      <c r="D1681" s="1">
        <v>52</v>
      </c>
      <c r="E1681" s="1">
        <v>59</v>
      </c>
      <c r="F1681" s="1">
        <v>57</v>
      </c>
      <c r="G1681" s="1">
        <v>50</v>
      </c>
      <c r="H1681" s="1" t="s">
        <v>50</v>
      </c>
      <c r="I1681" s="1" t="s">
        <v>50</v>
      </c>
      <c r="J1681" s="1" t="s">
        <v>50</v>
      </c>
      <c r="K1681" s="1" t="s">
        <v>50</v>
      </c>
      <c r="L1681">
        <f t="shared" si="171"/>
        <v>169.3516454756429</v>
      </c>
      <c r="M1681">
        <f t="shared" si="170"/>
        <v>262.49840422364741</v>
      </c>
      <c r="N1681">
        <f t="shared" si="172"/>
        <v>243.42490578966306</v>
      </c>
      <c r="O1681">
        <f t="shared" si="173"/>
        <v>99.353565178501128</v>
      </c>
      <c r="P1681" t="e">
        <f t="shared" si="174"/>
        <v>#N/A</v>
      </c>
      <c r="Q1681" t="e">
        <f t="shared" si="175"/>
        <v>#N/A</v>
      </c>
      <c r="U1681">
        <f>C1681/Navio!$J$4</f>
        <v>21.027576443863328</v>
      </c>
    </row>
    <row r="1682" spans="1:21" x14ac:dyDescent="0.3">
      <c r="A1682">
        <v>1680</v>
      </c>
      <c r="B1682" s="47">
        <v>573.29069972402385</v>
      </c>
      <c r="C1682" s="46">
        <v>397.31797579744898</v>
      </c>
      <c r="D1682" s="1">
        <v>52</v>
      </c>
      <c r="E1682" s="1">
        <v>59</v>
      </c>
      <c r="F1682" s="1">
        <v>58</v>
      </c>
      <c r="G1682" s="1">
        <v>50</v>
      </c>
      <c r="H1682" s="1" t="s">
        <v>50</v>
      </c>
      <c r="I1682" s="1" t="s">
        <v>50</v>
      </c>
      <c r="J1682" s="1" t="s">
        <v>50</v>
      </c>
      <c r="K1682" s="1" t="s">
        <v>50</v>
      </c>
      <c r="L1682">
        <f t="shared" si="171"/>
        <v>169.3516454756429</v>
      </c>
      <c r="M1682">
        <f t="shared" si="170"/>
        <v>262.49840422364741</v>
      </c>
      <c r="N1682">
        <f t="shared" si="172"/>
        <v>126.26125453869709</v>
      </c>
      <c r="O1682">
        <f t="shared" si="173"/>
        <v>99.353565178501128</v>
      </c>
      <c r="P1682" t="e">
        <f t="shared" si="174"/>
        <v>#N/A</v>
      </c>
      <c r="Q1682" t="e">
        <f t="shared" si="175"/>
        <v>#N/A</v>
      </c>
      <c r="U1682">
        <f>C1682/Navio!$J$4</f>
        <v>21.453472951026793</v>
      </c>
    </row>
    <row r="1683" spans="1:21" x14ac:dyDescent="0.3">
      <c r="A1683">
        <v>1681</v>
      </c>
      <c r="B1683" s="47">
        <v>737.71051952648941</v>
      </c>
      <c r="C1683" s="46">
        <v>391.7381688347088</v>
      </c>
      <c r="D1683" s="1">
        <v>53</v>
      </c>
      <c r="E1683" s="1">
        <v>58</v>
      </c>
      <c r="F1683" s="1">
        <v>55</v>
      </c>
      <c r="G1683" s="1">
        <v>50</v>
      </c>
      <c r="H1683" s="1" t="s">
        <v>50</v>
      </c>
      <c r="I1683" s="1" t="s">
        <v>50</v>
      </c>
      <c r="J1683" s="1" t="s">
        <v>50</v>
      </c>
      <c r="K1683" s="1" t="s">
        <v>50</v>
      </c>
      <c r="L1683">
        <f t="shared" si="171"/>
        <v>400.84350127536862</v>
      </c>
      <c r="M1683">
        <f t="shared" si="170"/>
        <v>126.26125453869709</v>
      </c>
      <c r="N1683">
        <f t="shared" si="172"/>
        <v>195.4263682263873</v>
      </c>
      <c r="O1683">
        <f t="shared" si="173"/>
        <v>99.353565178501128</v>
      </c>
      <c r="P1683" t="e">
        <f t="shared" si="174"/>
        <v>#N/A</v>
      </c>
      <c r="Q1683" t="e">
        <f t="shared" si="175"/>
        <v>#N/A</v>
      </c>
      <c r="U1683">
        <f>C1683/Navio!$J$4</f>
        <v>21.152187217586622</v>
      </c>
    </row>
    <row r="1684" spans="1:21" x14ac:dyDescent="0.3">
      <c r="A1684">
        <v>1682</v>
      </c>
      <c r="B1684" s="47">
        <v>785.70905708976522</v>
      </c>
      <c r="C1684" s="46">
        <v>390.16740831496099</v>
      </c>
      <c r="D1684" s="1">
        <v>53</v>
      </c>
      <c r="E1684" s="1">
        <v>57</v>
      </c>
      <c r="F1684" s="1">
        <v>58</v>
      </c>
      <c r="G1684" s="1">
        <v>50</v>
      </c>
      <c r="H1684" s="1" t="s">
        <v>50</v>
      </c>
      <c r="I1684" s="1" t="s">
        <v>50</v>
      </c>
      <c r="J1684" s="1" t="s">
        <v>50</v>
      </c>
      <c r="K1684" s="1" t="s">
        <v>50</v>
      </c>
      <c r="L1684">
        <f t="shared" si="171"/>
        <v>400.84350127536862</v>
      </c>
      <c r="M1684">
        <f t="shared" si="170"/>
        <v>243.42490578966306</v>
      </c>
      <c r="N1684">
        <f t="shared" si="172"/>
        <v>126.26125453869709</v>
      </c>
      <c r="O1684">
        <f t="shared" si="173"/>
        <v>99.353565178501128</v>
      </c>
      <c r="P1684" t="e">
        <f t="shared" si="174"/>
        <v>#N/A</v>
      </c>
      <c r="Q1684" t="e">
        <f t="shared" si="175"/>
        <v>#N/A</v>
      </c>
      <c r="U1684">
        <f>C1684/Navio!$J$4</f>
        <v>21.067372861389135</v>
      </c>
    </row>
    <row r="1685" spans="1:21" x14ac:dyDescent="0.3">
      <c r="A1685">
        <v>1683</v>
      </c>
      <c r="B1685" s="47">
        <v>804.78255552374958</v>
      </c>
      <c r="C1685" s="46">
        <v>397.40612268984319</v>
      </c>
      <c r="D1685" s="1">
        <v>53</v>
      </c>
      <c r="E1685" s="1">
        <v>59</v>
      </c>
      <c r="F1685" s="1">
        <v>58</v>
      </c>
      <c r="G1685" s="1">
        <v>50</v>
      </c>
      <c r="H1685" s="1" t="s">
        <v>50</v>
      </c>
      <c r="I1685" s="1" t="s">
        <v>50</v>
      </c>
      <c r="J1685" s="1" t="s">
        <v>50</v>
      </c>
      <c r="K1685" s="1" t="s">
        <v>50</v>
      </c>
      <c r="L1685">
        <f t="shared" si="171"/>
        <v>400.84350127536862</v>
      </c>
      <c r="M1685">
        <f t="shared" si="170"/>
        <v>262.49840422364741</v>
      </c>
      <c r="N1685">
        <f t="shared" si="172"/>
        <v>126.26125453869709</v>
      </c>
      <c r="O1685">
        <f t="shared" si="173"/>
        <v>99.353565178501128</v>
      </c>
      <c r="P1685" t="e">
        <f t="shared" si="174"/>
        <v>#N/A</v>
      </c>
      <c r="Q1685" t="e">
        <f t="shared" si="175"/>
        <v>#N/A</v>
      </c>
      <c r="U1685">
        <f>C1685/Navio!$J$4</f>
        <v>21.458232506563892</v>
      </c>
    </row>
    <row r="1686" spans="1:21" x14ac:dyDescent="0.3">
      <c r="A1686">
        <v>1684</v>
      </c>
      <c r="B1686" s="47">
        <v>833.95847858061506</v>
      </c>
      <c r="C1686" s="46">
        <v>387.00492532211877</v>
      </c>
      <c r="D1686" s="1">
        <v>54</v>
      </c>
      <c r="E1686" s="1">
        <v>55</v>
      </c>
      <c r="F1686" s="1">
        <v>58</v>
      </c>
      <c r="G1686" s="1">
        <v>50</v>
      </c>
      <c r="H1686" s="1" t="s">
        <v>50</v>
      </c>
      <c r="I1686" s="1" t="s">
        <v>50</v>
      </c>
      <c r="J1686" s="1" t="s">
        <v>50</v>
      </c>
      <c r="K1686" s="1" t="s">
        <v>50</v>
      </c>
      <c r="L1686">
        <f t="shared" si="171"/>
        <v>497.09146032949423</v>
      </c>
      <c r="M1686">
        <f t="shared" si="170"/>
        <v>195.4263682263873</v>
      </c>
      <c r="N1686">
        <f t="shared" si="172"/>
        <v>126.26125453869709</v>
      </c>
      <c r="O1686">
        <f t="shared" si="173"/>
        <v>99.353565178501128</v>
      </c>
      <c r="P1686" t="e">
        <f t="shared" si="174"/>
        <v>#N/A</v>
      </c>
      <c r="Q1686" t="e">
        <f t="shared" si="175"/>
        <v>#N/A</v>
      </c>
      <c r="U1686">
        <f>C1686/Navio!$J$4</f>
        <v>20.896612293083987</v>
      </c>
    </row>
    <row r="1687" spans="1:21" x14ac:dyDescent="0.3">
      <c r="A1687">
        <v>1685</v>
      </c>
      <c r="B1687" s="47">
        <v>881.95701614389077</v>
      </c>
      <c r="C1687" s="46">
        <v>387.96170142555957</v>
      </c>
      <c r="D1687" s="1">
        <v>57</v>
      </c>
      <c r="E1687" s="1">
        <v>58</v>
      </c>
      <c r="F1687" s="1">
        <v>54</v>
      </c>
      <c r="G1687" s="1">
        <v>50</v>
      </c>
      <c r="H1687" s="1" t="s">
        <v>50</v>
      </c>
      <c r="I1687" s="1" t="s">
        <v>50</v>
      </c>
      <c r="J1687" s="1" t="s">
        <v>50</v>
      </c>
      <c r="K1687" s="1" t="s">
        <v>50</v>
      </c>
      <c r="L1687">
        <f t="shared" si="171"/>
        <v>243.42490578966306</v>
      </c>
      <c r="M1687">
        <f t="shared" si="170"/>
        <v>126.26125453869709</v>
      </c>
      <c r="N1687">
        <f t="shared" si="172"/>
        <v>497.09146032949423</v>
      </c>
      <c r="O1687">
        <f t="shared" si="173"/>
        <v>99.353565178501128</v>
      </c>
      <c r="P1687" t="e">
        <f t="shared" si="174"/>
        <v>#N/A</v>
      </c>
      <c r="Q1687" t="e">
        <f t="shared" si="175"/>
        <v>#N/A</v>
      </c>
      <c r="U1687">
        <f>C1687/Navio!$J$4</f>
        <v>20.948274114359901</v>
      </c>
    </row>
    <row r="1688" spans="1:21" x14ac:dyDescent="0.3">
      <c r="A1688">
        <v>1686</v>
      </c>
      <c r="B1688" s="47">
        <v>773.9285629017769</v>
      </c>
      <c r="C1688" s="46">
        <v>392.75642349231072</v>
      </c>
      <c r="D1688" s="1">
        <v>56</v>
      </c>
      <c r="E1688" s="1">
        <v>58</v>
      </c>
      <c r="F1688" s="1">
        <v>55</v>
      </c>
      <c r="G1688" s="1">
        <v>50</v>
      </c>
      <c r="H1688" s="1" t="s">
        <v>50</v>
      </c>
      <c r="I1688" s="1" t="s">
        <v>50</v>
      </c>
      <c r="J1688" s="1" t="s">
        <v>50</v>
      </c>
      <c r="K1688" s="1" t="s">
        <v>50</v>
      </c>
      <c r="L1688">
        <f t="shared" si="171"/>
        <v>437.06154465065606</v>
      </c>
      <c r="M1688">
        <f t="shared" si="170"/>
        <v>126.26125453869709</v>
      </c>
      <c r="N1688">
        <f t="shared" si="172"/>
        <v>195.4263682263873</v>
      </c>
      <c r="O1688">
        <f t="shared" si="173"/>
        <v>99.353565178501128</v>
      </c>
      <c r="P1688" t="e">
        <f t="shared" si="174"/>
        <v>#N/A</v>
      </c>
      <c r="Q1688" t="e">
        <f t="shared" si="175"/>
        <v>#N/A</v>
      </c>
      <c r="U1688">
        <f>C1688/Navio!$J$4</f>
        <v>21.207168618089018</v>
      </c>
    </row>
    <row r="1689" spans="1:21" x14ac:dyDescent="0.3">
      <c r="A1689">
        <v>1687</v>
      </c>
      <c r="B1689" s="47">
        <v>580.2919240407839</v>
      </c>
      <c r="C1689" s="46">
        <v>388.68546520587336</v>
      </c>
      <c r="D1689" s="1">
        <v>55</v>
      </c>
      <c r="E1689" s="1">
        <v>58</v>
      </c>
      <c r="F1689" s="1">
        <v>57</v>
      </c>
      <c r="G1689" s="1">
        <v>50</v>
      </c>
      <c r="H1689" s="1" t="s">
        <v>50</v>
      </c>
      <c r="I1689" s="1" t="s">
        <v>50</v>
      </c>
      <c r="J1689" s="1" t="s">
        <v>50</v>
      </c>
      <c r="K1689" s="1" t="s">
        <v>50</v>
      </c>
      <c r="L1689">
        <f t="shared" si="171"/>
        <v>195.4263682263873</v>
      </c>
      <c r="M1689">
        <f t="shared" si="170"/>
        <v>126.26125453869709</v>
      </c>
      <c r="N1689">
        <f t="shared" si="172"/>
        <v>243.42490578966306</v>
      </c>
      <c r="O1689">
        <f t="shared" si="173"/>
        <v>99.353565178501128</v>
      </c>
      <c r="P1689" t="e">
        <f t="shared" si="174"/>
        <v>#N/A</v>
      </c>
      <c r="Q1689" t="e">
        <f t="shared" si="175"/>
        <v>#N/A</v>
      </c>
      <c r="U1689">
        <f>C1689/Navio!$J$4</f>
        <v>20.987354265849977</v>
      </c>
    </row>
    <row r="1690" spans="1:21" x14ac:dyDescent="0.3">
      <c r="A1690">
        <v>1688</v>
      </c>
      <c r="B1690" s="47">
        <v>800.70324341819889</v>
      </c>
      <c r="C1690" s="46">
        <v>393.95592967044803</v>
      </c>
      <c r="D1690" s="1">
        <v>59</v>
      </c>
      <c r="E1690" s="1">
        <v>57</v>
      </c>
      <c r="F1690" s="1">
        <v>55</v>
      </c>
      <c r="G1690" s="1">
        <v>50</v>
      </c>
      <c r="H1690" s="1" t="s">
        <v>50</v>
      </c>
      <c r="I1690" s="1" t="s">
        <v>50</v>
      </c>
      <c r="J1690" s="1" t="s">
        <v>50</v>
      </c>
      <c r="K1690" s="1" t="s">
        <v>50</v>
      </c>
      <c r="L1690">
        <f t="shared" si="171"/>
        <v>262.49840422364741</v>
      </c>
      <c r="M1690">
        <f t="shared" si="170"/>
        <v>243.42490578966306</v>
      </c>
      <c r="N1690">
        <f t="shared" si="172"/>
        <v>195.4263682263873</v>
      </c>
      <c r="O1690">
        <f t="shared" si="173"/>
        <v>99.353565178501128</v>
      </c>
      <c r="P1690" t="e">
        <f t="shared" si="174"/>
        <v>#N/A</v>
      </c>
      <c r="Q1690" t="e">
        <f t="shared" si="175"/>
        <v>#N/A</v>
      </c>
      <c r="U1690">
        <f>C1690/Navio!$J$4</f>
        <v>21.271936826211512</v>
      </c>
    </row>
    <row r="1691" spans="1:21" x14ac:dyDescent="0.3">
      <c r="A1691">
        <v>1689</v>
      </c>
      <c r="B1691" s="47">
        <v>599.36542247476825</v>
      </c>
      <c r="C1691" s="46">
        <v>398.86662110404592</v>
      </c>
      <c r="D1691" s="1">
        <v>59</v>
      </c>
      <c r="E1691" s="1">
        <v>58</v>
      </c>
      <c r="F1691" s="1">
        <v>55</v>
      </c>
      <c r="G1691" s="1">
        <v>50</v>
      </c>
      <c r="H1691" s="1" t="s">
        <v>50</v>
      </c>
      <c r="I1691" s="1" t="s">
        <v>50</v>
      </c>
      <c r="J1691" s="1" t="s">
        <v>50</v>
      </c>
      <c r="K1691" s="1" t="s">
        <v>50</v>
      </c>
      <c r="L1691">
        <f t="shared" si="171"/>
        <v>262.49840422364741</v>
      </c>
      <c r="M1691">
        <f t="shared" si="170"/>
        <v>126.26125453869709</v>
      </c>
      <c r="N1691">
        <f t="shared" si="172"/>
        <v>195.4263682263873</v>
      </c>
      <c r="O1691">
        <f t="shared" si="173"/>
        <v>99.353565178501128</v>
      </c>
      <c r="P1691" t="e">
        <f t="shared" si="174"/>
        <v>#N/A</v>
      </c>
      <c r="Q1691" t="e">
        <f t="shared" si="175"/>
        <v>#N/A</v>
      </c>
      <c r="U1691">
        <f>C1691/Navio!$J$4</f>
        <v>21.537093180212569</v>
      </c>
    </row>
    <row r="1692" spans="1:21" x14ac:dyDescent="0.3">
      <c r="A1692">
        <v>1690</v>
      </c>
      <c r="B1692" s="47">
        <v>821.9271004650526</v>
      </c>
      <c r="C1692" s="46">
        <v>391.54528071134843</v>
      </c>
      <c r="D1692" s="1">
        <v>56</v>
      </c>
      <c r="E1692" s="1">
        <v>57</v>
      </c>
      <c r="F1692" s="1">
        <v>58</v>
      </c>
      <c r="G1692" s="1">
        <v>50</v>
      </c>
      <c r="H1692" s="1" t="s">
        <v>50</v>
      </c>
      <c r="I1692" s="1" t="s">
        <v>50</v>
      </c>
      <c r="J1692" s="1" t="s">
        <v>50</v>
      </c>
      <c r="K1692" s="1" t="s">
        <v>50</v>
      </c>
      <c r="L1692">
        <f t="shared" si="171"/>
        <v>437.06154465065606</v>
      </c>
      <c r="M1692">
        <f t="shared" si="170"/>
        <v>243.42490578966306</v>
      </c>
      <c r="N1692">
        <f t="shared" si="172"/>
        <v>126.26125453869709</v>
      </c>
      <c r="O1692">
        <f t="shared" si="173"/>
        <v>99.353565178501128</v>
      </c>
      <c r="P1692" t="e">
        <f t="shared" si="174"/>
        <v>#N/A</v>
      </c>
      <c r="Q1692" t="e">
        <f t="shared" si="175"/>
        <v>#N/A</v>
      </c>
      <c r="U1692">
        <f>C1692/Navio!$J$4</f>
        <v>21.141772083137244</v>
      </c>
    </row>
    <row r="1693" spans="1:21" x14ac:dyDescent="0.3">
      <c r="A1693">
        <v>1691</v>
      </c>
      <c r="B1693" s="47">
        <v>841.00059889903696</v>
      </c>
      <c r="C1693" s="46">
        <v>397.29214849615198</v>
      </c>
      <c r="D1693" s="1">
        <v>56</v>
      </c>
      <c r="E1693" s="1">
        <v>59</v>
      </c>
      <c r="F1693" s="1">
        <v>58</v>
      </c>
      <c r="G1693" s="1">
        <v>50</v>
      </c>
      <c r="H1693" s="1" t="s">
        <v>50</v>
      </c>
      <c r="I1693" s="1" t="s">
        <v>50</v>
      </c>
      <c r="J1693" s="1" t="s">
        <v>50</v>
      </c>
      <c r="K1693" s="1" t="s">
        <v>50</v>
      </c>
      <c r="L1693">
        <f t="shared" si="171"/>
        <v>437.06154465065606</v>
      </c>
      <c r="M1693">
        <f t="shared" si="170"/>
        <v>262.49840422364741</v>
      </c>
      <c r="N1693">
        <f t="shared" si="172"/>
        <v>126.26125453869709</v>
      </c>
      <c r="O1693">
        <f t="shared" si="173"/>
        <v>99.353565178501128</v>
      </c>
      <c r="P1693" t="e">
        <f t="shared" si="174"/>
        <v>#N/A</v>
      </c>
      <c r="Q1693" t="e">
        <f t="shared" si="175"/>
        <v>#N/A</v>
      </c>
      <c r="U1693">
        <f>C1693/Navio!$J$4</f>
        <v>21.452078387116963</v>
      </c>
    </row>
    <row r="1694" spans="1:21" x14ac:dyDescent="0.3">
      <c r="A1694">
        <v>1692</v>
      </c>
      <c r="B1694" s="47">
        <v>647.36396003804396</v>
      </c>
      <c r="C1694" s="46">
        <v>399.36007146173267</v>
      </c>
      <c r="D1694" s="1">
        <v>59</v>
      </c>
      <c r="E1694" s="1">
        <v>58</v>
      </c>
      <c r="F1694" s="1">
        <v>57</v>
      </c>
      <c r="G1694" s="1">
        <v>50</v>
      </c>
      <c r="H1694" s="1" t="s">
        <v>50</v>
      </c>
      <c r="I1694" s="1" t="s">
        <v>50</v>
      </c>
      <c r="J1694" s="1" t="s">
        <v>50</v>
      </c>
      <c r="K1694" s="1" t="s">
        <v>50</v>
      </c>
      <c r="L1694">
        <f t="shared" si="171"/>
        <v>262.49840422364741</v>
      </c>
      <c r="M1694">
        <f t="shared" si="170"/>
        <v>126.26125453869709</v>
      </c>
      <c r="N1694">
        <f t="shared" si="172"/>
        <v>243.42490578966306</v>
      </c>
      <c r="O1694">
        <f t="shared" si="173"/>
        <v>99.353565178501128</v>
      </c>
      <c r="P1694" t="e">
        <f t="shared" si="174"/>
        <v>#N/A</v>
      </c>
      <c r="Q1694" t="e">
        <f t="shared" si="175"/>
        <v>#N/A</v>
      </c>
      <c r="U1694">
        <f>C1694/Navio!$J$4</f>
        <v>21.563737391011387</v>
      </c>
    </row>
    <row r="1695" spans="1:21" x14ac:dyDescent="0.3">
      <c r="A1695">
        <v>1693</v>
      </c>
      <c r="B1695" s="47">
        <v>866.58619932976978</v>
      </c>
      <c r="C1695" s="46">
        <v>376.61186523255628</v>
      </c>
      <c r="D1695" s="1">
        <v>52</v>
      </c>
      <c r="E1695" s="1">
        <v>53</v>
      </c>
      <c r="F1695" s="1">
        <v>55</v>
      </c>
      <c r="G1695" s="1">
        <v>51</v>
      </c>
      <c r="H1695" s="1" t="s">
        <v>50</v>
      </c>
      <c r="I1695" s="1" t="s">
        <v>50</v>
      </c>
      <c r="J1695" s="1" t="s">
        <v>50</v>
      </c>
      <c r="K1695" s="1" t="s">
        <v>50</v>
      </c>
      <c r="L1695">
        <f t="shared" si="171"/>
        <v>169.3516454756429</v>
      </c>
      <c r="M1695">
        <f t="shared" si="170"/>
        <v>400.84350127536862</v>
      </c>
      <c r="N1695">
        <f t="shared" si="172"/>
        <v>195.4263682263873</v>
      </c>
      <c r="O1695">
        <f t="shared" si="173"/>
        <v>100.96468435237094</v>
      </c>
      <c r="P1695" t="e">
        <f t="shared" si="174"/>
        <v>#N/A</v>
      </c>
      <c r="Q1695" t="e">
        <f t="shared" si="175"/>
        <v>#N/A</v>
      </c>
      <c r="U1695">
        <f>C1695/Navio!$J$4</f>
        <v>20.335431457854188</v>
      </c>
    </row>
    <row r="1696" spans="1:21" x14ac:dyDescent="0.3">
      <c r="A1696">
        <v>1694</v>
      </c>
      <c r="B1696" s="47">
        <v>713.24691594961484</v>
      </c>
      <c r="C1696" s="46">
        <v>390.72670456889307</v>
      </c>
      <c r="D1696" s="1">
        <v>52</v>
      </c>
      <c r="E1696" s="1">
        <v>53</v>
      </c>
      <c r="F1696" s="1">
        <v>58</v>
      </c>
      <c r="G1696" s="1">
        <v>51</v>
      </c>
      <c r="H1696" s="1" t="s">
        <v>50</v>
      </c>
      <c r="I1696" s="1" t="s">
        <v>50</v>
      </c>
      <c r="J1696" s="1" t="s">
        <v>50</v>
      </c>
      <c r="K1696" s="1" t="s">
        <v>50</v>
      </c>
      <c r="L1696">
        <f t="shared" si="171"/>
        <v>169.3516454756429</v>
      </c>
      <c r="M1696">
        <f t="shared" si="170"/>
        <v>400.84350127536862</v>
      </c>
      <c r="N1696">
        <f t="shared" si="172"/>
        <v>126.26125453869709</v>
      </c>
      <c r="O1696">
        <f t="shared" si="173"/>
        <v>100.96468435237094</v>
      </c>
      <c r="P1696" t="e">
        <f t="shared" si="174"/>
        <v>#N/A</v>
      </c>
      <c r="Q1696" t="e">
        <f t="shared" si="175"/>
        <v>#N/A</v>
      </c>
      <c r="U1696">
        <f>C1696/Navio!$J$4</f>
        <v>21.097572469225302</v>
      </c>
    </row>
    <row r="1697" spans="1:21" x14ac:dyDescent="0.3">
      <c r="A1697">
        <v>1695</v>
      </c>
      <c r="B1697" s="47">
        <v>809.49487500374039</v>
      </c>
      <c r="C1697" s="46">
        <v>392.74870546915849</v>
      </c>
      <c r="D1697" s="1">
        <v>52</v>
      </c>
      <c r="E1697" s="1">
        <v>58</v>
      </c>
      <c r="F1697" s="1">
        <v>54</v>
      </c>
      <c r="G1697" s="1">
        <v>51</v>
      </c>
      <c r="H1697" s="1" t="s">
        <v>50</v>
      </c>
      <c r="I1697" s="1" t="s">
        <v>50</v>
      </c>
      <c r="J1697" s="1" t="s">
        <v>50</v>
      </c>
      <c r="K1697" s="1" t="s">
        <v>50</v>
      </c>
      <c r="L1697">
        <f t="shared" si="171"/>
        <v>169.3516454756429</v>
      </c>
      <c r="M1697">
        <f t="shared" si="170"/>
        <v>126.26125453869709</v>
      </c>
      <c r="N1697">
        <f t="shared" si="172"/>
        <v>497.09146032949423</v>
      </c>
      <c r="O1697">
        <f t="shared" si="173"/>
        <v>100.96468435237094</v>
      </c>
      <c r="P1697" t="e">
        <f t="shared" si="174"/>
        <v>#N/A</v>
      </c>
      <c r="Q1697" t="e">
        <f t="shared" si="175"/>
        <v>#N/A</v>
      </c>
      <c r="U1697">
        <f>C1697/Navio!$J$4</f>
        <v>21.206751877817954</v>
      </c>
    </row>
    <row r="1698" spans="1:21" x14ac:dyDescent="0.3">
      <c r="A1698">
        <v>1696</v>
      </c>
      <c r="B1698" s="47">
        <v>709.16760384406416</v>
      </c>
      <c r="C1698" s="46">
        <v>384.06750010279075</v>
      </c>
      <c r="D1698" s="1">
        <v>52</v>
      </c>
      <c r="E1698" s="1">
        <v>57</v>
      </c>
      <c r="F1698" s="1">
        <v>55</v>
      </c>
      <c r="G1698" s="1">
        <v>51</v>
      </c>
      <c r="H1698" s="1" t="s">
        <v>50</v>
      </c>
      <c r="I1698" s="1" t="s">
        <v>50</v>
      </c>
      <c r="J1698" s="1" t="s">
        <v>50</v>
      </c>
      <c r="K1698" s="1" t="s">
        <v>50</v>
      </c>
      <c r="L1698">
        <f t="shared" si="171"/>
        <v>169.3516454756429</v>
      </c>
      <c r="M1698">
        <f t="shared" si="170"/>
        <v>243.42490578966306</v>
      </c>
      <c r="N1698">
        <f t="shared" si="172"/>
        <v>195.4263682263873</v>
      </c>
      <c r="O1698">
        <f t="shared" si="173"/>
        <v>100.96468435237094</v>
      </c>
      <c r="P1698" t="e">
        <f t="shared" si="174"/>
        <v>#N/A</v>
      </c>
      <c r="Q1698" t="e">
        <f t="shared" si="175"/>
        <v>#N/A</v>
      </c>
      <c r="U1698">
        <f>C1698/Navio!$J$4</f>
        <v>20.738003882875425</v>
      </c>
    </row>
    <row r="1699" spans="1:21" x14ac:dyDescent="0.3">
      <c r="A1699">
        <v>1697</v>
      </c>
      <c r="B1699" s="47">
        <v>507.82978290063352</v>
      </c>
      <c r="C1699" s="46">
        <v>393.2901041513478</v>
      </c>
      <c r="D1699" s="1">
        <v>52</v>
      </c>
      <c r="E1699" s="1">
        <v>58</v>
      </c>
      <c r="F1699" s="1">
        <v>55</v>
      </c>
      <c r="G1699" s="1">
        <v>51</v>
      </c>
      <c r="H1699" s="1" t="s">
        <v>50</v>
      </c>
      <c r="I1699" s="1" t="s">
        <v>50</v>
      </c>
      <c r="J1699" s="1" t="s">
        <v>50</v>
      </c>
      <c r="K1699" s="1" t="s">
        <v>50</v>
      </c>
      <c r="L1699">
        <f t="shared" si="171"/>
        <v>169.3516454756429</v>
      </c>
      <c r="M1699">
        <f t="shared" si="170"/>
        <v>126.26125453869709</v>
      </c>
      <c r="N1699">
        <f t="shared" si="172"/>
        <v>195.4263682263873</v>
      </c>
      <c r="O1699">
        <f t="shared" si="173"/>
        <v>100.96468435237094</v>
      </c>
      <c r="P1699" t="e">
        <f t="shared" si="174"/>
        <v>#N/A</v>
      </c>
      <c r="Q1699" t="e">
        <f t="shared" si="175"/>
        <v>#N/A</v>
      </c>
      <c r="U1699">
        <f>C1699/Navio!$J$4</f>
        <v>21.235985093256442</v>
      </c>
    </row>
    <row r="1700" spans="1:21" x14ac:dyDescent="0.3">
      <c r="A1700">
        <v>1698</v>
      </c>
      <c r="B1700" s="47">
        <v>728.24110227804852</v>
      </c>
      <c r="C1700" s="46">
        <v>396.385500977123</v>
      </c>
      <c r="D1700" s="1">
        <v>52</v>
      </c>
      <c r="E1700" s="1">
        <v>59</v>
      </c>
      <c r="F1700" s="1">
        <v>55</v>
      </c>
      <c r="G1700" s="1">
        <v>51</v>
      </c>
      <c r="H1700" s="1" t="s">
        <v>50</v>
      </c>
      <c r="I1700" s="1" t="s">
        <v>50</v>
      </c>
      <c r="J1700" s="1" t="s">
        <v>50</v>
      </c>
      <c r="K1700" s="1" t="s">
        <v>50</v>
      </c>
      <c r="L1700">
        <f t="shared" si="171"/>
        <v>169.3516454756429</v>
      </c>
      <c r="M1700">
        <f t="shared" si="170"/>
        <v>262.49840422364741</v>
      </c>
      <c r="N1700">
        <f t="shared" si="172"/>
        <v>195.4263682263873</v>
      </c>
      <c r="O1700">
        <f t="shared" si="173"/>
        <v>100.96468435237094</v>
      </c>
      <c r="P1700" t="e">
        <f t="shared" si="174"/>
        <v>#N/A</v>
      </c>
      <c r="Q1700" t="e">
        <f t="shared" si="175"/>
        <v>#N/A</v>
      </c>
      <c r="U1700">
        <f>C1700/Navio!$J$4</f>
        <v>21.403123295199553</v>
      </c>
    </row>
    <row r="1701" spans="1:21" x14ac:dyDescent="0.3">
      <c r="A1701">
        <v>1699</v>
      </c>
      <c r="B1701" s="47">
        <v>749.46495932490222</v>
      </c>
      <c r="C1701" s="46">
        <v>391.73945466497497</v>
      </c>
      <c r="D1701" s="1">
        <v>52</v>
      </c>
      <c r="E1701" s="1">
        <v>56</v>
      </c>
      <c r="F1701" s="1">
        <v>58</v>
      </c>
      <c r="G1701" s="1">
        <v>51</v>
      </c>
      <c r="H1701" s="1" t="s">
        <v>50</v>
      </c>
      <c r="I1701" s="1" t="s">
        <v>50</v>
      </c>
      <c r="J1701" s="1" t="s">
        <v>50</v>
      </c>
      <c r="K1701" s="1" t="s">
        <v>50</v>
      </c>
      <c r="L1701">
        <f t="shared" si="171"/>
        <v>169.3516454756429</v>
      </c>
      <c r="M1701">
        <f t="shared" si="170"/>
        <v>437.06154465065606</v>
      </c>
      <c r="N1701">
        <f t="shared" si="172"/>
        <v>126.26125453869709</v>
      </c>
      <c r="O1701">
        <f t="shared" si="173"/>
        <v>100.96468435237094</v>
      </c>
      <c r="P1701" t="e">
        <f t="shared" si="174"/>
        <v>#N/A</v>
      </c>
      <c r="Q1701" t="e">
        <f t="shared" si="175"/>
        <v>#N/A</v>
      </c>
      <c r="U1701">
        <f>C1701/Navio!$J$4</f>
        <v>21.152256646926638</v>
      </c>
    </row>
    <row r="1702" spans="1:21" x14ac:dyDescent="0.3">
      <c r="A1702">
        <v>1700</v>
      </c>
      <c r="B1702" s="47">
        <v>555.82832046390922</v>
      </c>
      <c r="C1702" s="46">
        <v>389.84824589543439</v>
      </c>
      <c r="D1702" s="1">
        <v>52</v>
      </c>
      <c r="E1702" s="1">
        <v>57</v>
      </c>
      <c r="F1702" s="1">
        <v>58</v>
      </c>
      <c r="G1702" s="1">
        <v>51</v>
      </c>
      <c r="H1702" s="1" t="s">
        <v>50</v>
      </c>
      <c r="I1702" s="1" t="s">
        <v>50</v>
      </c>
      <c r="J1702" s="1" t="s">
        <v>50</v>
      </c>
      <c r="K1702" s="1" t="s">
        <v>50</v>
      </c>
      <c r="L1702">
        <f t="shared" si="171"/>
        <v>169.3516454756429</v>
      </c>
      <c r="M1702">
        <f t="shared" si="170"/>
        <v>243.42490578966306</v>
      </c>
      <c r="N1702">
        <f t="shared" si="172"/>
        <v>126.26125453869709</v>
      </c>
      <c r="O1702">
        <f t="shared" si="173"/>
        <v>100.96468435237094</v>
      </c>
      <c r="P1702" t="e">
        <f t="shared" si="174"/>
        <v>#N/A</v>
      </c>
      <c r="Q1702" t="e">
        <f t="shared" si="175"/>
        <v>#N/A</v>
      </c>
      <c r="U1702">
        <f>C1702/Navio!$J$4</f>
        <v>21.050139454517584</v>
      </c>
    </row>
    <row r="1703" spans="1:21" x14ac:dyDescent="0.3">
      <c r="A1703">
        <v>1701</v>
      </c>
      <c r="B1703" s="47">
        <v>776.23963984132433</v>
      </c>
      <c r="C1703" s="46">
        <v>388.90898467983527</v>
      </c>
      <c r="D1703" s="1">
        <v>52</v>
      </c>
      <c r="E1703" s="1">
        <v>59</v>
      </c>
      <c r="F1703" s="1">
        <v>57</v>
      </c>
      <c r="G1703" s="1">
        <v>51</v>
      </c>
      <c r="H1703" s="1" t="s">
        <v>50</v>
      </c>
      <c r="I1703" s="1" t="s">
        <v>50</v>
      </c>
      <c r="J1703" s="1" t="s">
        <v>50</v>
      </c>
      <c r="K1703" s="1" t="s">
        <v>50</v>
      </c>
      <c r="L1703">
        <f t="shared" si="171"/>
        <v>169.3516454756429</v>
      </c>
      <c r="M1703">
        <f t="shared" si="170"/>
        <v>262.49840422364741</v>
      </c>
      <c r="N1703">
        <f t="shared" si="172"/>
        <v>243.42490578966306</v>
      </c>
      <c r="O1703">
        <f t="shared" si="173"/>
        <v>100.96468435237094</v>
      </c>
      <c r="P1703" t="e">
        <f t="shared" si="174"/>
        <v>#N/A</v>
      </c>
      <c r="Q1703" t="e">
        <f t="shared" si="175"/>
        <v>#N/A</v>
      </c>
      <c r="U1703">
        <f>C1703/Navio!$J$4</f>
        <v>20.999423362343901</v>
      </c>
    </row>
    <row r="1704" spans="1:21" x14ac:dyDescent="0.3">
      <c r="A1704">
        <v>1702</v>
      </c>
      <c r="B1704" s="47">
        <v>574.90181889789358</v>
      </c>
      <c r="C1704" s="46">
        <v>397.74876808526028</v>
      </c>
      <c r="D1704" s="1">
        <v>52</v>
      </c>
      <c r="E1704" s="1">
        <v>59</v>
      </c>
      <c r="F1704" s="1">
        <v>58</v>
      </c>
      <c r="G1704" s="1">
        <v>51</v>
      </c>
      <c r="H1704" s="1" t="s">
        <v>50</v>
      </c>
      <c r="I1704" s="1" t="s">
        <v>50</v>
      </c>
      <c r="J1704" s="1" t="s">
        <v>50</v>
      </c>
      <c r="K1704" s="1" t="s">
        <v>50</v>
      </c>
      <c r="L1704">
        <f t="shared" si="171"/>
        <v>169.3516454756429</v>
      </c>
      <c r="M1704">
        <f t="shared" si="170"/>
        <v>262.49840422364741</v>
      </c>
      <c r="N1704">
        <f t="shared" si="172"/>
        <v>126.26125453869709</v>
      </c>
      <c r="O1704">
        <f t="shared" si="173"/>
        <v>100.96468435237094</v>
      </c>
      <c r="P1704" t="e">
        <f t="shared" si="174"/>
        <v>#N/A</v>
      </c>
      <c r="Q1704" t="e">
        <f t="shared" si="175"/>
        <v>#N/A</v>
      </c>
      <c r="U1704">
        <f>C1704/Navio!$J$4</f>
        <v>21.476733893790634</v>
      </c>
    </row>
    <row r="1705" spans="1:21" x14ac:dyDescent="0.3">
      <c r="A1705">
        <v>1703</v>
      </c>
      <c r="B1705" s="47">
        <v>739.32163870035924</v>
      </c>
      <c r="C1705" s="46">
        <v>394.1246189202667</v>
      </c>
      <c r="D1705" s="1">
        <v>53</v>
      </c>
      <c r="E1705" s="1">
        <v>58</v>
      </c>
      <c r="F1705" s="1">
        <v>55</v>
      </c>
      <c r="G1705" s="1">
        <v>51</v>
      </c>
      <c r="H1705" s="1" t="s">
        <v>50</v>
      </c>
      <c r="I1705" s="1" t="s">
        <v>50</v>
      </c>
      <c r="J1705" s="1" t="s">
        <v>50</v>
      </c>
      <c r="K1705" s="1" t="s">
        <v>50</v>
      </c>
      <c r="L1705">
        <f t="shared" si="171"/>
        <v>400.84350127536862</v>
      </c>
      <c r="M1705">
        <f t="shared" si="170"/>
        <v>126.26125453869709</v>
      </c>
      <c r="N1705">
        <f t="shared" si="172"/>
        <v>195.4263682263873</v>
      </c>
      <c r="O1705">
        <f t="shared" si="173"/>
        <v>100.96468435237094</v>
      </c>
      <c r="P1705" t="e">
        <f t="shared" si="174"/>
        <v>#N/A</v>
      </c>
      <c r="Q1705" t="e">
        <f t="shared" si="175"/>
        <v>#N/A</v>
      </c>
      <c r="U1705">
        <f>C1705/Navio!$J$4</f>
        <v>21.281045324891569</v>
      </c>
    </row>
    <row r="1706" spans="1:21" x14ac:dyDescent="0.3">
      <c r="A1706">
        <v>1704</v>
      </c>
      <c r="B1706" s="47">
        <v>787.32017626363495</v>
      </c>
      <c r="C1706" s="46">
        <v>390.59820060277229</v>
      </c>
      <c r="D1706" s="1">
        <v>53</v>
      </c>
      <c r="E1706" s="1">
        <v>57</v>
      </c>
      <c r="F1706" s="1">
        <v>58</v>
      </c>
      <c r="G1706" s="1">
        <v>51</v>
      </c>
      <c r="H1706" s="1" t="s">
        <v>50</v>
      </c>
      <c r="I1706" s="1" t="s">
        <v>50</v>
      </c>
      <c r="J1706" s="1" t="s">
        <v>50</v>
      </c>
      <c r="K1706" s="1" t="s">
        <v>50</v>
      </c>
      <c r="L1706">
        <f t="shared" si="171"/>
        <v>400.84350127536862</v>
      </c>
      <c r="M1706">
        <f t="shared" si="170"/>
        <v>243.42490578966306</v>
      </c>
      <c r="N1706">
        <f t="shared" si="172"/>
        <v>126.26125453869709</v>
      </c>
      <c r="O1706">
        <f t="shared" si="173"/>
        <v>100.96468435237094</v>
      </c>
      <c r="P1706" t="e">
        <f t="shared" si="174"/>
        <v>#N/A</v>
      </c>
      <c r="Q1706" t="e">
        <f t="shared" si="175"/>
        <v>#N/A</v>
      </c>
      <c r="U1706">
        <f>C1706/Navio!$J$4</f>
        <v>21.090633804152976</v>
      </c>
    </row>
    <row r="1707" spans="1:21" x14ac:dyDescent="0.3">
      <c r="A1707">
        <v>1705</v>
      </c>
      <c r="B1707" s="47">
        <v>806.3936746976193</v>
      </c>
      <c r="C1707" s="46">
        <v>397.83691497765449</v>
      </c>
      <c r="D1707" s="1">
        <v>53</v>
      </c>
      <c r="E1707" s="1">
        <v>59</v>
      </c>
      <c r="F1707" s="1">
        <v>58</v>
      </c>
      <c r="G1707" s="1">
        <v>51</v>
      </c>
      <c r="H1707" s="1" t="s">
        <v>50</v>
      </c>
      <c r="I1707" s="1" t="s">
        <v>50</v>
      </c>
      <c r="J1707" s="1" t="s">
        <v>50</v>
      </c>
      <c r="K1707" s="1" t="s">
        <v>50</v>
      </c>
      <c r="L1707">
        <f t="shared" si="171"/>
        <v>400.84350127536862</v>
      </c>
      <c r="M1707">
        <f t="shared" si="170"/>
        <v>262.49840422364741</v>
      </c>
      <c r="N1707">
        <f t="shared" si="172"/>
        <v>126.26125453869709</v>
      </c>
      <c r="O1707">
        <f t="shared" si="173"/>
        <v>100.96468435237094</v>
      </c>
      <c r="P1707" t="e">
        <f t="shared" si="174"/>
        <v>#N/A</v>
      </c>
      <c r="Q1707" t="e">
        <f t="shared" si="175"/>
        <v>#N/A</v>
      </c>
      <c r="U1707">
        <f>C1707/Navio!$J$4</f>
        <v>21.481493449327736</v>
      </c>
    </row>
    <row r="1708" spans="1:21" x14ac:dyDescent="0.3">
      <c r="A1708">
        <v>1706</v>
      </c>
      <c r="B1708" s="47">
        <v>835.56959775448479</v>
      </c>
      <c r="C1708" s="46">
        <v>387.43571760993001</v>
      </c>
      <c r="D1708" s="1">
        <v>54</v>
      </c>
      <c r="E1708" s="1">
        <v>55</v>
      </c>
      <c r="F1708" s="1">
        <v>58</v>
      </c>
      <c r="G1708" s="1">
        <v>51</v>
      </c>
      <c r="H1708" s="1" t="s">
        <v>50</v>
      </c>
      <c r="I1708" s="1" t="s">
        <v>50</v>
      </c>
      <c r="J1708" s="1" t="s">
        <v>50</v>
      </c>
      <c r="K1708" s="1" t="s">
        <v>50</v>
      </c>
      <c r="L1708">
        <f t="shared" si="171"/>
        <v>497.09146032949423</v>
      </c>
      <c r="M1708">
        <f t="shared" si="170"/>
        <v>195.4263682263873</v>
      </c>
      <c r="N1708">
        <f t="shared" si="172"/>
        <v>126.26125453869709</v>
      </c>
      <c r="O1708">
        <f t="shared" si="173"/>
        <v>100.96468435237094</v>
      </c>
      <c r="P1708" t="e">
        <f t="shared" si="174"/>
        <v>#N/A</v>
      </c>
      <c r="Q1708" t="e">
        <f t="shared" si="175"/>
        <v>#N/A</v>
      </c>
      <c r="U1708">
        <f>C1708/Navio!$J$4</f>
        <v>20.919873235847827</v>
      </c>
    </row>
    <row r="1709" spans="1:21" x14ac:dyDescent="0.3">
      <c r="A1709">
        <v>1707</v>
      </c>
      <c r="B1709" s="47">
        <v>883.56813531776061</v>
      </c>
      <c r="C1709" s="46">
        <v>387.54010197192338</v>
      </c>
      <c r="D1709" s="1">
        <v>54</v>
      </c>
      <c r="E1709" s="1">
        <v>58</v>
      </c>
      <c r="F1709" s="1">
        <v>57</v>
      </c>
      <c r="G1709" s="1">
        <v>51</v>
      </c>
      <c r="H1709" s="1" t="s">
        <v>50</v>
      </c>
      <c r="I1709" s="1" t="s">
        <v>50</v>
      </c>
      <c r="J1709" s="1" t="s">
        <v>50</v>
      </c>
      <c r="K1709" s="1" t="s">
        <v>50</v>
      </c>
      <c r="L1709">
        <f t="shared" si="171"/>
        <v>497.09146032949423</v>
      </c>
      <c r="M1709">
        <f t="shared" si="170"/>
        <v>126.26125453869709</v>
      </c>
      <c r="N1709">
        <f t="shared" si="172"/>
        <v>243.42490578966306</v>
      </c>
      <c r="O1709">
        <f t="shared" si="173"/>
        <v>100.96468435237094</v>
      </c>
      <c r="P1709" t="e">
        <f t="shared" si="174"/>
        <v>#N/A</v>
      </c>
      <c r="Q1709" t="e">
        <f t="shared" si="175"/>
        <v>#N/A</v>
      </c>
      <c r="U1709">
        <f>C1709/Navio!$J$4</f>
        <v>20.92550954536048</v>
      </c>
    </row>
    <row r="1710" spans="1:21" x14ac:dyDescent="0.3">
      <c r="A1710">
        <v>1708</v>
      </c>
      <c r="B1710" s="47">
        <v>775.53968207564662</v>
      </c>
      <c r="C1710" s="46">
        <v>393.1901814171689</v>
      </c>
      <c r="D1710" s="1">
        <v>55</v>
      </c>
      <c r="E1710" s="1">
        <v>58</v>
      </c>
      <c r="F1710" s="1">
        <v>56</v>
      </c>
      <c r="G1710" s="1">
        <v>51</v>
      </c>
      <c r="H1710" s="1" t="s">
        <v>50</v>
      </c>
      <c r="I1710" s="1" t="s">
        <v>50</v>
      </c>
      <c r="J1710" s="1" t="s">
        <v>50</v>
      </c>
      <c r="K1710" s="1" t="s">
        <v>50</v>
      </c>
      <c r="L1710">
        <f t="shared" si="171"/>
        <v>195.4263682263873</v>
      </c>
      <c r="M1710">
        <f t="shared" si="170"/>
        <v>126.26125453869709</v>
      </c>
      <c r="N1710">
        <f t="shared" si="172"/>
        <v>437.06154465065606</v>
      </c>
      <c r="O1710">
        <f t="shared" si="173"/>
        <v>100.96468435237094</v>
      </c>
      <c r="P1710" t="e">
        <f t="shared" si="174"/>
        <v>#N/A</v>
      </c>
      <c r="Q1710" t="e">
        <f t="shared" si="175"/>
        <v>#N/A</v>
      </c>
      <c r="U1710">
        <f>C1710/Navio!$J$4</f>
        <v>21.230589692581209</v>
      </c>
    </row>
    <row r="1711" spans="1:21" x14ac:dyDescent="0.3">
      <c r="A1711">
        <v>1709</v>
      </c>
      <c r="B1711" s="47">
        <v>581.90304321465362</v>
      </c>
      <c r="C1711" s="46">
        <v>388.16407058658285</v>
      </c>
      <c r="D1711" s="1">
        <v>55</v>
      </c>
      <c r="E1711" s="1">
        <v>58</v>
      </c>
      <c r="F1711" s="1">
        <v>57</v>
      </c>
      <c r="G1711" s="1">
        <v>51</v>
      </c>
      <c r="H1711" s="1" t="s">
        <v>50</v>
      </c>
      <c r="I1711" s="1" t="s">
        <v>50</v>
      </c>
      <c r="J1711" s="1" t="s">
        <v>50</v>
      </c>
      <c r="K1711" s="1" t="s">
        <v>50</v>
      </c>
      <c r="L1711">
        <f t="shared" si="171"/>
        <v>195.4263682263873</v>
      </c>
      <c r="M1711">
        <f t="shared" si="170"/>
        <v>126.26125453869709</v>
      </c>
      <c r="N1711">
        <f t="shared" si="172"/>
        <v>243.42490578966306</v>
      </c>
      <c r="O1711">
        <f t="shared" si="173"/>
        <v>100.96468435237094</v>
      </c>
      <c r="P1711" t="e">
        <f t="shared" si="174"/>
        <v>#N/A</v>
      </c>
      <c r="Q1711" t="e">
        <f t="shared" si="175"/>
        <v>#N/A</v>
      </c>
      <c r="U1711">
        <f>C1711/Navio!$J$4</f>
        <v>20.959201184330549</v>
      </c>
    </row>
    <row r="1712" spans="1:21" x14ac:dyDescent="0.3">
      <c r="A1712">
        <v>1710</v>
      </c>
      <c r="B1712" s="47">
        <v>802.31436259206873</v>
      </c>
      <c r="C1712" s="46">
        <v>394.1272636721103</v>
      </c>
      <c r="D1712" s="1">
        <v>55</v>
      </c>
      <c r="E1712" s="1">
        <v>57</v>
      </c>
      <c r="F1712" s="1">
        <v>59</v>
      </c>
      <c r="G1712" s="1">
        <v>51</v>
      </c>
      <c r="H1712" s="1" t="s">
        <v>50</v>
      </c>
      <c r="I1712" s="1" t="s">
        <v>50</v>
      </c>
      <c r="J1712" s="1" t="s">
        <v>50</v>
      </c>
      <c r="K1712" s="1" t="s">
        <v>50</v>
      </c>
      <c r="L1712">
        <f t="shared" si="171"/>
        <v>195.4263682263873</v>
      </c>
      <c r="M1712">
        <f t="shared" si="170"/>
        <v>243.42490578966306</v>
      </c>
      <c r="N1712">
        <f t="shared" si="172"/>
        <v>262.49840422364741</v>
      </c>
      <c r="O1712">
        <f t="shared" si="173"/>
        <v>100.96468435237094</v>
      </c>
      <c r="P1712" t="e">
        <f t="shared" si="174"/>
        <v>#N/A</v>
      </c>
      <c r="Q1712" t="e">
        <f t="shared" si="175"/>
        <v>#N/A</v>
      </c>
      <c r="U1712">
        <f>C1712/Navio!$J$4</f>
        <v>21.281188130190085</v>
      </c>
    </row>
    <row r="1713" spans="1:21" x14ac:dyDescent="0.3">
      <c r="A1713">
        <v>1711</v>
      </c>
      <c r="B1713" s="47">
        <v>600.97654164863798</v>
      </c>
      <c r="C1713" s="46">
        <v>399.03795510570819</v>
      </c>
      <c r="D1713" s="1">
        <v>55</v>
      </c>
      <c r="E1713" s="1">
        <v>58</v>
      </c>
      <c r="F1713" s="1">
        <v>59</v>
      </c>
      <c r="G1713" s="1">
        <v>51</v>
      </c>
      <c r="H1713" s="1" t="s">
        <v>50</v>
      </c>
      <c r="I1713" s="1" t="s">
        <v>50</v>
      </c>
      <c r="J1713" s="1" t="s">
        <v>50</v>
      </c>
      <c r="K1713" s="1" t="s">
        <v>50</v>
      </c>
      <c r="L1713">
        <f t="shared" si="171"/>
        <v>195.4263682263873</v>
      </c>
      <c r="M1713">
        <f t="shared" si="170"/>
        <v>126.26125453869709</v>
      </c>
      <c r="N1713">
        <f t="shared" si="172"/>
        <v>262.49840422364741</v>
      </c>
      <c r="O1713">
        <f t="shared" si="173"/>
        <v>100.96468435237094</v>
      </c>
      <c r="P1713" t="e">
        <f t="shared" si="174"/>
        <v>#N/A</v>
      </c>
      <c r="Q1713" t="e">
        <f t="shared" si="175"/>
        <v>#N/A</v>
      </c>
      <c r="U1713">
        <f>C1713/Navio!$J$4</f>
        <v>21.546344484191142</v>
      </c>
    </row>
    <row r="1714" spans="1:21" x14ac:dyDescent="0.3">
      <c r="A1714">
        <v>1712</v>
      </c>
      <c r="B1714" s="47">
        <v>823.53821963892244</v>
      </c>
      <c r="C1714" s="46">
        <v>391.97607299915967</v>
      </c>
      <c r="D1714" s="1">
        <v>56</v>
      </c>
      <c r="E1714" s="1">
        <v>57</v>
      </c>
      <c r="F1714" s="1">
        <v>58</v>
      </c>
      <c r="G1714" s="1">
        <v>51</v>
      </c>
      <c r="H1714" s="1" t="s">
        <v>50</v>
      </c>
      <c r="I1714" s="1" t="s">
        <v>50</v>
      </c>
      <c r="J1714" s="1" t="s">
        <v>50</v>
      </c>
      <c r="K1714" s="1" t="s">
        <v>50</v>
      </c>
      <c r="L1714">
        <f t="shared" si="171"/>
        <v>437.06154465065606</v>
      </c>
      <c r="M1714">
        <f t="shared" si="170"/>
        <v>243.42490578966306</v>
      </c>
      <c r="N1714">
        <f t="shared" si="172"/>
        <v>126.26125453869709</v>
      </c>
      <c r="O1714">
        <f t="shared" si="173"/>
        <v>100.96468435237094</v>
      </c>
      <c r="P1714" t="e">
        <f t="shared" si="174"/>
        <v>#N/A</v>
      </c>
      <c r="Q1714" t="e">
        <f t="shared" si="175"/>
        <v>#N/A</v>
      </c>
      <c r="U1714">
        <f>C1714/Navio!$J$4</f>
        <v>21.165033025901085</v>
      </c>
    </row>
    <row r="1715" spans="1:21" x14ac:dyDescent="0.3">
      <c r="A1715">
        <v>1713</v>
      </c>
      <c r="B1715" s="47">
        <v>842.6117180729068</v>
      </c>
      <c r="C1715" s="46">
        <v>397.72294078396322</v>
      </c>
      <c r="D1715" s="1">
        <v>56</v>
      </c>
      <c r="E1715" s="1">
        <v>59</v>
      </c>
      <c r="F1715" s="1">
        <v>58</v>
      </c>
      <c r="G1715" s="1">
        <v>51</v>
      </c>
      <c r="H1715" s="1" t="s">
        <v>50</v>
      </c>
      <c r="I1715" s="1" t="s">
        <v>50</v>
      </c>
      <c r="J1715" s="1" t="s">
        <v>50</v>
      </c>
      <c r="K1715" s="1" t="s">
        <v>50</v>
      </c>
      <c r="L1715">
        <f t="shared" si="171"/>
        <v>437.06154465065606</v>
      </c>
      <c r="M1715">
        <f t="shared" si="170"/>
        <v>262.49840422364741</v>
      </c>
      <c r="N1715">
        <f t="shared" si="172"/>
        <v>126.26125453869709</v>
      </c>
      <c r="O1715">
        <f t="shared" si="173"/>
        <v>100.96468435237094</v>
      </c>
      <c r="P1715" t="e">
        <f t="shared" si="174"/>
        <v>#N/A</v>
      </c>
      <c r="Q1715" t="e">
        <f t="shared" si="175"/>
        <v>#N/A</v>
      </c>
      <c r="U1715">
        <f>C1715/Navio!$J$4</f>
        <v>21.475339329880804</v>
      </c>
    </row>
    <row r="1716" spans="1:21" x14ac:dyDescent="0.3">
      <c r="A1716">
        <v>1714</v>
      </c>
      <c r="B1716" s="47">
        <v>648.97507921191379</v>
      </c>
      <c r="C1716" s="46">
        <v>398.83867684244217</v>
      </c>
      <c r="D1716" s="1">
        <v>59</v>
      </c>
      <c r="E1716" s="1">
        <v>58</v>
      </c>
      <c r="F1716" s="1">
        <v>57</v>
      </c>
      <c r="G1716" s="1">
        <v>51</v>
      </c>
      <c r="H1716" s="1" t="s">
        <v>50</v>
      </c>
      <c r="I1716" s="1" t="s">
        <v>50</v>
      </c>
      <c r="J1716" s="1" t="s">
        <v>50</v>
      </c>
      <c r="K1716" s="1" t="s">
        <v>50</v>
      </c>
      <c r="L1716">
        <f t="shared" si="171"/>
        <v>262.49840422364741</v>
      </c>
      <c r="M1716">
        <f t="shared" si="170"/>
        <v>126.26125453869709</v>
      </c>
      <c r="N1716">
        <f t="shared" si="172"/>
        <v>243.42490578966306</v>
      </c>
      <c r="O1716">
        <f t="shared" si="173"/>
        <v>100.96468435237094</v>
      </c>
      <c r="P1716" t="e">
        <f t="shared" si="174"/>
        <v>#N/A</v>
      </c>
      <c r="Q1716" t="e">
        <f t="shared" si="175"/>
        <v>#N/A</v>
      </c>
      <c r="U1716">
        <f>C1716/Navio!$J$4</f>
        <v>21.535584309491959</v>
      </c>
    </row>
    <row r="1717" spans="1:21" x14ac:dyDescent="0.3">
      <c r="A1717">
        <v>1715</v>
      </c>
      <c r="B1717" s="47">
        <v>807.70859982363118</v>
      </c>
      <c r="C1717" s="46">
        <v>391.06137508050097</v>
      </c>
      <c r="D1717" s="1">
        <v>55</v>
      </c>
      <c r="E1717" s="1">
        <v>58</v>
      </c>
      <c r="F1717" s="1">
        <v>53</v>
      </c>
      <c r="G1717" s="1">
        <v>52</v>
      </c>
      <c r="H1717" s="1" t="s">
        <v>50</v>
      </c>
      <c r="I1717" s="1" t="s">
        <v>50</v>
      </c>
      <c r="J1717" s="1" t="s">
        <v>50</v>
      </c>
      <c r="K1717" s="1" t="s">
        <v>50</v>
      </c>
      <c r="L1717">
        <f t="shared" si="171"/>
        <v>195.4263682263873</v>
      </c>
      <c r="M1717">
        <f t="shared" si="170"/>
        <v>126.26125453869709</v>
      </c>
      <c r="N1717">
        <f t="shared" si="172"/>
        <v>400.84350127536862</v>
      </c>
      <c r="O1717">
        <f t="shared" si="173"/>
        <v>169.3516454756429</v>
      </c>
      <c r="P1717" t="e">
        <f t="shared" si="174"/>
        <v>#N/A</v>
      </c>
      <c r="Q1717" t="e">
        <f t="shared" si="175"/>
        <v>#N/A</v>
      </c>
      <c r="U1717">
        <f>C1717/Navio!$J$4</f>
        <v>21.115643246803071</v>
      </c>
    </row>
    <row r="1718" spans="1:21" x14ac:dyDescent="0.3">
      <c r="A1718">
        <v>1716</v>
      </c>
      <c r="B1718" s="47">
        <v>855.70713738690699</v>
      </c>
      <c r="C1718" s="46">
        <v>390.32026967737846</v>
      </c>
      <c r="D1718" s="1">
        <v>58</v>
      </c>
      <c r="E1718" s="1">
        <v>57</v>
      </c>
      <c r="F1718" s="1">
        <v>53</v>
      </c>
      <c r="G1718" s="1">
        <v>52</v>
      </c>
      <c r="H1718" s="1" t="s">
        <v>50</v>
      </c>
      <c r="I1718" s="1" t="s">
        <v>50</v>
      </c>
      <c r="J1718" s="1" t="s">
        <v>50</v>
      </c>
      <c r="K1718" s="1" t="s">
        <v>50</v>
      </c>
      <c r="L1718">
        <f t="shared" si="171"/>
        <v>126.26125453869709</v>
      </c>
      <c r="M1718">
        <f t="shared" si="170"/>
        <v>243.42490578966306</v>
      </c>
      <c r="N1718">
        <f t="shared" si="172"/>
        <v>400.84350127536862</v>
      </c>
      <c r="O1718">
        <f t="shared" si="173"/>
        <v>169.3516454756429</v>
      </c>
      <c r="P1718" t="e">
        <f t="shared" si="174"/>
        <v>#N/A</v>
      </c>
      <c r="Q1718" t="e">
        <f t="shared" si="175"/>
        <v>#N/A</v>
      </c>
      <c r="U1718">
        <f>C1718/Navio!$J$4</f>
        <v>21.075626721782182</v>
      </c>
    </row>
    <row r="1719" spans="1:21" x14ac:dyDescent="0.3">
      <c r="A1719">
        <v>1717</v>
      </c>
      <c r="B1719" s="47">
        <v>874.78063582089135</v>
      </c>
      <c r="C1719" s="46">
        <v>397.55898405226066</v>
      </c>
      <c r="D1719" s="1">
        <v>58</v>
      </c>
      <c r="E1719" s="1">
        <v>59</v>
      </c>
      <c r="F1719" s="1">
        <v>53</v>
      </c>
      <c r="G1719" s="1">
        <v>52</v>
      </c>
      <c r="H1719" s="1" t="s">
        <v>50</v>
      </c>
      <c r="I1719" s="1" t="s">
        <v>50</v>
      </c>
      <c r="J1719" s="1" t="s">
        <v>50</v>
      </c>
      <c r="K1719" s="1" t="s">
        <v>50</v>
      </c>
      <c r="L1719">
        <f t="shared" si="171"/>
        <v>126.26125453869709</v>
      </c>
      <c r="M1719">
        <f t="shared" si="170"/>
        <v>262.49840422364741</v>
      </c>
      <c r="N1719">
        <f t="shared" si="172"/>
        <v>400.84350127536862</v>
      </c>
      <c r="O1719">
        <f t="shared" si="173"/>
        <v>169.3516454756429</v>
      </c>
      <c r="P1719" t="e">
        <f t="shared" si="174"/>
        <v>#N/A</v>
      </c>
      <c r="Q1719" t="e">
        <f t="shared" si="175"/>
        <v>#N/A</v>
      </c>
      <c r="U1719">
        <f>C1719/Navio!$J$4</f>
        <v>21.466486366956939</v>
      </c>
    </row>
    <row r="1720" spans="1:21" x14ac:dyDescent="0.3">
      <c r="A1720">
        <v>1718</v>
      </c>
      <c r="B1720" s="47">
        <v>843.92664319891867</v>
      </c>
      <c r="C1720" s="46">
        <v>392.07412517658292</v>
      </c>
      <c r="D1720" s="1">
        <v>55</v>
      </c>
      <c r="E1720" s="1">
        <v>58</v>
      </c>
      <c r="F1720" s="1">
        <v>56</v>
      </c>
      <c r="G1720" s="1">
        <v>52</v>
      </c>
      <c r="H1720" s="1" t="s">
        <v>50</v>
      </c>
      <c r="I1720" s="1" t="s">
        <v>50</v>
      </c>
      <c r="J1720" s="1" t="s">
        <v>50</v>
      </c>
      <c r="K1720" s="1" t="s">
        <v>50</v>
      </c>
      <c r="L1720">
        <f t="shared" si="171"/>
        <v>195.4263682263873</v>
      </c>
      <c r="M1720">
        <f t="shared" si="170"/>
        <v>126.26125453869709</v>
      </c>
      <c r="N1720">
        <f t="shared" si="172"/>
        <v>437.06154465065606</v>
      </c>
      <c r="O1720">
        <f t="shared" si="173"/>
        <v>169.3516454756429</v>
      </c>
      <c r="P1720" t="e">
        <f t="shared" si="174"/>
        <v>#N/A</v>
      </c>
      <c r="Q1720" t="e">
        <f t="shared" si="175"/>
        <v>#N/A</v>
      </c>
      <c r="U1720">
        <f>C1720/Navio!$J$4</f>
        <v>21.170327424504411</v>
      </c>
    </row>
    <row r="1721" spans="1:21" x14ac:dyDescent="0.3">
      <c r="A1721">
        <v>1719</v>
      </c>
      <c r="B1721" s="47">
        <v>650.29000433792567</v>
      </c>
      <c r="C1721" s="46">
        <v>390.18291640704234</v>
      </c>
      <c r="D1721" s="1">
        <v>55</v>
      </c>
      <c r="E1721" s="1">
        <v>58</v>
      </c>
      <c r="F1721" s="1">
        <v>57</v>
      </c>
      <c r="G1721" s="1">
        <v>52</v>
      </c>
      <c r="H1721" s="1" t="s">
        <v>50</v>
      </c>
      <c r="I1721" s="1" t="s">
        <v>50</v>
      </c>
      <c r="J1721" s="1" t="s">
        <v>50</v>
      </c>
      <c r="K1721" s="1" t="s">
        <v>50</v>
      </c>
      <c r="L1721">
        <f t="shared" si="171"/>
        <v>195.4263682263873</v>
      </c>
      <c r="M1721">
        <f t="shared" si="170"/>
        <v>126.26125453869709</v>
      </c>
      <c r="N1721">
        <f t="shared" si="172"/>
        <v>243.42490578966306</v>
      </c>
      <c r="O1721">
        <f t="shared" si="173"/>
        <v>169.3516454756429</v>
      </c>
      <c r="P1721" t="e">
        <f t="shared" si="174"/>
        <v>#N/A</v>
      </c>
      <c r="Q1721" t="e">
        <f t="shared" si="175"/>
        <v>#N/A</v>
      </c>
      <c r="U1721">
        <f>C1721/Navio!$J$4</f>
        <v>21.068210232095357</v>
      </c>
    </row>
    <row r="1722" spans="1:21" x14ac:dyDescent="0.3">
      <c r="A1722">
        <v>1720</v>
      </c>
      <c r="B1722" s="47">
        <v>870.70132371534066</v>
      </c>
      <c r="C1722" s="46">
        <v>393.17274716327029</v>
      </c>
      <c r="D1722" s="1">
        <v>55</v>
      </c>
      <c r="E1722" s="1">
        <v>57</v>
      </c>
      <c r="F1722" s="1">
        <v>59</v>
      </c>
      <c r="G1722" s="1">
        <v>52</v>
      </c>
      <c r="H1722" s="1" t="s">
        <v>50</v>
      </c>
      <c r="I1722" s="1" t="s">
        <v>50</v>
      </c>
      <c r="J1722" s="1" t="s">
        <v>50</v>
      </c>
      <c r="K1722" s="1" t="s">
        <v>50</v>
      </c>
      <c r="L1722">
        <f t="shared" si="171"/>
        <v>195.4263682263873</v>
      </c>
      <c r="M1722">
        <f t="shared" si="170"/>
        <v>243.42490578966306</v>
      </c>
      <c r="N1722">
        <f t="shared" si="172"/>
        <v>262.49840422364741</v>
      </c>
      <c r="O1722">
        <f t="shared" si="173"/>
        <v>169.3516454756429</v>
      </c>
      <c r="P1722" t="e">
        <f t="shared" si="174"/>
        <v>#N/A</v>
      </c>
      <c r="Q1722" t="e">
        <f t="shared" si="175"/>
        <v>#N/A</v>
      </c>
      <c r="U1722">
        <f>C1722/Navio!$J$4</f>
        <v>21.229648317367353</v>
      </c>
    </row>
    <row r="1723" spans="1:21" x14ac:dyDescent="0.3">
      <c r="A1723">
        <v>1721</v>
      </c>
      <c r="B1723" s="47">
        <v>669.36350277191002</v>
      </c>
      <c r="C1723" s="46">
        <v>398.08343859686818</v>
      </c>
      <c r="D1723" s="1">
        <v>55</v>
      </c>
      <c r="E1723" s="1">
        <v>58</v>
      </c>
      <c r="F1723" s="1">
        <v>59</v>
      </c>
      <c r="G1723" s="1">
        <v>52</v>
      </c>
      <c r="H1723" s="1" t="s">
        <v>50</v>
      </c>
      <c r="I1723" s="1" t="s">
        <v>50</v>
      </c>
      <c r="J1723" s="1" t="s">
        <v>50</v>
      </c>
      <c r="K1723" s="1" t="s">
        <v>50</v>
      </c>
      <c r="L1723">
        <f t="shared" si="171"/>
        <v>195.4263682263873</v>
      </c>
      <c r="M1723">
        <f t="shared" si="170"/>
        <v>126.26125453869709</v>
      </c>
      <c r="N1723">
        <f t="shared" si="172"/>
        <v>262.49840422364741</v>
      </c>
      <c r="O1723">
        <f t="shared" si="173"/>
        <v>169.3516454756429</v>
      </c>
      <c r="P1723" t="e">
        <f t="shared" si="174"/>
        <v>#N/A</v>
      </c>
      <c r="Q1723" t="e">
        <f t="shared" si="175"/>
        <v>#N/A</v>
      </c>
      <c r="U1723">
        <f>C1723/Navio!$J$4</f>
        <v>21.494804671368406</v>
      </c>
    </row>
    <row r="1724" spans="1:21" x14ac:dyDescent="0.3">
      <c r="A1724">
        <v>1722</v>
      </c>
      <c r="B1724" s="47">
        <v>891.92518076219437</v>
      </c>
      <c r="C1724" s="46">
        <v>391.69263751224594</v>
      </c>
      <c r="D1724" s="1">
        <v>58</v>
      </c>
      <c r="E1724" s="1">
        <v>57</v>
      </c>
      <c r="F1724" s="1">
        <v>56</v>
      </c>
      <c r="G1724" s="1">
        <v>52</v>
      </c>
      <c r="H1724" s="1" t="s">
        <v>50</v>
      </c>
      <c r="I1724" s="1" t="s">
        <v>50</v>
      </c>
      <c r="J1724" s="1" t="s">
        <v>50</v>
      </c>
      <c r="K1724" s="1" t="s">
        <v>50</v>
      </c>
      <c r="L1724">
        <f t="shared" si="171"/>
        <v>126.26125453869709</v>
      </c>
      <c r="M1724">
        <f t="shared" si="170"/>
        <v>243.42490578966306</v>
      </c>
      <c r="N1724">
        <f t="shared" si="172"/>
        <v>437.06154465065606</v>
      </c>
      <c r="O1724">
        <f t="shared" si="173"/>
        <v>169.3516454756429</v>
      </c>
      <c r="P1724" t="e">
        <f t="shared" si="174"/>
        <v>#N/A</v>
      </c>
      <c r="Q1724" t="e">
        <f t="shared" si="175"/>
        <v>#N/A</v>
      </c>
      <c r="U1724">
        <f>C1724/Navio!$J$4</f>
        <v>21.149728720729236</v>
      </c>
    </row>
    <row r="1725" spans="1:21" x14ac:dyDescent="0.3">
      <c r="A1725">
        <v>1723</v>
      </c>
      <c r="B1725" s="47">
        <v>717.36204033518572</v>
      </c>
      <c r="C1725" s="46">
        <v>398.88508666847883</v>
      </c>
      <c r="D1725" s="1">
        <v>57</v>
      </c>
      <c r="E1725" s="1">
        <v>58</v>
      </c>
      <c r="F1725" s="1">
        <v>59</v>
      </c>
      <c r="G1725" s="1">
        <v>52</v>
      </c>
      <c r="H1725" s="1" t="s">
        <v>50</v>
      </c>
      <c r="I1725" s="1" t="s">
        <v>50</v>
      </c>
      <c r="J1725" s="1" t="s">
        <v>50</v>
      </c>
      <c r="K1725" s="1" t="s">
        <v>50</v>
      </c>
      <c r="L1725">
        <f t="shared" si="171"/>
        <v>243.42490578966306</v>
      </c>
      <c r="M1725">
        <f t="shared" si="170"/>
        <v>126.26125453869709</v>
      </c>
      <c r="N1725">
        <f t="shared" si="172"/>
        <v>262.49840422364741</v>
      </c>
      <c r="O1725">
        <f t="shared" si="173"/>
        <v>169.3516454756429</v>
      </c>
      <c r="P1725" t="e">
        <f t="shared" si="174"/>
        <v>#N/A</v>
      </c>
      <c r="Q1725" t="e">
        <f t="shared" si="175"/>
        <v>#N/A</v>
      </c>
      <c r="U1725">
        <f>C1725/Navio!$J$4</f>
        <v>21.538090241788481</v>
      </c>
    </row>
    <row r="1726" spans="1:21" x14ac:dyDescent="0.3">
      <c r="A1726">
        <v>1724</v>
      </c>
      <c r="B1726" s="47">
        <v>881.78186013765139</v>
      </c>
      <c r="C1726" s="46">
        <v>390.93287111438019</v>
      </c>
      <c r="D1726" s="1">
        <v>55</v>
      </c>
      <c r="E1726" s="1">
        <v>58</v>
      </c>
      <c r="F1726" s="1">
        <v>57</v>
      </c>
      <c r="G1726" s="1">
        <v>53</v>
      </c>
      <c r="H1726" s="1" t="s">
        <v>50</v>
      </c>
      <c r="I1726" s="1" t="s">
        <v>50</v>
      </c>
      <c r="J1726" s="1" t="s">
        <v>50</v>
      </c>
      <c r="K1726" s="1" t="s">
        <v>50</v>
      </c>
      <c r="L1726">
        <f t="shared" si="171"/>
        <v>195.4263682263873</v>
      </c>
      <c r="M1726">
        <f t="shared" si="170"/>
        <v>126.26125453869709</v>
      </c>
      <c r="N1726">
        <f t="shared" si="172"/>
        <v>243.42490578966306</v>
      </c>
      <c r="O1726">
        <f t="shared" si="173"/>
        <v>400.84350127536862</v>
      </c>
      <c r="P1726" t="e">
        <f t="shared" si="174"/>
        <v>#N/A</v>
      </c>
      <c r="Q1726" t="e">
        <f t="shared" si="175"/>
        <v>#N/A</v>
      </c>
      <c r="U1726">
        <f>C1726/Navio!$J$4</f>
        <v>21.108704581730748</v>
      </c>
    </row>
    <row r="1727" spans="1:21" x14ac:dyDescent="0.3">
      <c r="A1727">
        <v>1725</v>
      </c>
      <c r="B1727" s="47">
        <v>743.43676308593012</v>
      </c>
      <c r="C1727" s="46">
        <v>401.43759059857553</v>
      </c>
      <c r="D1727" s="1">
        <v>57</v>
      </c>
      <c r="E1727" s="1">
        <v>59</v>
      </c>
      <c r="F1727" s="1">
        <v>58</v>
      </c>
      <c r="G1727" s="1">
        <v>55</v>
      </c>
      <c r="H1727" s="1" t="s">
        <v>50</v>
      </c>
      <c r="I1727" s="1" t="s">
        <v>50</v>
      </c>
      <c r="J1727" s="1" t="s">
        <v>50</v>
      </c>
      <c r="K1727" s="1" t="s">
        <v>50</v>
      </c>
      <c r="L1727">
        <f t="shared" si="171"/>
        <v>243.42490578966306</v>
      </c>
      <c r="M1727">
        <f t="shared" si="170"/>
        <v>262.49840422364741</v>
      </c>
      <c r="N1727">
        <f t="shared" si="172"/>
        <v>126.26125453869709</v>
      </c>
      <c r="O1727">
        <f t="shared" si="173"/>
        <v>195.4263682263873</v>
      </c>
      <c r="P1727" t="e">
        <f t="shared" si="174"/>
        <v>#N/A</v>
      </c>
      <c r="Q1727" t="e">
        <f t="shared" si="175"/>
        <v>#N/A</v>
      </c>
      <c r="U1727">
        <f>C1727/Navio!$J$4</f>
        <v>21.675914547149475</v>
      </c>
    </row>
    <row r="1728" spans="1:21" x14ac:dyDescent="0.3">
      <c r="A1728">
        <v>1726</v>
      </c>
      <c r="B1728" s="47">
        <v>812.60048112811592</v>
      </c>
      <c r="C1728" s="46">
        <v>394.10095751386075</v>
      </c>
      <c r="D1728" s="1">
        <v>52</v>
      </c>
      <c r="E1728" s="1">
        <v>53</v>
      </c>
      <c r="F1728" s="1">
        <v>58</v>
      </c>
      <c r="G1728" s="1">
        <v>51</v>
      </c>
      <c r="H1728" s="1">
        <v>50</v>
      </c>
      <c r="I1728" s="1" t="s">
        <v>50</v>
      </c>
      <c r="J1728" s="1" t="s">
        <v>50</v>
      </c>
      <c r="K1728" s="1" t="s">
        <v>50</v>
      </c>
      <c r="L1728">
        <f t="shared" si="171"/>
        <v>169.3516454756429</v>
      </c>
      <c r="M1728">
        <f t="shared" si="170"/>
        <v>400.84350127536862</v>
      </c>
      <c r="N1728">
        <f t="shared" si="172"/>
        <v>126.26125453869709</v>
      </c>
      <c r="O1728">
        <f t="shared" si="173"/>
        <v>100.96468435237094</v>
      </c>
      <c r="P1728">
        <f t="shared" si="174"/>
        <v>99.353565178501128</v>
      </c>
      <c r="Q1728" t="e">
        <f t="shared" si="175"/>
        <v>#N/A</v>
      </c>
      <c r="U1728">
        <f>C1728/Navio!$J$4</f>
        <v>21.279767710050976</v>
      </c>
    </row>
    <row r="1729" spans="1:21" x14ac:dyDescent="0.3">
      <c r="A1729">
        <v>1727</v>
      </c>
      <c r="B1729" s="47">
        <v>808.52116902256535</v>
      </c>
      <c r="C1729" s="46">
        <v>386.5872053010529</v>
      </c>
      <c r="D1729" s="1">
        <v>52</v>
      </c>
      <c r="E1729" s="1">
        <v>57</v>
      </c>
      <c r="F1729" s="1">
        <v>55</v>
      </c>
      <c r="G1729" s="1">
        <v>50</v>
      </c>
      <c r="H1729" s="1">
        <v>51</v>
      </c>
      <c r="I1729" s="1" t="s">
        <v>50</v>
      </c>
      <c r="J1729" s="1" t="s">
        <v>50</v>
      </c>
      <c r="K1729" s="1" t="s">
        <v>50</v>
      </c>
      <c r="L1729">
        <f t="shared" si="171"/>
        <v>169.3516454756429</v>
      </c>
      <c r="M1729">
        <f t="shared" si="170"/>
        <v>243.42490578966306</v>
      </c>
      <c r="N1729">
        <f t="shared" si="172"/>
        <v>195.4263682263873</v>
      </c>
      <c r="O1729">
        <f t="shared" si="173"/>
        <v>99.353565178501128</v>
      </c>
      <c r="P1729">
        <f t="shared" si="174"/>
        <v>100.96468435237094</v>
      </c>
      <c r="Q1729" t="e">
        <f t="shared" si="175"/>
        <v>#N/A</v>
      </c>
      <c r="U1729">
        <f>C1729/Navio!$J$4</f>
        <v>20.874057196866524</v>
      </c>
    </row>
    <row r="1730" spans="1:21" x14ac:dyDescent="0.3">
      <c r="A1730">
        <v>1728</v>
      </c>
      <c r="B1730" s="47">
        <v>607.18334807913459</v>
      </c>
      <c r="C1730" s="46">
        <v>395.80980934960996</v>
      </c>
      <c r="D1730" s="1">
        <v>52</v>
      </c>
      <c r="E1730" s="1">
        <v>58</v>
      </c>
      <c r="F1730" s="1">
        <v>55</v>
      </c>
      <c r="G1730" s="1">
        <v>50</v>
      </c>
      <c r="H1730" s="1">
        <v>51</v>
      </c>
      <c r="I1730" s="1" t="s">
        <v>50</v>
      </c>
      <c r="J1730" s="1" t="s">
        <v>50</v>
      </c>
      <c r="K1730" s="1" t="s">
        <v>50</v>
      </c>
      <c r="L1730">
        <f t="shared" si="171"/>
        <v>169.3516454756429</v>
      </c>
      <c r="M1730">
        <f t="shared" si="170"/>
        <v>126.26125453869709</v>
      </c>
      <c r="N1730">
        <f t="shared" si="172"/>
        <v>195.4263682263873</v>
      </c>
      <c r="O1730">
        <f t="shared" si="173"/>
        <v>99.353565178501128</v>
      </c>
      <c r="P1730">
        <f t="shared" si="174"/>
        <v>100.96468435237094</v>
      </c>
      <c r="Q1730" t="e">
        <f t="shared" si="175"/>
        <v>#N/A</v>
      </c>
      <c r="U1730">
        <f>C1730/Navio!$J$4</f>
        <v>21.37203840724754</v>
      </c>
    </row>
    <row r="1731" spans="1:21" x14ac:dyDescent="0.3">
      <c r="A1731">
        <v>1729</v>
      </c>
      <c r="B1731" s="47">
        <v>827.5946674565497</v>
      </c>
      <c r="C1731" s="46">
        <v>398.90520617538516</v>
      </c>
      <c r="D1731" s="1">
        <v>52</v>
      </c>
      <c r="E1731" s="1">
        <v>59</v>
      </c>
      <c r="F1731" s="1">
        <v>55</v>
      </c>
      <c r="G1731" s="1">
        <v>50</v>
      </c>
      <c r="H1731" s="1">
        <v>51</v>
      </c>
      <c r="I1731" s="1" t="s">
        <v>50</v>
      </c>
      <c r="J1731" s="1" t="s">
        <v>50</v>
      </c>
      <c r="K1731" s="1" t="s">
        <v>50</v>
      </c>
      <c r="L1731">
        <f t="shared" si="171"/>
        <v>169.3516454756429</v>
      </c>
      <c r="M1731">
        <f t="shared" ref="M1731:M1794" si="176">VLOOKUP(E1731,$Y$2:$Z$80,2)</f>
        <v>262.49840422364741</v>
      </c>
      <c r="N1731">
        <f t="shared" si="172"/>
        <v>195.4263682263873</v>
      </c>
      <c r="O1731">
        <f t="shared" si="173"/>
        <v>99.353565178501128</v>
      </c>
      <c r="P1731">
        <f t="shared" si="174"/>
        <v>100.96468435237094</v>
      </c>
      <c r="Q1731" t="e">
        <f t="shared" si="175"/>
        <v>#N/A</v>
      </c>
      <c r="U1731">
        <f>C1731/Navio!$J$4</f>
        <v>21.539176609190651</v>
      </c>
    </row>
    <row r="1732" spans="1:21" x14ac:dyDescent="0.3">
      <c r="A1732">
        <v>1730</v>
      </c>
      <c r="B1732" s="47">
        <v>848.81852450340341</v>
      </c>
      <c r="C1732" s="46">
        <v>395.11370760994271</v>
      </c>
      <c r="D1732" s="1">
        <v>52</v>
      </c>
      <c r="E1732" s="1">
        <v>56</v>
      </c>
      <c r="F1732" s="1">
        <v>58</v>
      </c>
      <c r="G1732" s="1">
        <v>51</v>
      </c>
      <c r="H1732" s="1">
        <v>50</v>
      </c>
      <c r="I1732" s="1" t="s">
        <v>50</v>
      </c>
      <c r="J1732" s="1" t="s">
        <v>50</v>
      </c>
      <c r="K1732" s="1" t="s">
        <v>50</v>
      </c>
      <c r="L1732">
        <f t="shared" si="171"/>
        <v>169.3516454756429</v>
      </c>
      <c r="M1732">
        <f t="shared" si="176"/>
        <v>437.06154465065606</v>
      </c>
      <c r="N1732">
        <f t="shared" si="172"/>
        <v>126.26125453869709</v>
      </c>
      <c r="O1732">
        <f t="shared" si="173"/>
        <v>100.96468435237094</v>
      </c>
      <c r="P1732">
        <f t="shared" si="174"/>
        <v>99.353565178501128</v>
      </c>
      <c r="Q1732" t="e">
        <f t="shared" si="175"/>
        <v>#N/A</v>
      </c>
      <c r="U1732">
        <f>C1732/Navio!$J$4</f>
        <v>21.334451887752316</v>
      </c>
    </row>
    <row r="1733" spans="1:21" x14ac:dyDescent="0.3">
      <c r="A1733">
        <v>1731</v>
      </c>
      <c r="B1733" s="47">
        <v>655.18188564241041</v>
      </c>
      <c r="C1733" s="46">
        <v>393.22249884040207</v>
      </c>
      <c r="D1733" s="1">
        <v>52</v>
      </c>
      <c r="E1733" s="1">
        <v>57</v>
      </c>
      <c r="F1733" s="1">
        <v>58</v>
      </c>
      <c r="G1733" s="1">
        <v>51</v>
      </c>
      <c r="H1733" s="1">
        <v>50</v>
      </c>
      <c r="I1733" s="1" t="s">
        <v>50</v>
      </c>
      <c r="J1733" s="1" t="s">
        <v>50</v>
      </c>
      <c r="K1733" s="1" t="s">
        <v>50</v>
      </c>
      <c r="L1733">
        <f t="shared" si="171"/>
        <v>169.3516454756429</v>
      </c>
      <c r="M1733">
        <f t="shared" si="176"/>
        <v>243.42490578966306</v>
      </c>
      <c r="N1733">
        <f t="shared" si="172"/>
        <v>126.26125453869709</v>
      </c>
      <c r="O1733">
        <f t="shared" si="173"/>
        <v>100.96468435237094</v>
      </c>
      <c r="P1733">
        <f t="shared" si="174"/>
        <v>99.353565178501128</v>
      </c>
      <c r="Q1733" t="e">
        <f t="shared" si="175"/>
        <v>#N/A</v>
      </c>
      <c r="U1733">
        <f>C1733/Navio!$J$4</f>
        <v>21.232334695343258</v>
      </c>
    </row>
    <row r="1734" spans="1:21" x14ac:dyDescent="0.3">
      <c r="A1734">
        <v>1732</v>
      </c>
      <c r="B1734" s="47">
        <v>875.5932050198254</v>
      </c>
      <c r="C1734" s="46">
        <v>392.28323762480295</v>
      </c>
      <c r="D1734" s="1">
        <v>52</v>
      </c>
      <c r="E1734" s="1">
        <v>59</v>
      </c>
      <c r="F1734" s="1">
        <v>57</v>
      </c>
      <c r="G1734" s="1">
        <v>51</v>
      </c>
      <c r="H1734" s="1">
        <v>50</v>
      </c>
      <c r="I1734" s="1" t="s">
        <v>50</v>
      </c>
      <c r="J1734" s="1" t="s">
        <v>50</v>
      </c>
      <c r="K1734" s="1" t="s">
        <v>50</v>
      </c>
      <c r="L1734">
        <f t="shared" si="171"/>
        <v>169.3516454756429</v>
      </c>
      <c r="M1734">
        <f t="shared" si="176"/>
        <v>262.49840422364741</v>
      </c>
      <c r="N1734">
        <f t="shared" si="172"/>
        <v>243.42490578966306</v>
      </c>
      <c r="O1734">
        <f t="shared" si="173"/>
        <v>100.96468435237094</v>
      </c>
      <c r="P1734">
        <f t="shared" si="174"/>
        <v>99.353565178501128</v>
      </c>
      <c r="Q1734" t="e">
        <f t="shared" si="175"/>
        <v>#N/A</v>
      </c>
      <c r="U1734">
        <f>C1734/Navio!$J$4</f>
        <v>21.181618603169579</v>
      </c>
    </row>
    <row r="1735" spans="1:21" x14ac:dyDescent="0.3">
      <c r="A1735">
        <v>1733</v>
      </c>
      <c r="B1735" s="47">
        <v>674.25538407639476</v>
      </c>
      <c r="C1735" s="46">
        <v>401.12302103022796</v>
      </c>
      <c r="D1735" s="1">
        <v>52</v>
      </c>
      <c r="E1735" s="1">
        <v>59</v>
      </c>
      <c r="F1735" s="1">
        <v>58</v>
      </c>
      <c r="G1735" s="1">
        <v>51</v>
      </c>
      <c r="H1735" s="1">
        <v>50</v>
      </c>
      <c r="I1735" s="1" t="s">
        <v>50</v>
      </c>
      <c r="J1735" s="1" t="s">
        <v>50</v>
      </c>
      <c r="K1735" s="1" t="s">
        <v>50</v>
      </c>
      <c r="L1735">
        <f t="shared" si="171"/>
        <v>169.3516454756429</v>
      </c>
      <c r="M1735">
        <f t="shared" si="176"/>
        <v>262.49840422364741</v>
      </c>
      <c r="N1735">
        <f t="shared" si="172"/>
        <v>126.26125453869709</v>
      </c>
      <c r="O1735">
        <f t="shared" si="173"/>
        <v>100.96468435237094</v>
      </c>
      <c r="P1735">
        <f t="shared" si="174"/>
        <v>99.353565178501128</v>
      </c>
      <c r="Q1735" t="e">
        <f t="shared" si="175"/>
        <v>#N/A</v>
      </c>
      <c r="U1735">
        <f>C1735/Navio!$J$4</f>
        <v>21.658929134616312</v>
      </c>
    </row>
    <row r="1736" spans="1:21" x14ac:dyDescent="0.3">
      <c r="A1736">
        <v>1734</v>
      </c>
      <c r="B1736" s="47">
        <v>838.67520387886032</v>
      </c>
      <c r="C1736" s="46">
        <v>396.64432411852886</v>
      </c>
      <c r="D1736" s="1">
        <v>53</v>
      </c>
      <c r="E1736" s="1">
        <v>58</v>
      </c>
      <c r="F1736" s="1">
        <v>55</v>
      </c>
      <c r="G1736" s="1">
        <v>50</v>
      </c>
      <c r="H1736" s="1">
        <v>51</v>
      </c>
      <c r="I1736" s="1" t="s">
        <v>50</v>
      </c>
      <c r="J1736" s="1" t="s">
        <v>50</v>
      </c>
      <c r="K1736" s="1" t="s">
        <v>50</v>
      </c>
      <c r="L1736">
        <f t="shared" si="171"/>
        <v>400.84350127536862</v>
      </c>
      <c r="M1736">
        <f t="shared" si="176"/>
        <v>126.26125453869709</v>
      </c>
      <c r="N1736">
        <f t="shared" si="172"/>
        <v>195.4263682263873</v>
      </c>
      <c r="O1736">
        <f t="shared" si="173"/>
        <v>99.353565178501128</v>
      </c>
      <c r="P1736">
        <f t="shared" si="174"/>
        <v>100.96468435237094</v>
      </c>
      <c r="Q1736" t="e">
        <f t="shared" si="175"/>
        <v>#N/A</v>
      </c>
      <c r="U1736">
        <f>C1736/Navio!$J$4</f>
        <v>21.417098638882671</v>
      </c>
    </row>
    <row r="1737" spans="1:21" x14ac:dyDescent="0.3">
      <c r="A1737">
        <v>1735</v>
      </c>
      <c r="B1737" s="47">
        <v>886.67374144213613</v>
      </c>
      <c r="C1737" s="46">
        <v>393.97245354773997</v>
      </c>
      <c r="D1737" s="1">
        <v>53</v>
      </c>
      <c r="E1737" s="1">
        <v>57</v>
      </c>
      <c r="F1737" s="1">
        <v>58</v>
      </c>
      <c r="G1737" s="1">
        <v>51</v>
      </c>
      <c r="H1737" s="1">
        <v>50</v>
      </c>
      <c r="I1737" s="1" t="s">
        <v>50</v>
      </c>
      <c r="J1737" s="1" t="s">
        <v>50</v>
      </c>
      <c r="K1737" s="1" t="s">
        <v>50</v>
      </c>
      <c r="L1737">
        <f t="shared" si="171"/>
        <v>400.84350127536862</v>
      </c>
      <c r="M1737">
        <f t="shared" si="176"/>
        <v>243.42490578966306</v>
      </c>
      <c r="N1737">
        <f t="shared" si="172"/>
        <v>126.26125453869709</v>
      </c>
      <c r="O1737">
        <f t="shared" si="173"/>
        <v>100.96468435237094</v>
      </c>
      <c r="P1737">
        <f t="shared" si="174"/>
        <v>99.353565178501128</v>
      </c>
      <c r="Q1737" t="e">
        <f t="shared" si="175"/>
        <v>#N/A</v>
      </c>
      <c r="U1737">
        <f>C1737/Navio!$J$4</f>
        <v>21.272829044978653</v>
      </c>
    </row>
    <row r="1738" spans="1:21" x14ac:dyDescent="0.3">
      <c r="A1738">
        <v>1736</v>
      </c>
      <c r="B1738" s="47">
        <v>874.89324725414781</v>
      </c>
      <c r="C1738" s="46">
        <v>394.01983772754056</v>
      </c>
      <c r="D1738" s="1">
        <v>51</v>
      </c>
      <c r="E1738" s="1">
        <v>56</v>
      </c>
      <c r="F1738" s="1">
        <v>58</v>
      </c>
      <c r="G1738" s="1">
        <v>55</v>
      </c>
      <c r="H1738" s="1">
        <v>50</v>
      </c>
      <c r="I1738" s="1" t="s">
        <v>50</v>
      </c>
      <c r="J1738" s="1" t="s">
        <v>50</v>
      </c>
      <c r="K1738" s="1" t="s">
        <v>50</v>
      </c>
      <c r="L1738">
        <f t="shared" si="171"/>
        <v>100.96468435237094</v>
      </c>
      <c r="M1738">
        <f t="shared" si="176"/>
        <v>437.06154465065606</v>
      </c>
      <c r="N1738">
        <f t="shared" si="172"/>
        <v>126.26125453869709</v>
      </c>
      <c r="O1738">
        <f t="shared" si="173"/>
        <v>195.4263682263873</v>
      </c>
      <c r="P1738">
        <f t="shared" si="174"/>
        <v>99.353565178501128</v>
      </c>
      <c r="Q1738" t="e">
        <f t="shared" si="175"/>
        <v>#N/A</v>
      </c>
      <c r="U1738">
        <f>C1738/Navio!$J$4</f>
        <v>21.275387588215008</v>
      </c>
    </row>
    <row r="1739" spans="1:21" x14ac:dyDescent="0.3">
      <c r="A1739">
        <v>1737</v>
      </c>
      <c r="B1739" s="47">
        <v>681.25660839315481</v>
      </c>
      <c r="C1739" s="46">
        <v>388.99372689695451</v>
      </c>
      <c r="D1739" s="1">
        <v>51</v>
      </c>
      <c r="E1739" s="1">
        <v>57</v>
      </c>
      <c r="F1739" s="1">
        <v>58</v>
      </c>
      <c r="G1739" s="1">
        <v>55</v>
      </c>
      <c r="H1739" s="1">
        <v>50</v>
      </c>
      <c r="I1739" s="1" t="s">
        <v>50</v>
      </c>
      <c r="J1739" s="1" t="s">
        <v>50</v>
      </c>
      <c r="K1739" s="1" t="s">
        <v>50</v>
      </c>
      <c r="L1739">
        <f t="shared" si="171"/>
        <v>100.96468435237094</v>
      </c>
      <c r="M1739">
        <f t="shared" si="176"/>
        <v>243.42490578966306</v>
      </c>
      <c r="N1739">
        <f t="shared" si="172"/>
        <v>126.26125453869709</v>
      </c>
      <c r="O1739">
        <f t="shared" si="173"/>
        <v>195.4263682263873</v>
      </c>
      <c r="P1739">
        <f t="shared" si="174"/>
        <v>99.353565178501128</v>
      </c>
      <c r="Q1739" t="e">
        <f t="shared" si="175"/>
        <v>#N/A</v>
      </c>
      <c r="U1739">
        <f>C1739/Navio!$J$4</f>
        <v>21.003999079964352</v>
      </c>
    </row>
    <row r="1740" spans="1:21" x14ac:dyDescent="0.3">
      <c r="A1740">
        <v>1738</v>
      </c>
      <c r="B1740" s="47">
        <v>700.33010682713916</v>
      </c>
      <c r="C1740" s="46">
        <v>399.86761141607985</v>
      </c>
      <c r="D1740" s="1">
        <v>51</v>
      </c>
      <c r="E1740" s="1">
        <v>59</v>
      </c>
      <c r="F1740" s="1">
        <v>58</v>
      </c>
      <c r="G1740" s="1">
        <v>55</v>
      </c>
      <c r="H1740" s="1">
        <v>50</v>
      </c>
      <c r="I1740" s="1" t="s">
        <v>50</v>
      </c>
      <c r="J1740" s="1" t="s">
        <v>50</v>
      </c>
      <c r="K1740" s="1" t="s">
        <v>50</v>
      </c>
      <c r="L1740">
        <f t="shared" si="171"/>
        <v>100.96468435237094</v>
      </c>
      <c r="M1740">
        <f t="shared" si="176"/>
        <v>262.49840422364741</v>
      </c>
      <c r="N1740">
        <f t="shared" si="172"/>
        <v>126.26125453869709</v>
      </c>
      <c r="O1740">
        <f t="shared" si="173"/>
        <v>195.4263682263873</v>
      </c>
      <c r="P1740">
        <f t="shared" si="174"/>
        <v>99.353565178501128</v>
      </c>
      <c r="Q1740" t="e">
        <f t="shared" si="175"/>
        <v>#N/A</v>
      </c>
      <c r="U1740">
        <f>C1740/Navio!$J$4</f>
        <v>21.591142379824941</v>
      </c>
    </row>
    <row r="1741" spans="1:21" x14ac:dyDescent="0.3">
      <c r="A1741">
        <v>1739</v>
      </c>
      <c r="B1741" s="47">
        <v>748.32864439041487</v>
      </c>
      <c r="C1741" s="46">
        <v>400.36106177376661</v>
      </c>
      <c r="D1741" s="1">
        <v>51</v>
      </c>
      <c r="E1741" s="1">
        <v>59</v>
      </c>
      <c r="F1741" s="1">
        <v>58</v>
      </c>
      <c r="G1741" s="1">
        <v>57</v>
      </c>
      <c r="H1741" s="1">
        <v>50</v>
      </c>
      <c r="I1741" s="1" t="s">
        <v>50</v>
      </c>
      <c r="J1741" s="1" t="s">
        <v>50</v>
      </c>
      <c r="K1741" s="1" t="s">
        <v>50</v>
      </c>
      <c r="L1741">
        <f t="shared" ref="L1741:L1804" si="177">VLOOKUP(D1741,$Y$2:$Z$80,2)</f>
        <v>100.96468435237094</v>
      </c>
      <c r="M1741">
        <f t="shared" si="176"/>
        <v>262.49840422364741</v>
      </c>
      <c r="N1741">
        <f t="shared" ref="N1741:N1804" si="178">VLOOKUP(F1741,$Y$2:$Z$80,2)</f>
        <v>126.26125453869709</v>
      </c>
      <c r="O1741">
        <f t="shared" ref="O1741:O1804" si="179">VLOOKUP(G1741,$Y$2:$Z$80,2)</f>
        <v>243.42490578966306</v>
      </c>
      <c r="P1741">
        <f t="shared" ref="P1741:P1804" si="180">VLOOKUP(H1741,$Y$2:$Z$80,2)</f>
        <v>99.353565178501128</v>
      </c>
      <c r="Q1741" t="e">
        <f t="shared" ref="Q1741:Q1804" si="181">VLOOKUP(I1741,$Y$2:$Z$80,2)</f>
        <v>#N/A</v>
      </c>
      <c r="U1741">
        <f>C1741/Navio!$J$4</f>
        <v>21.617786590623759</v>
      </c>
    </row>
    <row r="1742" spans="1:21" x14ac:dyDescent="0.3">
      <c r="A1742">
        <v>1740</v>
      </c>
      <c r="B1742" s="47">
        <v>749.64356951642674</v>
      </c>
      <c r="C1742" s="46">
        <v>391.012572717414</v>
      </c>
      <c r="D1742" s="1">
        <v>52</v>
      </c>
      <c r="E1742" s="1">
        <v>57</v>
      </c>
      <c r="F1742" s="1">
        <v>58</v>
      </c>
      <c r="G1742" s="1">
        <v>55</v>
      </c>
      <c r="H1742" s="1">
        <v>50</v>
      </c>
      <c r="I1742" s="1" t="s">
        <v>50</v>
      </c>
      <c r="J1742" s="1" t="s">
        <v>50</v>
      </c>
      <c r="K1742" s="1" t="s">
        <v>50</v>
      </c>
      <c r="L1742">
        <f t="shared" si="177"/>
        <v>169.3516454756429</v>
      </c>
      <c r="M1742">
        <f t="shared" si="176"/>
        <v>243.42490578966306</v>
      </c>
      <c r="N1742">
        <f t="shared" si="178"/>
        <v>126.26125453869709</v>
      </c>
      <c r="O1742">
        <f t="shared" si="179"/>
        <v>195.4263682263873</v>
      </c>
      <c r="P1742">
        <f t="shared" si="180"/>
        <v>99.353565178501128</v>
      </c>
      <c r="Q1742" t="e">
        <f t="shared" si="181"/>
        <v>#N/A</v>
      </c>
      <c r="U1742">
        <f>C1742/Navio!$J$4</f>
        <v>21.113008127729159</v>
      </c>
    </row>
    <row r="1743" spans="1:21" x14ac:dyDescent="0.3">
      <c r="A1743">
        <v>1741</v>
      </c>
      <c r="B1743" s="47">
        <v>768.71706795041109</v>
      </c>
      <c r="C1743" s="46">
        <v>398.91309490723984</v>
      </c>
      <c r="D1743" s="1">
        <v>52</v>
      </c>
      <c r="E1743" s="1">
        <v>59</v>
      </c>
      <c r="F1743" s="1">
        <v>58</v>
      </c>
      <c r="G1743" s="1">
        <v>55</v>
      </c>
      <c r="H1743" s="1">
        <v>50</v>
      </c>
      <c r="I1743" s="1" t="s">
        <v>50</v>
      </c>
      <c r="J1743" s="1" t="s">
        <v>50</v>
      </c>
      <c r="K1743" s="1" t="s">
        <v>50</v>
      </c>
      <c r="L1743">
        <f t="shared" si="177"/>
        <v>169.3516454756429</v>
      </c>
      <c r="M1743">
        <f t="shared" si="176"/>
        <v>262.49840422364741</v>
      </c>
      <c r="N1743">
        <f t="shared" si="178"/>
        <v>126.26125453869709</v>
      </c>
      <c r="O1743">
        <f t="shared" si="179"/>
        <v>195.4263682263873</v>
      </c>
      <c r="P1743">
        <f t="shared" si="180"/>
        <v>99.353565178501128</v>
      </c>
      <c r="Q1743" t="e">
        <f t="shared" si="181"/>
        <v>#N/A</v>
      </c>
      <c r="U1743">
        <f>C1743/Navio!$J$4</f>
        <v>21.539602567002209</v>
      </c>
    </row>
    <row r="1744" spans="1:21" x14ac:dyDescent="0.3">
      <c r="A1744">
        <v>1742</v>
      </c>
      <c r="B1744" s="47">
        <v>816.71560551368691</v>
      </c>
      <c r="C1744" s="46">
        <v>399.40654526492659</v>
      </c>
      <c r="D1744" s="1">
        <v>52</v>
      </c>
      <c r="E1744" s="1">
        <v>59</v>
      </c>
      <c r="F1744" s="1">
        <v>58</v>
      </c>
      <c r="G1744" s="1">
        <v>57</v>
      </c>
      <c r="H1744" s="1">
        <v>50</v>
      </c>
      <c r="I1744" s="1" t="s">
        <v>50</v>
      </c>
      <c r="J1744" s="1" t="s">
        <v>50</v>
      </c>
      <c r="K1744" s="1" t="s">
        <v>50</v>
      </c>
      <c r="L1744">
        <f t="shared" si="177"/>
        <v>169.3516454756429</v>
      </c>
      <c r="M1744">
        <f t="shared" si="176"/>
        <v>262.49840422364741</v>
      </c>
      <c r="N1744">
        <f t="shared" si="178"/>
        <v>126.26125453869709</v>
      </c>
      <c r="O1744">
        <f t="shared" si="179"/>
        <v>243.42490578966306</v>
      </c>
      <c r="P1744">
        <f t="shared" si="180"/>
        <v>99.353565178501128</v>
      </c>
      <c r="Q1744" t="e">
        <f t="shared" si="181"/>
        <v>#N/A</v>
      </c>
      <c r="U1744">
        <f>C1744/Navio!$J$4</f>
        <v>21.566246777801027</v>
      </c>
    </row>
    <row r="1745" spans="1:21" x14ac:dyDescent="0.3">
      <c r="A1745">
        <v>1743</v>
      </c>
      <c r="B1745" s="47">
        <v>842.79032826443131</v>
      </c>
      <c r="C1745" s="46">
        <v>401.95904919502323</v>
      </c>
      <c r="D1745" s="1">
        <v>55</v>
      </c>
      <c r="E1745" s="1">
        <v>58</v>
      </c>
      <c r="F1745" s="1">
        <v>59</v>
      </c>
      <c r="G1745" s="1">
        <v>57</v>
      </c>
      <c r="H1745" s="1">
        <v>50</v>
      </c>
      <c r="I1745" s="1" t="s">
        <v>50</v>
      </c>
      <c r="J1745" s="1" t="s">
        <v>50</v>
      </c>
      <c r="K1745" s="1" t="s">
        <v>50</v>
      </c>
      <c r="L1745">
        <f t="shared" si="177"/>
        <v>195.4263682263873</v>
      </c>
      <c r="M1745">
        <f t="shared" si="176"/>
        <v>126.26125453869709</v>
      </c>
      <c r="N1745">
        <f t="shared" si="178"/>
        <v>262.49840422364741</v>
      </c>
      <c r="O1745">
        <f t="shared" si="179"/>
        <v>243.42490578966306</v>
      </c>
      <c r="P1745">
        <f t="shared" si="180"/>
        <v>99.353565178501128</v>
      </c>
      <c r="Q1745" t="e">
        <f t="shared" si="181"/>
        <v>#N/A</v>
      </c>
      <c r="U1745">
        <f>C1745/Navio!$J$4</f>
        <v>21.704071083162017</v>
      </c>
    </row>
    <row r="1746" spans="1:21" x14ac:dyDescent="0.3">
      <c r="A1746">
        <v>1744</v>
      </c>
      <c r="B1746" s="47">
        <v>751.25468869029658</v>
      </c>
      <c r="C1746" s="46">
        <v>393.3990228029719</v>
      </c>
      <c r="D1746" s="1">
        <v>52</v>
      </c>
      <c r="E1746" s="1">
        <v>57</v>
      </c>
      <c r="F1746" s="1">
        <v>58</v>
      </c>
      <c r="G1746" s="1">
        <v>55</v>
      </c>
      <c r="H1746" s="1">
        <v>51</v>
      </c>
      <c r="I1746" s="1" t="s">
        <v>50</v>
      </c>
      <c r="J1746" s="1" t="s">
        <v>50</v>
      </c>
      <c r="K1746" s="1" t="s">
        <v>50</v>
      </c>
      <c r="L1746">
        <f t="shared" si="177"/>
        <v>169.3516454756429</v>
      </c>
      <c r="M1746">
        <f t="shared" si="176"/>
        <v>243.42490578966306</v>
      </c>
      <c r="N1746">
        <f t="shared" si="178"/>
        <v>126.26125453869709</v>
      </c>
      <c r="O1746">
        <f t="shared" si="179"/>
        <v>195.4263682263873</v>
      </c>
      <c r="P1746">
        <f t="shared" si="180"/>
        <v>100.96468435237094</v>
      </c>
      <c r="Q1746" t="e">
        <f t="shared" si="181"/>
        <v>#N/A</v>
      </c>
      <c r="U1746">
        <f>C1746/Navio!$J$4</f>
        <v>21.241866235034106</v>
      </c>
    </row>
    <row r="1747" spans="1:21" x14ac:dyDescent="0.3">
      <c r="A1747">
        <v>1745</v>
      </c>
      <c r="B1747" s="47">
        <v>770.32818712428093</v>
      </c>
      <c r="C1747" s="46">
        <v>401.29954499279768</v>
      </c>
      <c r="D1747" s="1">
        <v>52</v>
      </c>
      <c r="E1747" s="1">
        <v>59</v>
      </c>
      <c r="F1747" s="1">
        <v>58</v>
      </c>
      <c r="G1747" s="1">
        <v>55</v>
      </c>
      <c r="H1747" s="1">
        <v>51</v>
      </c>
      <c r="I1747" s="1" t="s">
        <v>50</v>
      </c>
      <c r="J1747" s="1" t="s">
        <v>50</v>
      </c>
      <c r="K1747" s="1" t="s">
        <v>50</v>
      </c>
      <c r="L1747">
        <f t="shared" si="177"/>
        <v>169.3516454756429</v>
      </c>
      <c r="M1747">
        <f t="shared" si="176"/>
        <v>262.49840422364741</v>
      </c>
      <c r="N1747">
        <f t="shared" si="178"/>
        <v>126.26125453869709</v>
      </c>
      <c r="O1747">
        <f t="shared" si="179"/>
        <v>195.4263682263873</v>
      </c>
      <c r="P1747">
        <f t="shared" si="180"/>
        <v>100.96468435237094</v>
      </c>
      <c r="Q1747" t="e">
        <f t="shared" si="181"/>
        <v>#N/A</v>
      </c>
      <c r="U1747">
        <f>C1747/Navio!$J$4</f>
        <v>21.668460674307152</v>
      </c>
    </row>
    <row r="1748" spans="1:21" x14ac:dyDescent="0.3">
      <c r="A1748">
        <v>1746</v>
      </c>
      <c r="B1748" s="47">
        <v>818.32672468755663</v>
      </c>
      <c r="C1748" s="46">
        <v>398.88515064563609</v>
      </c>
      <c r="D1748" s="1">
        <v>52</v>
      </c>
      <c r="E1748" s="1">
        <v>59</v>
      </c>
      <c r="F1748" s="1">
        <v>58</v>
      </c>
      <c r="G1748" s="1">
        <v>57</v>
      </c>
      <c r="H1748" s="1">
        <v>51</v>
      </c>
      <c r="I1748" s="1" t="s">
        <v>50</v>
      </c>
      <c r="J1748" s="1" t="s">
        <v>50</v>
      </c>
      <c r="K1748" s="1" t="s">
        <v>50</v>
      </c>
      <c r="L1748">
        <f t="shared" si="177"/>
        <v>169.3516454756429</v>
      </c>
      <c r="M1748">
        <f t="shared" si="176"/>
        <v>262.49840422364741</v>
      </c>
      <c r="N1748">
        <f t="shared" si="178"/>
        <v>126.26125453869709</v>
      </c>
      <c r="O1748">
        <f t="shared" si="179"/>
        <v>243.42490578966306</v>
      </c>
      <c r="P1748">
        <f t="shared" si="180"/>
        <v>100.96468435237094</v>
      </c>
      <c r="Q1748" t="e">
        <f t="shared" si="181"/>
        <v>#N/A</v>
      </c>
      <c r="U1748">
        <f>C1748/Navio!$J$4</f>
        <v>21.538093696281599</v>
      </c>
    </row>
    <row r="1749" spans="1:21" x14ac:dyDescent="0.3">
      <c r="A1749">
        <v>1747</v>
      </c>
      <c r="B1749" s="47">
        <v>844.40144743830103</v>
      </c>
      <c r="C1749" s="46">
        <v>401.43765457573272</v>
      </c>
      <c r="D1749" s="1">
        <v>55</v>
      </c>
      <c r="E1749" s="1">
        <v>58</v>
      </c>
      <c r="F1749" s="1">
        <v>59</v>
      </c>
      <c r="G1749" s="1">
        <v>57</v>
      </c>
      <c r="H1749" s="1">
        <v>51</v>
      </c>
      <c r="I1749" s="1" t="s">
        <v>50</v>
      </c>
      <c r="J1749" s="1" t="s">
        <v>50</v>
      </c>
      <c r="K1749" s="1" t="s">
        <v>50</v>
      </c>
      <c r="L1749">
        <f t="shared" si="177"/>
        <v>195.4263682263873</v>
      </c>
      <c r="M1749">
        <f t="shared" si="176"/>
        <v>126.26125453869709</v>
      </c>
      <c r="N1749">
        <f t="shared" si="178"/>
        <v>262.49840422364741</v>
      </c>
      <c r="O1749">
        <f t="shared" si="179"/>
        <v>243.42490578966306</v>
      </c>
      <c r="P1749">
        <f t="shared" si="180"/>
        <v>100.96468435237094</v>
      </c>
      <c r="Q1749" t="e">
        <f t="shared" si="181"/>
        <v>#N/A</v>
      </c>
      <c r="U1749">
        <f>C1749/Navio!$J$4</f>
        <v>21.675918001642589</v>
      </c>
    </row>
    <row r="1750" spans="1:21" x14ac:dyDescent="0.3">
      <c r="A1750">
        <v>1748</v>
      </c>
      <c r="B1750" s="47">
        <v>850.60825386879765</v>
      </c>
      <c r="C1750" s="46">
        <v>395.91872800123406</v>
      </c>
      <c r="D1750" s="1">
        <v>52</v>
      </c>
      <c r="E1750" s="1">
        <v>57</v>
      </c>
      <c r="F1750" s="1">
        <v>58</v>
      </c>
      <c r="G1750" s="1">
        <v>55</v>
      </c>
      <c r="H1750" s="1">
        <v>50</v>
      </c>
      <c r="I1750" s="1">
        <v>51</v>
      </c>
      <c r="J1750" s="1" t="s">
        <v>50</v>
      </c>
      <c r="K1750" s="1" t="s">
        <v>50</v>
      </c>
      <c r="L1750">
        <f t="shared" si="177"/>
        <v>169.3516454756429</v>
      </c>
      <c r="M1750">
        <f t="shared" si="176"/>
        <v>243.42490578966306</v>
      </c>
      <c r="N1750">
        <f t="shared" si="178"/>
        <v>126.26125453869709</v>
      </c>
      <c r="O1750">
        <f t="shared" si="179"/>
        <v>195.4263682263873</v>
      </c>
      <c r="P1750">
        <f t="shared" si="180"/>
        <v>99.353565178501128</v>
      </c>
      <c r="Q1750">
        <f t="shared" si="181"/>
        <v>100.96468435237094</v>
      </c>
      <c r="U1750">
        <f>C1750/Navio!$J$4</f>
        <v>21.377919549025208</v>
      </c>
    </row>
    <row r="1751" spans="1:21" x14ac:dyDescent="0.3">
      <c r="A1751">
        <v>1749</v>
      </c>
      <c r="B1751" s="47">
        <v>869.681752302782</v>
      </c>
      <c r="C1751" s="46">
        <v>403.81925019105984</v>
      </c>
      <c r="D1751" s="1">
        <v>52</v>
      </c>
      <c r="E1751" s="1">
        <v>59</v>
      </c>
      <c r="F1751" s="1">
        <v>58</v>
      </c>
      <c r="G1751" s="1">
        <v>55</v>
      </c>
      <c r="H1751" s="1">
        <v>50</v>
      </c>
      <c r="I1751" s="1">
        <v>51</v>
      </c>
      <c r="J1751" s="1" t="s">
        <v>50</v>
      </c>
      <c r="K1751" s="1" t="s">
        <v>50</v>
      </c>
      <c r="L1751">
        <f t="shared" si="177"/>
        <v>169.3516454756429</v>
      </c>
      <c r="M1751">
        <f t="shared" si="176"/>
        <v>262.49840422364741</v>
      </c>
      <c r="N1751">
        <f t="shared" si="178"/>
        <v>126.26125453869709</v>
      </c>
      <c r="O1751">
        <f t="shared" si="179"/>
        <v>195.4263682263873</v>
      </c>
      <c r="P1751">
        <f t="shared" si="180"/>
        <v>99.353565178501128</v>
      </c>
      <c r="Q1751">
        <f t="shared" si="181"/>
        <v>100.96468435237094</v>
      </c>
      <c r="U1751">
        <f>C1751/Navio!$J$4</f>
        <v>21.804513988298254</v>
      </c>
    </row>
    <row r="1752" spans="1:21" x14ac:dyDescent="0.3">
      <c r="A1752">
        <v>1750</v>
      </c>
      <c r="B1752" s="47">
        <v>56.282984138412765</v>
      </c>
      <c r="C1752" s="46">
        <v>336.86404029775548</v>
      </c>
      <c r="D1752" s="1">
        <v>60</v>
      </c>
      <c r="E1752" s="1" t="s">
        <v>50</v>
      </c>
      <c r="F1752" s="1" t="s">
        <v>50</v>
      </c>
      <c r="G1752" s="1" t="s">
        <v>50</v>
      </c>
      <c r="H1752" s="1" t="s">
        <v>50</v>
      </c>
      <c r="I1752" s="1" t="s">
        <v>50</v>
      </c>
      <c r="J1752" s="1" t="s">
        <v>50</v>
      </c>
      <c r="K1752" s="1" t="s">
        <v>50</v>
      </c>
      <c r="L1752">
        <f t="shared" si="177"/>
        <v>56.282984138412765</v>
      </c>
      <c r="M1752" t="e">
        <f t="shared" si="176"/>
        <v>#N/A</v>
      </c>
      <c r="N1752" t="e">
        <f t="shared" si="178"/>
        <v>#N/A</v>
      </c>
      <c r="O1752" t="e">
        <f t="shared" si="179"/>
        <v>#N/A</v>
      </c>
      <c r="P1752" t="e">
        <f t="shared" si="180"/>
        <v>#N/A</v>
      </c>
      <c r="Q1752" t="e">
        <f t="shared" si="181"/>
        <v>#N/A</v>
      </c>
      <c r="U1752">
        <f>C1752/Navio!$J$4</f>
        <v>18.189218754063475</v>
      </c>
    </row>
    <row r="1753" spans="1:21" x14ac:dyDescent="0.3">
      <c r="A1753">
        <v>1751</v>
      </c>
      <c r="B1753" s="47">
        <v>689.14538610130626</v>
      </c>
      <c r="C1753" s="46">
        <v>343.73570754963384</v>
      </c>
      <c r="D1753" s="1">
        <v>61</v>
      </c>
      <c r="E1753" s="1" t="s">
        <v>50</v>
      </c>
      <c r="F1753" s="1" t="s">
        <v>50</v>
      </c>
      <c r="G1753" s="1" t="s">
        <v>50</v>
      </c>
      <c r="H1753" s="1" t="s">
        <v>50</v>
      </c>
      <c r="I1753" s="1" t="s">
        <v>50</v>
      </c>
      <c r="J1753" s="1" t="s">
        <v>50</v>
      </c>
      <c r="K1753" s="1" t="s">
        <v>50</v>
      </c>
      <c r="L1753">
        <f t="shared" si="177"/>
        <v>689.14538610130626</v>
      </c>
      <c r="M1753" t="e">
        <f t="shared" si="176"/>
        <v>#N/A</v>
      </c>
      <c r="N1753" t="e">
        <f t="shared" si="178"/>
        <v>#N/A</v>
      </c>
      <c r="O1753" t="e">
        <f t="shared" si="179"/>
        <v>#N/A</v>
      </c>
      <c r="P1753" t="e">
        <f t="shared" si="180"/>
        <v>#N/A</v>
      </c>
      <c r="Q1753" t="e">
        <f t="shared" si="181"/>
        <v>#N/A</v>
      </c>
      <c r="U1753">
        <f>C1753/Navio!$J$4</f>
        <v>18.56025942299053</v>
      </c>
    </row>
    <row r="1754" spans="1:21" x14ac:dyDescent="0.3">
      <c r="A1754">
        <v>1752</v>
      </c>
      <c r="B1754" s="47">
        <v>406.27303669523673</v>
      </c>
      <c r="C1754" s="46">
        <v>349.51551922499073</v>
      </c>
      <c r="D1754" s="1">
        <v>62</v>
      </c>
      <c r="E1754" s="1" t="s">
        <v>50</v>
      </c>
      <c r="F1754" s="1" t="s">
        <v>50</v>
      </c>
      <c r="G1754" s="1" t="s">
        <v>50</v>
      </c>
      <c r="H1754" s="1" t="s">
        <v>50</v>
      </c>
      <c r="I1754" s="1" t="s">
        <v>50</v>
      </c>
      <c r="J1754" s="1" t="s">
        <v>50</v>
      </c>
      <c r="K1754" s="1" t="s">
        <v>50</v>
      </c>
      <c r="L1754">
        <f t="shared" si="177"/>
        <v>406.27303669523673</v>
      </c>
      <c r="M1754" t="e">
        <f t="shared" si="176"/>
        <v>#N/A</v>
      </c>
      <c r="N1754" t="e">
        <f t="shared" si="178"/>
        <v>#N/A</v>
      </c>
      <c r="O1754" t="e">
        <f t="shared" si="179"/>
        <v>#N/A</v>
      </c>
      <c r="P1754" t="e">
        <f t="shared" si="180"/>
        <v>#N/A</v>
      </c>
      <c r="Q1754" t="e">
        <f t="shared" si="181"/>
        <v>#N/A</v>
      </c>
      <c r="U1754">
        <f>C1754/Navio!$J$4</f>
        <v>18.872344556290692</v>
      </c>
    </row>
    <row r="1755" spans="1:21" x14ac:dyDescent="0.3">
      <c r="A1755">
        <v>1753</v>
      </c>
      <c r="B1755" s="47">
        <v>236.50311828350391</v>
      </c>
      <c r="C1755" s="46">
        <v>352.57463199815879</v>
      </c>
      <c r="D1755" s="1">
        <v>63</v>
      </c>
      <c r="E1755" s="1" t="s">
        <v>50</v>
      </c>
      <c r="F1755" s="1" t="s">
        <v>50</v>
      </c>
      <c r="G1755" s="1" t="s">
        <v>50</v>
      </c>
      <c r="H1755" s="1" t="s">
        <v>50</v>
      </c>
      <c r="I1755" s="1" t="s">
        <v>50</v>
      </c>
      <c r="J1755" s="1" t="s">
        <v>50</v>
      </c>
      <c r="K1755" s="1" t="s">
        <v>50</v>
      </c>
      <c r="L1755">
        <f t="shared" si="177"/>
        <v>473.00623656700782</v>
      </c>
      <c r="M1755" t="e">
        <f t="shared" si="176"/>
        <v>#N/A</v>
      </c>
      <c r="N1755" t="e">
        <f t="shared" si="178"/>
        <v>#N/A</v>
      </c>
      <c r="O1755" t="e">
        <f t="shared" si="179"/>
        <v>#N/A</v>
      </c>
      <c r="P1755" t="e">
        <f t="shared" si="180"/>
        <v>#N/A</v>
      </c>
      <c r="Q1755" t="e">
        <f t="shared" si="181"/>
        <v>#N/A</v>
      </c>
      <c r="U1755">
        <f>C1755/Navio!$J$4</f>
        <v>19.037523574434989</v>
      </c>
    </row>
    <row r="1756" spans="1:21" x14ac:dyDescent="0.3">
      <c r="A1756">
        <v>1754</v>
      </c>
      <c r="B1756" s="47">
        <v>236.50311828350391</v>
      </c>
      <c r="C1756" s="46">
        <v>356.93587721332483</v>
      </c>
      <c r="D1756" s="1">
        <v>64</v>
      </c>
      <c r="E1756" s="1" t="s">
        <v>50</v>
      </c>
      <c r="F1756" s="1" t="s">
        <v>50</v>
      </c>
      <c r="G1756" s="1" t="s">
        <v>50</v>
      </c>
      <c r="H1756" s="1" t="s">
        <v>50</v>
      </c>
      <c r="I1756" s="1" t="s">
        <v>50</v>
      </c>
      <c r="J1756" s="1" t="s">
        <v>50</v>
      </c>
      <c r="K1756" s="1" t="s">
        <v>50</v>
      </c>
      <c r="L1756">
        <f t="shared" si="177"/>
        <v>473.00623656700782</v>
      </c>
      <c r="M1756" t="e">
        <f t="shared" si="176"/>
        <v>#N/A</v>
      </c>
      <c r="N1756" t="e">
        <f t="shared" si="178"/>
        <v>#N/A</v>
      </c>
      <c r="O1756" t="e">
        <f t="shared" si="179"/>
        <v>#N/A</v>
      </c>
      <c r="P1756" t="e">
        <f t="shared" si="180"/>
        <v>#N/A</v>
      </c>
      <c r="Q1756" t="e">
        <f t="shared" si="181"/>
        <v>#N/A</v>
      </c>
      <c r="U1756">
        <f>C1756/Navio!$J$4</f>
        <v>19.273012180427628</v>
      </c>
    </row>
    <row r="1757" spans="1:21" x14ac:dyDescent="0.3">
      <c r="A1757">
        <v>1755</v>
      </c>
      <c r="B1757" s="47">
        <v>236.50311828350391</v>
      </c>
      <c r="C1757" s="46">
        <v>359.79983186027908</v>
      </c>
      <c r="D1757" s="1">
        <v>65</v>
      </c>
      <c r="E1757" s="1" t="s">
        <v>50</v>
      </c>
      <c r="F1757" s="1" t="s">
        <v>50</v>
      </c>
      <c r="G1757" s="1" t="s">
        <v>50</v>
      </c>
      <c r="H1757" s="1" t="s">
        <v>50</v>
      </c>
      <c r="I1757" s="1" t="s">
        <v>50</v>
      </c>
      <c r="J1757" s="1" t="s">
        <v>50</v>
      </c>
      <c r="K1757" s="1" t="s">
        <v>50</v>
      </c>
      <c r="L1757">
        <f t="shared" si="177"/>
        <v>473.00623656700782</v>
      </c>
      <c r="M1757" t="e">
        <f t="shared" si="176"/>
        <v>#N/A</v>
      </c>
      <c r="N1757" t="e">
        <f t="shared" si="178"/>
        <v>#N/A</v>
      </c>
      <c r="O1757" t="e">
        <f t="shared" si="179"/>
        <v>#N/A</v>
      </c>
      <c r="P1757" t="e">
        <f t="shared" si="180"/>
        <v>#N/A</v>
      </c>
      <c r="Q1757" t="e">
        <f t="shared" si="181"/>
        <v>#N/A</v>
      </c>
      <c r="U1757">
        <f>C1757/Navio!$J$4</f>
        <v>19.427653493668195</v>
      </c>
    </row>
    <row r="1758" spans="1:21" x14ac:dyDescent="0.3">
      <c r="A1758">
        <v>1756</v>
      </c>
      <c r="B1758" s="47">
        <v>312.95113548570282</v>
      </c>
      <c r="C1758" s="46">
        <v>357.68480929900136</v>
      </c>
      <c r="D1758" s="1">
        <v>66</v>
      </c>
      <c r="E1758" s="1" t="s">
        <v>50</v>
      </c>
      <c r="F1758" s="1" t="s">
        <v>50</v>
      </c>
      <c r="G1758" s="1" t="s">
        <v>50</v>
      </c>
      <c r="H1758" s="1" t="s">
        <v>50</v>
      </c>
      <c r="I1758" s="1" t="s">
        <v>50</v>
      </c>
      <c r="J1758" s="1" t="s">
        <v>50</v>
      </c>
      <c r="K1758" s="1" t="s">
        <v>50</v>
      </c>
      <c r="L1758">
        <f t="shared" si="177"/>
        <v>312.95113548570282</v>
      </c>
      <c r="M1758" t="e">
        <f t="shared" si="176"/>
        <v>#N/A</v>
      </c>
      <c r="N1758" t="e">
        <f t="shared" si="178"/>
        <v>#N/A</v>
      </c>
      <c r="O1758" t="e">
        <f t="shared" si="179"/>
        <v>#N/A</v>
      </c>
      <c r="P1758" t="e">
        <f t="shared" si="180"/>
        <v>#N/A</v>
      </c>
      <c r="Q1758" t="e">
        <f t="shared" si="181"/>
        <v>#N/A</v>
      </c>
      <c r="U1758">
        <f>C1758/Navio!$J$4</f>
        <v>19.313451312862977</v>
      </c>
    </row>
    <row r="1759" spans="1:21" x14ac:dyDescent="0.3">
      <c r="A1759">
        <v>1757</v>
      </c>
      <c r="B1759" s="47">
        <v>233.24923275704379</v>
      </c>
      <c r="C1759" s="46">
        <v>358.00033712849</v>
      </c>
      <c r="D1759" s="1">
        <v>67</v>
      </c>
      <c r="E1759" s="1" t="s">
        <v>50</v>
      </c>
      <c r="F1759" s="1" t="s">
        <v>50</v>
      </c>
      <c r="G1759" s="1" t="s">
        <v>50</v>
      </c>
      <c r="H1759" s="1" t="s">
        <v>50</v>
      </c>
      <c r="I1759" s="1" t="s">
        <v>50</v>
      </c>
      <c r="J1759" s="1" t="s">
        <v>50</v>
      </c>
      <c r="K1759" s="1" t="s">
        <v>50</v>
      </c>
      <c r="L1759">
        <f t="shared" si="177"/>
        <v>233.24923275704379</v>
      </c>
      <c r="M1759" t="e">
        <f t="shared" si="176"/>
        <v>#N/A</v>
      </c>
      <c r="N1759" t="e">
        <f t="shared" si="178"/>
        <v>#N/A</v>
      </c>
      <c r="O1759" t="e">
        <f t="shared" si="179"/>
        <v>#N/A</v>
      </c>
      <c r="P1759" t="e">
        <f t="shared" si="180"/>
        <v>#N/A</v>
      </c>
      <c r="Q1759" t="e">
        <f t="shared" si="181"/>
        <v>#N/A</v>
      </c>
      <c r="U1759">
        <f>C1759/Navio!$J$4</f>
        <v>19.330488467403104</v>
      </c>
    </row>
    <row r="1760" spans="1:21" x14ac:dyDescent="0.3">
      <c r="A1760">
        <v>1758</v>
      </c>
      <c r="B1760" s="47">
        <v>354.65328152856114</v>
      </c>
      <c r="C1760" s="46">
        <v>372.04504369441406</v>
      </c>
      <c r="D1760" s="1">
        <v>68</v>
      </c>
      <c r="E1760" s="1" t="s">
        <v>50</v>
      </c>
      <c r="F1760" s="1" t="s">
        <v>50</v>
      </c>
      <c r="G1760" s="1" t="s">
        <v>50</v>
      </c>
      <c r="H1760" s="1" t="s">
        <v>50</v>
      </c>
      <c r="I1760" s="1" t="s">
        <v>50</v>
      </c>
      <c r="J1760" s="1" t="s">
        <v>50</v>
      </c>
      <c r="K1760" s="1" t="s">
        <v>50</v>
      </c>
      <c r="L1760">
        <f t="shared" si="177"/>
        <v>354.65328152856114</v>
      </c>
      <c r="M1760" t="e">
        <f t="shared" si="176"/>
        <v>#N/A</v>
      </c>
      <c r="N1760" t="e">
        <f t="shared" si="178"/>
        <v>#N/A</v>
      </c>
      <c r="O1760" t="e">
        <f t="shared" si="179"/>
        <v>#N/A</v>
      </c>
      <c r="P1760" t="e">
        <f t="shared" si="180"/>
        <v>#N/A</v>
      </c>
      <c r="Q1760" t="e">
        <f t="shared" si="181"/>
        <v>#N/A</v>
      </c>
      <c r="U1760">
        <f>C1760/Navio!$J$4</f>
        <v>20.088842608849664</v>
      </c>
    </row>
    <row r="1761" spans="1:21" x14ac:dyDescent="0.3">
      <c r="A1761">
        <v>1759</v>
      </c>
      <c r="B1761" s="47">
        <v>324.97668365254049</v>
      </c>
      <c r="C1761" s="46">
        <v>376.7225268783622</v>
      </c>
      <c r="D1761" s="1">
        <v>69</v>
      </c>
      <c r="E1761" s="1" t="s">
        <v>50</v>
      </c>
      <c r="F1761" s="1" t="s">
        <v>50</v>
      </c>
      <c r="G1761" s="1" t="s">
        <v>50</v>
      </c>
      <c r="H1761" s="1" t="s">
        <v>50</v>
      </c>
      <c r="I1761" s="1" t="s">
        <v>50</v>
      </c>
      <c r="J1761" s="1" t="s">
        <v>50</v>
      </c>
      <c r="K1761" s="1" t="s">
        <v>50</v>
      </c>
      <c r="L1761">
        <f t="shared" si="177"/>
        <v>324.97668365254049</v>
      </c>
      <c r="M1761" t="e">
        <f t="shared" si="176"/>
        <v>#N/A</v>
      </c>
      <c r="N1761" t="e">
        <f t="shared" si="178"/>
        <v>#N/A</v>
      </c>
      <c r="O1761" t="e">
        <f t="shared" si="179"/>
        <v>#N/A</v>
      </c>
      <c r="P1761" t="e">
        <f t="shared" si="180"/>
        <v>#N/A</v>
      </c>
      <c r="Q1761" t="e">
        <f t="shared" si="181"/>
        <v>#N/A</v>
      </c>
      <c r="U1761">
        <f>C1761/Navio!$J$4</f>
        <v>20.341406713869848</v>
      </c>
    </row>
    <row r="1762" spans="1:21" x14ac:dyDescent="0.3">
      <c r="A1762">
        <v>1760</v>
      </c>
      <c r="B1762" s="47">
        <v>236.50311828350391</v>
      </c>
      <c r="C1762" s="46">
        <v>380.60682024452149</v>
      </c>
      <c r="D1762" s="1">
        <v>70</v>
      </c>
      <c r="E1762" s="1" t="s">
        <v>50</v>
      </c>
      <c r="F1762" s="1" t="s">
        <v>50</v>
      </c>
      <c r="G1762" s="1" t="s">
        <v>50</v>
      </c>
      <c r="H1762" s="1" t="s">
        <v>50</v>
      </c>
      <c r="I1762" s="1" t="s">
        <v>50</v>
      </c>
      <c r="J1762" s="1" t="s">
        <v>50</v>
      </c>
      <c r="K1762" s="1" t="s">
        <v>50</v>
      </c>
      <c r="L1762">
        <f t="shared" si="177"/>
        <v>473.00623656700782</v>
      </c>
      <c r="M1762" t="e">
        <f t="shared" si="176"/>
        <v>#N/A</v>
      </c>
      <c r="N1762" t="e">
        <f t="shared" si="178"/>
        <v>#N/A</v>
      </c>
      <c r="O1762" t="e">
        <f t="shared" si="179"/>
        <v>#N/A</v>
      </c>
      <c r="P1762" t="e">
        <f t="shared" si="180"/>
        <v>#N/A</v>
      </c>
      <c r="Q1762" t="e">
        <f t="shared" si="181"/>
        <v>#N/A</v>
      </c>
      <c r="U1762">
        <f>C1762/Navio!$J$4</f>
        <v>20.551141958034169</v>
      </c>
    </row>
    <row r="1763" spans="1:21" x14ac:dyDescent="0.3">
      <c r="A1763">
        <v>1761</v>
      </c>
      <c r="B1763" s="47">
        <v>236.50311828350391</v>
      </c>
      <c r="C1763" s="46">
        <v>382.42410054172166</v>
      </c>
      <c r="D1763" s="1">
        <v>71</v>
      </c>
      <c r="E1763" s="1" t="s">
        <v>50</v>
      </c>
      <c r="F1763" s="1" t="s">
        <v>50</v>
      </c>
      <c r="G1763" s="1" t="s">
        <v>50</v>
      </c>
      <c r="H1763" s="1" t="s">
        <v>50</v>
      </c>
      <c r="I1763" s="1" t="s">
        <v>50</v>
      </c>
      <c r="J1763" s="1" t="s">
        <v>50</v>
      </c>
      <c r="K1763" s="1" t="s">
        <v>50</v>
      </c>
      <c r="L1763">
        <f t="shared" si="177"/>
        <v>473.00623656700782</v>
      </c>
      <c r="M1763" t="e">
        <f t="shared" si="176"/>
        <v>#N/A</v>
      </c>
      <c r="N1763" t="e">
        <f t="shared" si="178"/>
        <v>#N/A</v>
      </c>
      <c r="O1763" t="e">
        <f t="shared" si="179"/>
        <v>#N/A</v>
      </c>
      <c r="P1763" t="e">
        <f t="shared" si="180"/>
        <v>#N/A</v>
      </c>
      <c r="Q1763" t="e">
        <f t="shared" si="181"/>
        <v>#N/A</v>
      </c>
      <c r="U1763">
        <f>C1763/Navio!$J$4</f>
        <v>20.649267328833634</v>
      </c>
    </row>
    <row r="1764" spans="1:21" x14ac:dyDescent="0.3">
      <c r="A1764">
        <v>1762</v>
      </c>
      <c r="B1764" s="47">
        <v>745.42837023971902</v>
      </c>
      <c r="C1764" s="46">
        <v>343.75130105815452</v>
      </c>
      <c r="D1764" s="1">
        <v>60</v>
      </c>
      <c r="E1764" s="1">
        <v>61</v>
      </c>
      <c r="F1764" s="1" t="s">
        <v>50</v>
      </c>
      <c r="G1764" s="1" t="s">
        <v>50</v>
      </c>
      <c r="H1764" s="1" t="s">
        <v>50</v>
      </c>
      <c r="I1764" s="1" t="s">
        <v>50</v>
      </c>
      <c r="J1764" s="1" t="s">
        <v>50</v>
      </c>
      <c r="K1764" s="1" t="s">
        <v>50</v>
      </c>
      <c r="L1764">
        <f t="shared" si="177"/>
        <v>56.282984138412765</v>
      </c>
      <c r="M1764">
        <f t="shared" si="176"/>
        <v>689.14538610130626</v>
      </c>
      <c r="N1764" t="e">
        <f t="shared" si="178"/>
        <v>#N/A</v>
      </c>
      <c r="O1764" t="e">
        <f t="shared" si="179"/>
        <v>#N/A</v>
      </c>
      <c r="P1764" t="e">
        <f t="shared" si="180"/>
        <v>#N/A</v>
      </c>
      <c r="Q1764" t="e">
        <f t="shared" si="181"/>
        <v>#N/A</v>
      </c>
      <c r="U1764">
        <f>C1764/Navio!$J$4</f>
        <v>18.561101405819493</v>
      </c>
    </row>
    <row r="1765" spans="1:21" x14ac:dyDescent="0.3">
      <c r="A1765">
        <v>1763</v>
      </c>
      <c r="B1765" s="47">
        <v>462.55602083364948</v>
      </c>
      <c r="C1765" s="46">
        <v>356.35656304892132</v>
      </c>
      <c r="D1765" s="1">
        <v>60</v>
      </c>
      <c r="E1765" s="1">
        <v>62</v>
      </c>
      <c r="F1765" s="1" t="s">
        <v>50</v>
      </c>
      <c r="G1765" s="1" t="s">
        <v>50</v>
      </c>
      <c r="H1765" s="1" t="s">
        <v>50</v>
      </c>
      <c r="I1765" s="1" t="s">
        <v>50</v>
      </c>
      <c r="J1765" s="1" t="s">
        <v>50</v>
      </c>
      <c r="K1765" s="1" t="s">
        <v>50</v>
      </c>
      <c r="L1765">
        <f t="shared" si="177"/>
        <v>56.282984138412765</v>
      </c>
      <c r="M1765">
        <f t="shared" si="176"/>
        <v>406.27303669523673</v>
      </c>
      <c r="N1765" t="e">
        <f t="shared" si="178"/>
        <v>#N/A</v>
      </c>
      <c r="O1765" t="e">
        <f t="shared" si="179"/>
        <v>#N/A</v>
      </c>
      <c r="P1765" t="e">
        <f t="shared" si="180"/>
        <v>#N/A</v>
      </c>
      <c r="Q1765" t="e">
        <f t="shared" si="181"/>
        <v>#N/A</v>
      </c>
      <c r="U1765">
        <f>C1765/Navio!$J$4</f>
        <v>19.241731690962656</v>
      </c>
    </row>
    <row r="1766" spans="1:21" x14ac:dyDescent="0.3">
      <c r="A1766">
        <v>1764</v>
      </c>
      <c r="B1766" s="47">
        <v>292.78610242191667</v>
      </c>
      <c r="C1766" s="46">
        <v>352.97191282233734</v>
      </c>
      <c r="D1766" s="1">
        <v>60</v>
      </c>
      <c r="E1766" s="1">
        <v>63</v>
      </c>
      <c r="F1766" s="1" t="s">
        <v>50</v>
      </c>
      <c r="G1766" s="1" t="s">
        <v>50</v>
      </c>
      <c r="H1766" s="1" t="s">
        <v>50</v>
      </c>
      <c r="I1766" s="1" t="s">
        <v>50</v>
      </c>
      <c r="J1766" s="1" t="s">
        <v>50</v>
      </c>
      <c r="K1766" s="1" t="s">
        <v>50</v>
      </c>
      <c r="L1766">
        <f t="shared" si="177"/>
        <v>56.282984138412765</v>
      </c>
      <c r="M1766">
        <f t="shared" si="176"/>
        <v>473.00623656700782</v>
      </c>
      <c r="N1766" t="e">
        <f t="shared" si="178"/>
        <v>#N/A</v>
      </c>
      <c r="O1766" t="e">
        <f t="shared" si="179"/>
        <v>#N/A</v>
      </c>
      <c r="P1766" t="e">
        <f t="shared" si="180"/>
        <v>#N/A</v>
      </c>
      <c r="Q1766" t="e">
        <f t="shared" si="181"/>
        <v>#N/A</v>
      </c>
      <c r="U1766">
        <f>C1766/Navio!$J$4</f>
        <v>19.058975041357343</v>
      </c>
    </row>
    <row r="1767" spans="1:21" x14ac:dyDescent="0.3">
      <c r="A1767">
        <v>1765</v>
      </c>
      <c r="B1767" s="47">
        <v>292.78610242191667</v>
      </c>
      <c r="C1767" s="46">
        <v>361.95722103489709</v>
      </c>
      <c r="D1767" s="1">
        <v>60</v>
      </c>
      <c r="E1767" s="1">
        <v>64</v>
      </c>
      <c r="F1767" s="1" t="s">
        <v>50</v>
      </c>
      <c r="G1767" s="1" t="s">
        <v>50</v>
      </c>
      <c r="H1767" s="1" t="s">
        <v>50</v>
      </c>
      <c r="I1767" s="1" t="s">
        <v>50</v>
      </c>
      <c r="J1767" s="1" t="s">
        <v>50</v>
      </c>
      <c r="K1767" s="1" t="s">
        <v>50</v>
      </c>
      <c r="L1767">
        <f t="shared" si="177"/>
        <v>56.282984138412765</v>
      </c>
      <c r="M1767">
        <f t="shared" si="176"/>
        <v>473.00623656700782</v>
      </c>
      <c r="N1767" t="e">
        <f t="shared" si="178"/>
        <v>#N/A</v>
      </c>
      <c r="O1767" t="e">
        <f t="shared" si="179"/>
        <v>#N/A</v>
      </c>
      <c r="P1767" t="e">
        <f t="shared" si="180"/>
        <v>#N/A</v>
      </c>
      <c r="Q1767" t="e">
        <f t="shared" si="181"/>
        <v>#N/A</v>
      </c>
      <c r="U1767">
        <f>C1767/Navio!$J$4</f>
        <v>19.544143290560999</v>
      </c>
    </row>
    <row r="1768" spans="1:21" x14ac:dyDescent="0.3">
      <c r="A1768">
        <v>1766</v>
      </c>
      <c r="B1768" s="47">
        <v>292.78610242191667</v>
      </c>
      <c r="C1768" s="46">
        <v>363.95144596583725</v>
      </c>
      <c r="D1768" s="1">
        <v>60</v>
      </c>
      <c r="E1768" s="1">
        <v>65</v>
      </c>
      <c r="F1768" s="1" t="s">
        <v>50</v>
      </c>
      <c r="G1768" s="1" t="s">
        <v>50</v>
      </c>
      <c r="H1768" s="1" t="s">
        <v>50</v>
      </c>
      <c r="I1768" s="1" t="s">
        <v>50</v>
      </c>
      <c r="J1768" s="1" t="s">
        <v>50</v>
      </c>
      <c r="K1768" s="1" t="s">
        <v>50</v>
      </c>
      <c r="L1768">
        <f t="shared" si="177"/>
        <v>56.282984138412765</v>
      </c>
      <c r="M1768">
        <f t="shared" si="176"/>
        <v>473.00623656700782</v>
      </c>
      <c r="N1768" t="e">
        <f t="shared" si="178"/>
        <v>#N/A</v>
      </c>
      <c r="O1768" t="e">
        <f t="shared" si="179"/>
        <v>#N/A</v>
      </c>
      <c r="P1768" t="e">
        <f t="shared" si="180"/>
        <v>#N/A</v>
      </c>
      <c r="Q1768" t="e">
        <f t="shared" si="181"/>
        <v>#N/A</v>
      </c>
      <c r="U1768">
        <f>C1768/Navio!$J$4</f>
        <v>19.651822915496968</v>
      </c>
    </row>
    <row r="1769" spans="1:21" x14ac:dyDescent="0.3">
      <c r="A1769">
        <v>1767</v>
      </c>
      <c r="B1769" s="47">
        <v>369.23411962411558</v>
      </c>
      <c r="C1769" s="46">
        <v>358.16362868556223</v>
      </c>
      <c r="D1769" s="1">
        <v>60</v>
      </c>
      <c r="E1769" s="1">
        <v>66</v>
      </c>
      <c r="F1769" s="1" t="s">
        <v>50</v>
      </c>
      <c r="G1769" s="1" t="s">
        <v>50</v>
      </c>
      <c r="H1769" s="1" t="s">
        <v>50</v>
      </c>
      <c r="I1769" s="1" t="s">
        <v>50</v>
      </c>
      <c r="J1769" s="1" t="s">
        <v>50</v>
      </c>
      <c r="K1769" s="1" t="s">
        <v>50</v>
      </c>
      <c r="L1769">
        <f t="shared" si="177"/>
        <v>56.282984138412765</v>
      </c>
      <c r="M1769">
        <f t="shared" si="176"/>
        <v>312.95113548570282</v>
      </c>
      <c r="N1769" t="e">
        <f t="shared" si="178"/>
        <v>#N/A</v>
      </c>
      <c r="O1769" t="e">
        <f t="shared" si="179"/>
        <v>#N/A</v>
      </c>
      <c r="P1769" t="e">
        <f t="shared" si="180"/>
        <v>#N/A</v>
      </c>
      <c r="Q1769" t="e">
        <f t="shared" si="181"/>
        <v>#N/A</v>
      </c>
      <c r="U1769">
        <f>C1769/Navio!$J$4</f>
        <v>19.339305513739223</v>
      </c>
    </row>
    <row r="1770" spans="1:21" x14ac:dyDescent="0.3">
      <c r="A1770">
        <v>1768</v>
      </c>
      <c r="B1770" s="47">
        <v>289.53221689545654</v>
      </c>
      <c r="C1770" s="46">
        <v>358.93337342882819</v>
      </c>
      <c r="D1770" s="1">
        <v>60</v>
      </c>
      <c r="E1770" s="1">
        <v>67</v>
      </c>
      <c r="F1770" s="1" t="s">
        <v>50</v>
      </c>
      <c r="G1770" s="1" t="s">
        <v>50</v>
      </c>
      <c r="H1770" s="1" t="s">
        <v>50</v>
      </c>
      <c r="I1770" s="1" t="s">
        <v>50</v>
      </c>
      <c r="J1770" s="1" t="s">
        <v>50</v>
      </c>
      <c r="K1770" s="1" t="s">
        <v>50</v>
      </c>
      <c r="L1770">
        <f t="shared" si="177"/>
        <v>56.282984138412765</v>
      </c>
      <c r="M1770">
        <f t="shared" si="176"/>
        <v>233.24923275704379</v>
      </c>
      <c r="N1770" t="e">
        <f t="shared" si="178"/>
        <v>#N/A</v>
      </c>
      <c r="O1770" t="e">
        <f t="shared" si="179"/>
        <v>#N/A</v>
      </c>
      <c r="P1770" t="e">
        <f t="shared" si="180"/>
        <v>#N/A</v>
      </c>
      <c r="Q1770" t="e">
        <f t="shared" si="181"/>
        <v>#N/A</v>
      </c>
      <c r="U1770">
        <f>C1770/Navio!$J$4</f>
        <v>19.380868440751794</v>
      </c>
    </row>
    <row r="1771" spans="1:21" x14ac:dyDescent="0.3">
      <c r="A1771">
        <v>1769</v>
      </c>
      <c r="B1771" s="47">
        <v>410.9362656669739</v>
      </c>
      <c r="C1771" s="46">
        <v>378.43250361182368</v>
      </c>
      <c r="D1771" s="1">
        <v>60</v>
      </c>
      <c r="E1771" s="1">
        <v>68</v>
      </c>
      <c r="F1771" s="1" t="s">
        <v>50</v>
      </c>
      <c r="G1771" s="1" t="s">
        <v>50</v>
      </c>
      <c r="H1771" s="1" t="s">
        <v>50</v>
      </c>
      <c r="I1771" s="1" t="s">
        <v>50</v>
      </c>
      <c r="J1771" s="1" t="s">
        <v>50</v>
      </c>
      <c r="K1771" s="1" t="s">
        <v>50</v>
      </c>
      <c r="L1771">
        <f t="shared" si="177"/>
        <v>56.282984138412765</v>
      </c>
      <c r="M1771">
        <f t="shared" si="176"/>
        <v>354.65328152856114</v>
      </c>
      <c r="N1771" t="e">
        <f t="shared" si="178"/>
        <v>#N/A</v>
      </c>
      <c r="O1771" t="e">
        <f t="shared" si="179"/>
        <v>#N/A</v>
      </c>
      <c r="P1771" t="e">
        <f t="shared" si="180"/>
        <v>#N/A</v>
      </c>
      <c r="Q1771" t="e">
        <f t="shared" si="181"/>
        <v>#N/A</v>
      </c>
      <c r="U1771">
        <f>C1771/Navio!$J$4</f>
        <v>20.433738150736183</v>
      </c>
    </row>
    <row r="1772" spans="1:21" x14ac:dyDescent="0.3">
      <c r="A1772">
        <v>1770</v>
      </c>
      <c r="B1772" s="47">
        <v>381.25966779095324</v>
      </c>
      <c r="C1772" s="46">
        <v>377.02331705536301</v>
      </c>
      <c r="D1772" s="1">
        <v>60</v>
      </c>
      <c r="E1772" s="1">
        <v>69</v>
      </c>
      <c r="F1772" s="1" t="s">
        <v>50</v>
      </c>
      <c r="G1772" s="1" t="s">
        <v>50</v>
      </c>
      <c r="H1772" s="1" t="s">
        <v>50</v>
      </c>
      <c r="I1772" s="1" t="s">
        <v>50</v>
      </c>
      <c r="J1772" s="1" t="s">
        <v>50</v>
      </c>
      <c r="K1772" s="1" t="s">
        <v>50</v>
      </c>
      <c r="L1772">
        <f t="shared" si="177"/>
        <v>56.282984138412765</v>
      </c>
      <c r="M1772">
        <f t="shared" si="176"/>
        <v>324.97668365254049</v>
      </c>
      <c r="N1772" t="e">
        <f t="shared" si="178"/>
        <v>#N/A</v>
      </c>
      <c r="O1772" t="e">
        <f t="shared" si="179"/>
        <v>#N/A</v>
      </c>
      <c r="P1772" t="e">
        <f t="shared" si="180"/>
        <v>#N/A</v>
      </c>
      <c r="Q1772" t="e">
        <f t="shared" si="181"/>
        <v>#N/A</v>
      </c>
      <c r="U1772">
        <f>C1772/Navio!$J$4</f>
        <v>20.357648098149706</v>
      </c>
    </row>
    <row r="1773" spans="1:21" x14ac:dyDescent="0.3">
      <c r="A1773">
        <v>1771</v>
      </c>
      <c r="B1773" s="47">
        <v>292.78610242191667</v>
      </c>
      <c r="C1773" s="46">
        <v>380.62878521301059</v>
      </c>
      <c r="D1773" s="1">
        <v>60</v>
      </c>
      <c r="E1773" s="1">
        <v>70</v>
      </c>
      <c r="F1773" s="1" t="s">
        <v>50</v>
      </c>
      <c r="G1773" s="1" t="s">
        <v>50</v>
      </c>
      <c r="H1773" s="1" t="s">
        <v>50</v>
      </c>
      <c r="I1773" s="1" t="s">
        <v>50</v>
      </c>
      <c r="J1773" s="1" t="s">
        <v>50</v>
      </c>
      <c r="K1773" s="1" t="s">
        <v>50</v>
      </c>
      <c r="L1773">
        <f t="shared" si="177"/>
        <v>56.282984138412765</v>
      </c>
      <c r="M1773">
        <f t="shared" si="176"/>
        <v>473.00623656700782</v>
      </c>
      <c r="N1773" t="e">
        <f t="shared" si="178"/>
        <v>#N/A</v>
      </c>
      <c r="O1773" t="e">
        <f t="shared" si="179"/>
        <v>#N/A</v>
      </c>
      <c r="P1773" t="e">
        <f t="shared" si="180"/>
        <v>#N/A</v>
      </c>
      <c r="Q1773" t="e">
        <f t="shared" si="181"/>
        <v>#N/A</v>
      </c>
      <c r="U1773">
        <f>C1773/Navio!$J$4</f>
        <v>20.552327972476142</v>
      </c>
    </row>
    <row r="1774" spans="1:21" x14ac:dyDescent="0.3">
      <c r="A1774">
        <v>1772</v>
      </c>
      <c r="B1774" s="47">
        <v>292.78610242191667</v>
      </c>
      <c r="C1774" s="46">
        <v>382.47033382834843</v>
      </c>
      <c r="D1774" s="1">
        <v>60</v>
      </c>
      <c r="E1774" s="1">
        <v>71</v>
      </c>
      <c r="F1774" s="1" t="s">
        <v>50</v>
      </c>
      <c r="G1774" s="1" t="s">
        <v>50</v>
      </c>
      <c r="H1774" s="1" t="s">
        <v>50</v>
      </c>
      <c r="I1774" s="1" t="s">
        <v>50</v>
      </c>
      <c r="J1774" s="1" t="s">
        <v>50</v>
      </c>
      <c r="K1774" s="1" t="s">
        <v>50</v>
      </c>
      <c r="L1774">
        <f t="shared" si="177"/>
        <v>56.282984138412765</v>
      </c>
      <c r="M1774">
        <f t="shared" si="176"/>
        <v>473.00623656700782</v>
      </c>
      <c r="N1774" t="e">
        <f t="shared" si="178"/>
        <v>#N/A</v>
      </c>
      <c r="O1774" t="e">
        <f t="shared" si="179"/>
        <v>#N/A</v>
      </c>
      <c r="P1774" t="e">
        <f t="shared" si="180"/>
        <v>#N/A</v>
      </c>
      <c r="Q1774" t="e">
        <f t="shared" si="181"/>
        <v>#N/A</v>
      </c>
      <c r="U1774">
        <f>C1774/Navio!$J$4</f>
        <v>20.651763728756375</v>
      </c>
    </row>
    <row r="1775" spans="1:21" x14ac:dyDescent="0.3">
      <c r="A1775">
        <v>1773</v>
      </c>
      <c r="B1775" s="47">
        <v>642.77615497874058</v>
      </c>
      <c r="C1775" s="46">
        <v>360.40912741864179</v>
      </c>
      <c r="D1775" s="1">
        <v>62</v>
      </c>
      <c r="E1775" s="1">
        <v>63</v>
      </c>
      <c r="F1775" s="1" t="s">
        <v>50</v>
      </c>
      <c r="G1775" s="1" t="s">
        <v>50</v>
      </c>
      <c r="H1775" s="1" t="s">
        <v>50</v>
      </c>
      <c r="I1775" s="1" t="s">
        <v>50</v>
      </c>
      <c r="J1775" s="1" t="s">
        <v>50</v>
      </c>
      <c r="K1775" s="1" t="s">
        <v>50</v>
      </c>
      <c r="L1775">
        <f t="shared" si="177"/>
        <v>406.27303669523673</v>
      </c>
      <c r="M1775">
        <f t="shared" si="176"/>
        <v>473.00623656700782</v>
      </c>
      <c r="N1775" t="e">
        <f t="shared" si="178"/>
        <v>#N/A</v>
      </c>
      <c r="O1775" t="e">
        <f t="shared" si="179"/>
        <v>#N/A</v>
      </c>
      <c r="P1775" t="e">
        <f t="shared" si="180"/>
        <v>#N/A</v>
      </c>
      <c r="Q1775" t="e">
        <f t="shared" si="181"/>
        <v>#N/A</v>
      </c>
      <c r="U1775">
        <f>C1775/Navio!$J$4</f>
        <v>19.460552850296295</v>
      </c>
    </row>
    <row r="1776" spans="1:21" x14ac:dyDescent="0.3">
      <c r="A1776">
        <v>1774</v>
      </c>
      <c r="B1776" s="47">
        <v>642.77615497874058</v>
      </c>
      <c r="C1776" s="46">
        <v>356.96344310786537</v>
      </c>
      <c r="D1776" s="1">
        <v>62</v>
      </c>
      <c r="E1776" s="1">
        <v>64</v>
      </c>
      <c r="F1776" s="1" t="s">
        <v>50</v>
      </c>
      <c r="G1776" s="1" t="s">
        <v>50</v>
      </c>
      <c r="H1776" s="1" t="s">
        <v>50</v>
      </c>
      <c r="I1776" s="1" t="s">
        <v>50</v>
      </c>
      <c r="J1776" s="1" t="s">
        <v>50</v>
      </c>
      <c r="K1776" s="1" t="s">
        <v>50</v>
      </c>
      <c r="L1776">
        <f t="shared" si="177"/>
        <v>406.27303669523673</v>
      </c>
      <c r="M1776">
        <f t="shared" si="176"/>
        <v>473.00623656700782</v>
      </c>
      <c r="N1776" t="e">
        <f t="shared" si="178"/>
        <v>#N/A</v>
      </c>
      <c r="O1776" t="e">
        <f t="shared" si="179"/>
        <v>#N/A</v>
      </c>
      <c r="P1776" t="e">
        <f t="shared" si="180"/>
        <v>#N/A</v>
      </c>
      <c r="Q1776" t="e">
        <f t="shared" si="181"/>
        <v>#N/A</v>
      </c>
      <c r="U1776">
        <f>C1776/Navio!$J$4</f>
        <v>19.274500620943591</v>
      </c>
    </row>
    <row r="1777" spans="1:21" x14ac:dyDescent="0.3">
      <c r="A1777">
        <v>1775</v>
      </c>
      <c r="B1777" s="47">
        <v>642.77615497874058</v>
      </c>
      <c r="C1777" s="46">
        <v>359.92318794723826</v>
      </c>
      <c r="D1777" s="1">
        <v>62</v>
      </c>
      <c r="E1777" s="1">
        <v>65</v>
      </c>
      <c r="F1777" s="1" t="s">
        <v>50</v>
      </c>
      <c r="G1777" s="1" t="s">
        <v>50</v>
      </c>
      <c r="H1777" s="1" t="s">
        <v>50</v>
      </c>
      <c r="I1777" s="1" t="s">
        <v>50</v>
      </c>
      <c r="J1777" s="1" t="s">
        <v>50</v>
      </c>
      <c r="K1777" s="1" t="s">
        <v>50</v>
      </c>
      <c r="L1777">
        <f t="shared" si="177"/>
        <v>406.27303669523673</v>
      </c>
      <c r="M1777">
        <f t="shared" si="176"/>
        <v>473.00623656700782</v>
      </c>
      <c r="N1777" t="e">
        <f t="shared" si="178"/>
        <v>#N/A</v>
      </c>
      <c r="O1777" t="e">
        <f t="shared" si="179"/>
        <v>#N/A</v>
      </c>
      <c r="P1777" t="e">
        <f t="shared" si="180"/>
        <v>#N/A</v>
      </c>
      <c r="Q1777" t="e">
        <f t="shared" si="181"/>
        <v>#N/A</v>
      </c>
      <c r="U1777">
        <f>C1777/Navio!$J$4</f>
        <v>19.434314195262708</v>
      </c>
    </row>
    <row r="1778" spans="1:21" x14ac:dyDescent="0.3">
      <c r="A1778">
        <v>1776</v>
      </c>
      <c r="B1778" s="47">
        <v>719.2241721809396</v>
      </c>
      <c r="C1778" s="46">
        <v>369.29096353810235</v>
      </c>
      <c r="D1778" s="1">
        <v>62</v>
      </c>
      <c r="E1778" s="1">
        <v>66</v>
      </c>
      <c r="F1778" s="1" t="s">
        <v>50</v>
      </c>
      <c r="G1778" s="1" t="s">
        <v>50</v>
      </c>
      <c r="H1778" s="1" t="s">
        <v>50</v>
      </c>
      <c r="I1778" s="1" t="s">
        <v>50</v>
      </c>
      <c r="J1778" s="1" t="s">
        <v>50</v>
      </c>
      <c r="K1778" s="1" t="s">
        <v>50</v>
      </c>
      <c r="L1778">
        <f t="shared" si="177"/>
        <v>406.27303669523673</v>
      </c>
      <c r="M1778">
        <f t="shared" si="176"/>
        <v>312.95113548570282</v>
      </c>
      <c r="N1778" t="e">
        <f t="shared" si="178"/>
        <v>#N/A</v>
      </c>
      <c r="O1778" t="e">
        <f t="shared" si="179"/>
        <v>#N/A</v>
      </c>
      <c r="P1778" t="e">
        <f t="shared" si="180"/>
        <v>#N/A</v>
      </c>
      <c r="Q1778" t="e">
        <f t="shared" si="181"/>
        <v>#N/A</v>
      </c>
      <c r="U1778">
        <f>C1778/Navio!$J$4</f>
        <v>19.940134048609455</v>
      </c>
    </row>
    <row r="1779" spans="1:21" x14ac:dyDescent="0.3">
      <c r="A1779">
        <v>1777</v>
      </c>
      <c r="B1779" s="47">
        <v>639.52226945228051</v>
      </c>
      <c r="C1779" s="46">
        <v>370.81690474281788</v>
      </c>
      <c r="D1779" s="1">
        <v>62</v>
      </c>
      <c r="E1779" s="1">
        <v>67</v>
      </c>
      <c r="F1779" s="1" t="s">
        <v>50</v>
      </c>
      <c r="G1779" s="1" t="s">
        <v>50</v>
      </c>
      <c r="H1779" s="1" t="s">
        <v>50</v>
      </c>
      <c r="I1779" s="1" t="s">
        <v>50</v>
      </c>
      <c r="J1779" s="1" t="s">
        <v>50</v>
      </c>
      <c r="K1779" s="1" t="s">
        <v>50</v>
      </c>
      <c r="L1779">
        <f t="shared" si="177"/>
        <v>406.27303669523673</v>
      </c>
      <c r="M1779">
        <f t="shared" si="176"/>
        <v>233.24923275704379</v>
      </c>
      <c r="N1779" t="e">
        <f t="shared" si="178"/>
        <v>#N/A</v>
      </c>
      <c r="O1779" t="e">
        <f t="shared" si="179"/>
        <v>#N/A</v>
      </c>
      <c r="P1779" t="e">
        <f t="shared" si="180"/>
        <v>#N/A</v>
      </c>
      <c r="Q1779" t="e">
        <f t="shared" si="181"/>
        <v>#N/A</v>
      </c>
      <c r="U1779">
        <f>C1779/Navio!$J$4</f>
        <v>20.022528353308399</v>
      </c>
    </row>
    <row r="1780" spans="1:21" x14ac:dyDescent="0.3">
      <c r="A1780">
        <v>1778</v>
      </c>
      <c r="B1780" s="47">
        <v>760.92631822379781</v>
      </c>
      <c r="C1780" s="46">
        <v>372.89788804984642</v>
      </c>
      <c r="D1780" s="1">
        <v>62</v>
      </c>
      <c r="E1780" s="1">
        <v>68</v>
      </c>
      <c r="F1780" s="1" t="s">
        <v>50</v>
      </c>
      <c r="G1780" s="1" t="s">
        <v>50</v>
      </c>
      <c r="H1780" s="1" t="s">
        <v>50</v>
      </c>
      <c r="I1780" s="1" t="s">
        <v>50</v>
      </c>
      <c r="J1780" s="1" t="s">
        <v>50</v>
      </c>
      <c r="K1780" s="1" t="s">
        <v>50</v>
      </c>
      <c r="L1780">
        <f t="shared" si="177"/>
        <v>406.27303669523673</v>
      </c>
      <c r="M1780">
        <f t="shared" si="176"/>
        <v>354.65328152856114</v>
      </c>
      <c r="N1780" t="e">
        <f t="shared" si="178"/>
        <v>#N/A</v>
      </c>
      <c r="O1780" t="e">
        <f t="shared" si="179"/>
        <v>#N/A</v>
      </c>
      <c r="P1780" t="e">
        <f t="shared" si="180"/>
        <v>#N/A</v>
      </c>
      <c r="Q1780" t="e">
        <f t="shared" si="181"/>
        <v>#N/A</v>
      </c>
      <c r="U1780">
        <f>C1780/Navio!$J$4</f>
        <v>20.134892559834089</v>
      </c>
    </row>
    <row r="1781" spans="1:21" x14ac:dyDescent="0.3">
      <c r="A1781">
        <v>1779</v>
      </c>
      <c r="B1781" s="47">
        <v>731.24972034777716</v>
      </c>
      <c r="C1781" s="46">
        <v>383.93005832275128</v>
      </c>
      <c r="D1781" s="1">
        <v>62</v>
      </c>
      <c r="E1781" s="1">
        <v>69</v>
      </c>
      <c r="F1781" s="1" t="s">
        <v>50</v>
      </c>
      <c r="G1781" s="1" t="s">
        <v>50</v>
      </c>
      <c r="H1781" s="1" t="s">
        <v>50</v>
      </c>
      <c r="I1781" s="1" t="s">
        <v>50</v>
      </c>
      <c r="J1781" s="1" t="s">
        <v>50</v>
      </c>
      <c r="K1781" s="1" t="s">
        <v>50</v>
      </c>
      <c r="L1781">
        <f t="shared" si="177"/>
        <v>406.27303669523673</v>
      </c>
      <c r="M1781">
        <f t="shared" si="176"/>
        <v>324.97668365254049</v>
      </c>
      <c r="N1781" t="e">
        <f t="shared" si="178"/>
        <v>#N/A</v>
      </c>
      <c r="O1781" t="e">
        <f t="shared" si="179"/>
        <v>#N/A</v>
      </c>
      <c r="P1781" t="e">
        <f t="shared" si="180"/>
        <v>#N/A</v>
      </c>
      <c r="Q1781" t="e">
        <f t="shared" si="181"/>
        <v>#N/A</v>
      </c>
      <c r="U1781">
        <f>C1781/Navio!$J$4</f>
        <v>20.730582614042824</v>
      </c>
    </row>
    <row r="1782" spans="1:21" x14ac:dyDescent="0.3">
      <c r="A1782">
        <v>1780</v>
      </c>
      <c r="B1782" s="47">
        <v>642.77615497874058</v>
      </c>
      <c r="C1782" s="46">
        <v>384.26596663602027</v>
      </c>
      <c r="D1782" s="1">
        <v>62</v>
      </c>
      <c r="E1782" s="1">
        <v>70</v>
      </c>
      <c r="F1782" s="1" t="s">
        <v>50</v>
      </c>
      <c r="G1782" s="1" t="s">
        <v>50</v>
      </c>
      <c r="H1782" s="1" t="s">
        <v>50</v>
      </c>
      <c r="I1782" s="1" t="s">
        <v>50</v>
      </c>
      <c r="J1782" s="1" t="s">
        <v>50</v>
      </c>
      <c r="K1782" s="1" t="s">
        <v>50</v>
      </c>
      <c r="L1782">
        <f t="shared" si="177"/>
        <v>406.27303669523673</v>
      </c>
      <c r="M1782">
        <f t="shared" si="176"/>
        <v>473.00623656700782</v>
      </c>
      <c r="N1782" t="e">
        <f t="shared" si="178"/>
        <v>#N/A</v>
      </c>
      <c r="O1782" t="e">
        <f t="shared" si="179"/>
        <v>#N/A</v>
      </c>
      <c r="P1782" t="e">
        <f t="shared" si="180"/>
        <v>#N/A</v>
      </c>
      <c r="Q1782" t="e">
        <f t="shared" si="181"/>
        <v>#N/A</v>
      </c>
      <c r="U1782">
        <f>C1782/Navio!$J$4</f>
        <v>20.74872022762116</v>
      </c>
    </row>
    <row r="1783" spans="1:21" x14ac:dyDescent="0.3">
      <c r="A1783">
        <v>1781</v>
      </c>
      <c r="B1783" s="47">
        <v>642.77615497874058</v>
      </c>
      <c r="C1783" s="46">
        <v>387.43342895459989</v>
      </c>
      <c r="D1783" s="1">
        <v>62</v>
      </c>
      <c r="E1783" s="1">
        <v>71</v>
      </c>
      <c r="F1783" s="1" t="s">
        <v>50</v>
      </c>
      <c r="G1783" s="1" t="s">
        <v>50</v>
      </c>
      <c r="H1783" s="1" t="s">
        <v>50</v>
      </c>
      <c r="I1783" s="1" t="s">
        <v>50</v>
      </c>
      <c r="J1783" s="1" t="s">
        <v>50</v>
      </c>
      <c r="K1783" s="1" t="s">
        <v>50</v>
      </c>
      <c r="L1783">
        <f t="shared" si="177"/>
        <v>406.27303669523673</v>
      </c>
      <c r="M1783">
        <f t="shared" si="176"/>
        <v>473.00623656700782</v>
      </c>
      <c r="N1783" t="e">
        <f t="shared" si="178"/>
        <v>#N/A</v>
      </c>
      <c r="O1783" t="e">
        <f t="shared" si="179"/>
        <v>#N/A</v>
      </c>
      <c r="P1783" t="e">
        <f t="shared" si="180"/>
        <v>#N/A</v>
      </c>
      <c r="Q1783" t="e">
        <f t="shared" si="181"/>
        <v>#N/A</v>
      </c>
      <c r="U1783">
        <f>C1783/Navio!$J$4</f>
        <v>20.919749658239439</v>
      </c>
    </row>
    <row r="1784" spans="1:21" x14ac:dyDescent="0.3">
      <c r="A1784">
        <v>1782</v>
      </c>
      <c r="B1784" s="47">
        <v>473.00623656700782</v>
      </c>
      <c r="C1784" s="46">
        <v>363.89995089334593</v>
      </c>
      <c r="D1784" s="1">
        <v>63</v>
      </c>
      <c r="E1784" s="1">
        <v>64</v>
      </c>
      <c r="F1784" s="1" t="s">
        <v>50</v>
      </c>
      <c r="G1784" s="1" t="s">
        <v>50</v>
      </c>
      <c r="H1784" s="1" t="s">
        <v>50</v>
      </c>
      <c r="I1784" s="1" t="s">
        <v>50</v>
      </c>
      <c r="J1784" s="1" t="s">
        <v>50</v>
      </c>
      <c r="K1784" s="1" t="s">
        <v>50</v>
      </c>
      <c r="L1784">
        <f t="shared" si="177"/>
        <v>473.00623656700782</v>
      </c>
      <c r="M1784">
        <f t="shared" si="176"/>
        <v>473.00623656700782</v>
      </c>
      <c r="N1784" t="e">
        <f t="shared" si="178"/>
        <v>#N/A</v>
      </c>
      <c r="O1784" t="e">
        <f t="shared" si="179"/>
        <v>#N/A</v>
      </c>
      <c r="P1784" t="e">
        <f t="shared" si="180"/>
        <v>#N/A</v>
      </c>
      <c r="Q1784" t="e">
        <f t="shared" si="181"/>
        <v>#N/A</v>
      </c>
      <c r="U1784">
        <f>C1784/Navio!$J$4</f>
        <v>19.649042401621184</v>
      </c>
    </row>
    <row r="1785" spans="1:21" x14ac:dyDescent="0.3">
      <c r="A1785">
        <v>1783</v>
      </c>
      <c r="B1785" s="47">
        <v>473.00623656700782</v>
      </c>
      <c r="C1785" s="46">
        <v>365.18028837591362</v>
      </c>
      <c r="D1785" s="1">
        <v>63</v>
      </c>
      <c r="E1785" s="1">
        <v>65</v>
      </c>
      <c r="F1785" s="1" t="s">
        <v>50</v>
      </c>
      <c r="G1785" s="1" t="s">
        <v>50</v>
      </c>
      <c r="H1785" s="1" t="s">
        <v>50</v>
      </c>
      <c r="I1785" s="1" t="s">
        <v>50</v>
      </c>
      <c r="J1785" s="1" t="s">
        <v>50</v>
      </c>
      <c r="K1785" s="1" t="s">
        <v>50</v>
      </c>
      <c r="L1785">
        <f t="shared" si="177"/>
        <v>473.00623656700782</v>
      </c>
      <c r="M1785">
        <f t="shared" si="176"/>
        <v>473.00623656700782</v>
      </c>
      <c r="N1785" t="e">
        <f t="shared" si="178"/>
        <v>#N/A</v>
      </c>
      <c r="O1785" t="e">
        <f t="shared" si="179"/>
        <v>#N/A</v>
      </c>
      <c r="P1785" t="e">
        <f t="shared" si="180"/>
        <v>#N/A</v>
      </c>
      <c r="Q1785" t="e">
        <f t="shared" si="181"/>
        <v>#N/A</v>
      </c>
      <c r="U1785">
        <f>C1785/Navio!$J$4</f>
        <v>19.718175154790284</v>
      </c>
    </row>
    <row r="1786" spans="1:21" x14ac:dyDescent="0.3">
      <c r="A1786">
        <v>1784</v>
      </c>
      <c r="B1786" s="47">
        <v>549.45425376920673</v>
      </c>
      <c r="C1786" s="46">
        <v>361.53505420869158</v>
      </c>
      <c r="D1786" s="1">
        <v>63</v>
      </c>
      <c r="E1786" s="1">
        <v>66</v>
      </c>
      <c r="F1786" s="1" t="s">
        <v>50</v>
      </c>
      <c r="G1786" s="1" t="s">
        <v>50</v>
      </c>
      <c r="H1786" s="1" t="s">
        <v>50</v>
      </c>
      <c r="I1786" s="1" t="s">
        <v>50</v>
      </c>
      <c r="J1786" s="1" t="s">
        <v>50</v>
      </c>
      <c r="K1786" s="1" t="s">
        <v>50</v>
      </c>
      <c r="L1786">
        <f t="shared" si="177"/>
        <v>473.00623656700782</v>
      </c>
      <c r="M1786">
        <f t="shared" si="176"/>
        <v>312.95113548570282</v>
      </c>
      <c r="N1786" t="e">
        <f t="shared" si="178"/>
        <v>#N/A</v>
      </c>
      <c r="O1786" t="e">
        <f t="shared" si="179"/>
        <v>#N/A</v>
      </c>
      <c r="P1786" t="e">
        <f t="shared" si="180"/>
        <v>#N/A</v>
      </c>
      <c r="Q1786" t="e">
        <f t="shared" si="181"/>
        <v>#N/A</v>
      </c>
      <c r="U1786">
        <f>C1786/Navio!$J$4</f>
        <v>19.521348085867221</v>
      </c>
    </row>
    <row r="1787" spans="1:21" x14ac:dyDescent="0.3">
      <c r="A1787">
        <v>1785</v>
      </c>
      <c r="B1787" s="47">
        <v>469.75235104054769</v>
      </c>
      <c r="C1787" s="46">
        <v>363.02832107666154</v>
      </c>
      <c r="D1787" s="1">
        <v>63</v>
      </c>
      <c r="E1787" s="1">
        <v>67</v>
      </c>
      <c r="F1787" s="1" t="s">
        <v>50</v>
      </c>
      <c r="G1787" s="1" t="s">
        <v>50</v>
      </c>
      <c r="H1787" s="1" t="s">
        <v>50</v>
      </c>
      <c r="I1787" s="1" t="s">
        <v>50</v>
      </c>
      <c r="J1787" s="1" t="s">
        <v>50</v>
      </c>
      <c r="K1787" s="1" t="s">
        <v>50</v>
      </c>
      <c r="L1787">
        <f t="shared" si="177"/>
        <v>473.00623656700782</v>
      </c>
      <c r="M1787">
        <f t="shared" si="176"/>
        <v>233.24923275704379</v>
      </c>
      <c r="N1787" t="e">
        <f t="shared" si="178"/>
        <v>#N/A</v>
      </c>
      <c r="O1787" t="e">
        <f t="shared" si="179"/>
        <v>#N/A</v>
      </c>
      <c r="P1787" t="e">
        <f t="shared" si="180"/>
        <v>#N/A</v>
      </c>
      <c r="Q1787" t="e">
        <f t="shared" si="181"/>
        <v>#N/A</v>
      </c>
      <c r="U1787">
        <f>C1787/Navio!$J$4</f>
        <v>19.601978115999536</v>
      </c>
    </row>
    <row r="1788" spans="1:21" x14ac:dyDescent="0.3">
      <c r="A1788">
        <v>1786</v>
      </c>
      <c r="B1788" s="47">
        <v>591.15639981206505</v>
      </c>
      <c r="C1788" s="46">
        <v>379.37359474315514</v>
      </c>
      <c r="D1788" s="1">
        <v>63</v>
      </c>
      <c r="E1788" s="1">
        <v>68</v>
      </c>
      <c r="F1788" s="1" t="s">
        <v>50</v>
      </c>
      <c r="G1788" s="1" t="s">
        <v>50</v>
      </c>
      <c r="H1788" s="1" t="s">
        <v>50</v>
      </c>
      <c r="I1788" s="1" t="s">
        <v>50</v>
      </c>
      <c r="J1788" s="1" t="s">
        <v>50</v>
      </c>
      <c r="K1788" s="1" t="s">
        <v>50</v>
      </c>
      <c r="L1788">
        <f t="shared" si="177"/>
        <v>473.00623656700782</v>
      </c>
      <c r="M1788">
        <f t="shared" si="176"/>
        <v>354.65328152856114</v>
      </c>
      <c r="N1788" t="e">
        <f t="shared" si="178"/>
        <v>#N/A</v>
      </c>
      <c r="O1788" t="e">
        <f t="shared" si="179"/>
        <v>#N/A</v>
      </c>
      <c r="P1788" t="e">
        <f t="shared" si="180"/>
        <v>#N/A</v>
      </c>
      <c r="Q1788" t="e">
        <f t="shared" si="181"/>
        <v>#N/A</v>
      </c>
      <c r="U1788">
        <f>C1788/Navio!$J$4</f>
        <v>20.484553050540168</v>
      </c>
    </row>
    <row r="1789" spans="1:21" x14ac:dyDescent="0.3">
      <c r="A1789">
        <v>1787</v>
      </c>
      <c r="B1789" s="47">
        <v>561.4798019360444</v>
      </c>
      <c r="C1789" s="46">
        <v>378.23537255194935</v>
      </c>
      <c r="D1789" s="1">
        <v>63</v>
      </c>
      <c r="E1789" s="1">
        <v>69</v>
      </c>
      <c r="F1789" s="1" t="s">
        <v>50</v>
      </c>
      <c r="G1789" s="1" t="s">
        <v>50</v>
      </c>
      <c r="H1789" s="1" t="s">
        <v>50</v>
      </c>
      <c r="I1789" s="1" t="s">
        <v>50</v>
      </c>
      <c r="J1789" s="1" t="s">
        <v>50</v>
      </c>
      <c r="K1789" s="1" t="s">
        <v>50</v>
      </c>
      <c r="L1789">
        <f t="shared" si="177"/>
        <v>473.00623656700782</v>
      </c>
      <c r="M1789">
        <f t="shared" si="176"/>
        <v>324.97668365254049</v>
      </c>
      <c r="N1789" t="e">
        <f t="shared" si="178"/>
        <v>#N/A</v>
      </c>
      <c r="O1789" t="e">
        <f t="shared" si="179"/>
        <v>#N/A</v>
      </c>
      <c r="P1789" t="e">
        <f t="shared" si="180"/>
        <v>#N/A</v>
      </c>
      <c r="Q1789" t="e">
        <f t="shared" si="181"/>
        <v>#N/A</v>
      </c>
      <c r="U1789">
        <f>C1789/Navio!$J$4</f>
        <v>20.42309391584514</v>
      </c>
    </row>
    <row r="1790" spans="1:21" x14ac:dyDescent="0.3">
      <c r="A1790">
        <v>1788</v>
      </c>
      <c r="B1790" s="47">
        <v>473.00623656700782</v>
      </c>
      <c r="C1790" s="46">
        <v>380.70784711749218</v>
      </c>
      <c r="D1790" s="1">
        <v>63</v>
      </c>
      <c r="E1790" s="1">
        <v>70</v>
      </c>
      <c r="F1790" s="1" t="s">
        <v>50</v>
      </c>
      <c r="G1790" s="1" t="s">
        <v>50</v>
      </c>
      <c r="H1790" s="1" t="s">
        <v>50</v>
      </c>
      <c r="I1790" s="1" t="s">
        <v>50</v>
      </c>
      <c r="J1790" s="1" t="s">
        <v>50</v>
      </c>
      <c r="K1790" s="1" t="s">
        <v>50</v>
      </c>
      <c r="L1790">
        <f t="shared" si="177"/>
        <v>473.00623656700782</v>
      </c>
      <c r="M1790">
        <f t="shared" si="176"/>
        <v>473.00623656700782</v>
      </c>
      <c r="N1790" t="e">
        <f t="shared" si="178"/>
        <v>#N/A</v>
      </c>
      <c r="O1790" t="e">
        <f t="shared" si="179"/>
        <v>#N/A</v>
      </c>
      <c r="P1790" t="e">
        <f t="shared" si="180"/>
        <v>#N/A</v>
      </c>
      <c r="Q1790" t="e">
        <f t="shared" si="181"/>
        <v>#N/A</v>
      </c>
      <c r="U1790">
        <f>C1790/Navio!$J$4</f>
        <v>20.556596977486166</v>
      </c>
    </row>
    <row r="1791" spans="1:21" x14ac:dyDescent="0.3">
      <c r="A1791">
        <v>1789</v>
      </c>
      <c r="B1791" s="47">
        <v>473.00623656700782</v>
      </c>
      <c r="C1791" s="46">
        <v>382.99862484849098</v>
      </c>
      <c r="D1791" s="1">
        <v>63</v>
      </c>
      <c r="E1791" s="1">
        <v>71</v>
      </c>
      <c r="F1791" s="1" t="s">
        <v>50</v>
      </c>
      <c r="G1791" s="1" t="s">
        <v>50</v>
      </c>
      <c r="H1791" s="1" t="s">
        <v>50</v>
      </c>
      <c r="I1791" s="1" t="s">
        <v>50</v>
      </c>
      <c r="J1791" s="1" t="s">
        <v>50</v>
      </c>
      <c r="K1791" s="1" t="s">
        <v>50</v>
      </c>
      <c r="L1791">
        <f t="shared" si="177"/>
        <v>473.00623656700782</v>
      </c>
      <c r="M1791">
        <f t="shared" si="176"/>
        <v>473.00623656700782</v>
      </c>
      <c r="N1791" t="e">
        <f t="shared" si="178"/>
        <v>#N/A</v>
      </c>
      <c r="O1791" t="e">
        <f t="shared" si="179"/>
        <v>#N/A</v>
      </c>
      <c r="P1791" t="e">
        <f t="shared" si="180"/>
        <v>#N/A</v>
      </c>
      <c r="Q1791" t="e">
        <f t="shared" si="181"/>
        <v>#N/A</v>
      </c>
      <c r="U1791">
        <f>C1791/Navio!$J$4</f>
        <v>20.680289186453454</v>
      </c>
    </row>
    <row r="1792" spans="1:21" x14ac:dyDescent="0.3">
      <c r="A1792">
        <v>1790</v>
      </c>
      <c r="B1792" s="47">
        <v>473.00623656700782</v>
      </c>
      <c r="C1792" s="46">
        <v>359.95537058572688</v>
      </c>
      <c r="D1792" s="1">
        <v>64</v>
      </c>
      <c r="E1792" s="1">
        <v>65</v>
      </c>
      <c r="F1792" s="1" t="s">
        <v>50</v>
      </c>
      <c r="G1792" s="1" t="s">
        <v>50</v>
      </c>
      <c r="H1792" s="1" t="s">
        <v>50</v>
      </c>
      <c r="I1792" s="1" t="s">
        <v>50</v>
      </c>
      <c r="J1792" s="1" t="s">
        <v>50</v>
      </c>
      <c r="K1792" s="1" t="s">
        <v>50</v>
      </c>
      <c r="L1792">
        <f t="shared" si="177"/>
        <v>473.00623656700782</v>
      </c>
      <c r="M1792">
        <f t="shared" si="176"/>
        <v>473.00623656700782</v>
      </c>
      <c r="N1792" t="e">
        <f t="shared" si="178"/>
        <v>#N/A</v>
      </c>
      <c r="O1792" t="e">
        <f t="shared" si="179"/>
        <v>#N/A</v>
      </c>
      <c r="P1792" t="e">
        <f t="shared" si="180"/>
        <v>#N/A</v>
      </c>
      <c r="Q1792" t="e">
        <f t="shared" si="181"/>
        <v>#N/A</v>
      </c>
      <c r="U1792">
        <f>C1792/Navio!$J$4</f>
        <v>19.436051920224493</v>
      </c>
    </row>
    <row r="1793" spans="1:21" x14ac:dyDescent="0.3">
      <c r="A1793">
        <v>1791</v>
      </c>
      <c r="B1793" s="47">
        <v>549.45425376920673</v>
      </c>
      <c r="C1793" s="46">
        <v>372.16688444316537</v>
      </c>
      <c r="D1793" s="1">
        <v>64</v>
      </c>
      <c r="E1793" s="1">
        <v>66</v>
      </c>
      <c r="F1793" s="1" t="s">
        <v>50</v>
      </c>
      <c r="G1793" s="1" t="s">
        <v>50</v>
      </c>
      <c r="H1793" s="1" t="s">
        <v>50</v>
      </c>
      <c r="I1793" s="1" t="s">
        <v>50</v>
      </c>
      <c r="J1793" s="1" t="s">
        <v>50</v>
      </c>
      <c r="K1793" s="1" t="s">
        <v>50</v>
      </c>
      <c r="L1793">
        <f t="shared" si="177"/>
        <v>473.00623656700782</v>
      </c>
      <c r="M1793">
        <f t="shared" si="176"/>
        <v>312.95113548570282</v>
      </c>
      <c r="N1793" t="e">
        <f t="shared" si="178"/>
        <v>#N/A</v>
      </c>
      <c r="O1793" t="e">
        <f t="shared" si="179"/>
        <v>#N/A</v>
      </c>
      <c r="P1793" t="e">
        <f t="shared" si="180"/>
        <v>#N/A</v>
      </c>
      <c r="Q1793" t="e">
        <f t="shared" si="181"/>
        <v>#N/A</v>
      </c>
      <c r="U1793">
        <f>C1793/Navio!$J$4</f>
        <v>20.095421488656005</v>
      </c>
    </row>
    <row r="1794" spans="1:21" x14ac:dyDescent="0.3">
      <c r="A1794">
        <v>1792</v>
      </c>
      <c r="B1794" s="47">
        <v>469.75235104054769</v>
      </c>
      <c r="C1794" s="46">
        <v>373.71624448785212</v>
      </c>
      <c r="D1794" s="1">
        <v>64</v>
      </c>
      <c r="E1794" s="1">
        <v>67</v>
      </c>
      <c r="F1794" s="1" t="s">
        <v>50</v>
      </c>
      <c r="G1794" s="1" t="s">
        <v>50</v>
      </c>
      <c r="H1794" s="1" t="s">
        <v>50</v>
      </c>
      <c r="I1794" s="1" t="s">
        <v>50</v>
      </c>
      <c r="J1794" s="1" t="s">
        <v>50</v>
      </c>
      <c r="K1794" s="1" t="s">
        <v>50</v>
      </c>
      <c r="L1794">
        <f t="shared" si="177"/>
        <v>473.00623656700782</v>
      </c>
      <c r="M1794">
        <f t="shared" si="176"/>
        <v>233.24923275704379</v>
      </c>
      <c r="N1794" t="e">
        <f t="shared" si="178"/>
        <v>#N/A</v>
      </c>
      <c r="O1794" t="e">
        <f t="shared" si="179"/>
        <v>#N/A</v>
      </c>
      <c r="P1794" t="e">
        <f t="shared" si="180"/>
        <v>#N/A</v>
      </c>
      <c r="Q1794" t="e">
        <f t="shared" si="181"/>
        <v>#N/A</v>
      </c>
      <c r="U1794">
        <f>C1794/Navio!$J$4</f>
        <v>20.179080310644551</v>
      </c>
    </row>
    <row r="1795" spans="1:21" x14ac:dyDescent="0.3">
      <c r="A1795">
        <v>1793</v>
      </c>
      <c r="B1795" s="47">
        <v>591.15639981206505</v>
      </c>
      <c r="C1795" s="46">
        <v>373.53888865208023</v>
      </c>
      <c r="D1795" s="1">
        <v>64</v>
      </c>
      <c r="E1795" s="1">
        <v>68</v>
      </c>
      <c r="F1795" s="1" t="s">
        <v>50</v>
      </c>
      <c r="G1795" s="1" t="s">
        <v>50</v>
      </c>
      <c r="H1795" s="1" t="s">
        <v>50</v>
      </c>
      <c r="I1795" s="1" t="s">
        <v>50</v>
      </c>
      <c r="J1795" s="1" t="s">
        <v>50</v>
      </c>
      <c r="K1795" s="1" t="s">
        <v>50</v>
      </c>
      <c r="L1795">
        <f t="shared" si="177"/>
        <v>473.00623656700782</v>
      </c>
      <c r="M1795">
        <f t="shared" ref="M1795:M1858" si="182">VLOOKUP(E1795,$Y$2:$Z$80,2)</f>
        <v>354.65328152856114</v>
      </c>
      <c r="N1795" t="e">
        <f t="shared" si="178"/>
        <v>#N/A</v>
      </c>
      <c r="O1795" t="e">
        <f t="shared" si="179"/>
        <v>#N/A</v>
      </c>
      <c r="P1795" t="e">
        <f t="shared" si="180"/>
        <v>#N/A</v>
      </c>
      <c r="Q1795" t="e">
        <f t="shared" si="181"/>
        <v>#N/A</v>
      </c>
      <c r="U1795">
        <f>C1795/Navio!$J$4</f>
        <v>20.169503853355394</v>
      </c>
    </row>
    <row r="1796" spans="1:21" x14ac:dyDescent="0.3">
      <c r="A1796">
        <v>1794</v>
      </c>
      <c r="B1796" s="47">
        <v>561.4798019360444</v>
      </c>
      <c r="C1796" s="46">
        <v>385.17173237246755</v>
      </c>
      <c r="D1796" s="1">
        <v>64</v>
      </c>
      <c r="E1796" s="1">
        <v>69</v>
      </c>
      <c r="F1796" s="1" t="s">
        <v>50</v>
      </c>
      <c r="G1796" s="1" t="s">
        <v>50</v>
      </c>
      <c r="H1796" s="1" t="s">
        <v>50</v>
      </c>
      <c r="I1796" s="1" t="s">
        <v>50</v>
      </c>
      <c r="J1796" s="1" t="s">
        <v>50</v>
      </c>
      <c r="K1796" s="1" t="s">
        <v>50</v>
      </c>
      <c r="L1796">
        <f t="shared" si="177"/>
        <v>473.00623656700782</v>
      </c>
      <c r="M1796">
        <f t="shared" si="182"/>
        <v>324.97668365254049</v>
      </c>
      <c r="N1796" t="e">
        <f t="shared" si="178"/>
        <v>#N/A</v>
      </c>
      <c r="O1796" t="e">
        <f t="shared" si="179"/>
        <v>#N/A</v>
      </c>
      <c r="P1796" t="e">
        <f t="shared" si="180"/>
        <v>#N/A</v>
      </c>
      <c r="Q1796" t="e">
        <f t="shared" si="181"/>
        <v>#N/A</v>
      </c>
      <c r="U1796">
        <f>C1796/Navio!$J$4</f>
        <v>20.79762770704702</v>
      </c>
    </row>
    <row r="1797" spans="1:21" x14ac:dyDescent="0.3">
      <c r="A1797">
        <v>1795</v>
      </c>
      <c r="B1797" s="47">
        <v>473.00623656700782</v>
      </c>
      <c r="C1797" s="46">
        <v>384.87684267874005</v>
      </c>
      <c r="D1797" s="1">
        <v>64</v>
      </c>
      <c r="E1797" s="1">
        <v>70</v>
      </c>
      <c r="F1797" s="1" t="s">
        <v>50</v>
      </c>
      <c r="G1797" s="1" t="s">
        <v>50</v>
      </c>
      <c r="H1797" s="1" t="s">
        <v>50</v>
      </c>
      <c r="I1797" s="1" t="s">
        <v>50</v>
      </c>
      <c r="J1797" s="1" t="s">
        <v>50</v>
      </c>
      <c r="K1797" s="1" t="s">
        <v>50</v>
      </c>
      <c r="L1797">
        <f t="shared" si="177"/>
        <v>473.00623656700782</v>
      </c>
      <c r="M1797">
        <f t="shared" si="182"/>
        <v>473.00623656700782</v>
      </c>
      <c r="N1797" t="e">
        <f t="shared" si="178"/>
        <v>#N/A</v>
      </c>
      <c r="O1797" t="e">
        <f t="shared" si="179"/>
        <v>#N/A</v>
      </c>
      <c r="P1797" t="e">
        <f t="shared" si="180"/>
        <v>#N/A</v>
      </c>
      <c r="Q1797" t="e">
        <f t="shared" si="181"/>
        <v>#N/A</v>
      </c>
      <c r="U1797">
        <f>C1797/Navio!$J$4</f>
        <v>20.781704923651123</v>
      </c>
    </row>
    <row r="1798" spans="1:21" x14ac:dyDescent="0.3">
      <c r="A1798">
        <v>1796</v>
      </c>
      <c r="B1798" s="47">
        <v>473.00623656700782</v>
      </c>
      <c r="C1798" s="46">
        <v>388.2115672488913</v>
      </c>
      <c r="D1798" s="1">
        <v>64</v>
      </c>
      <c r="E1798" s="1">
        <v>71</v>
      </c>
      <c r="F1798" s="1" t="s">
        <v>50</v>
      </c>
      <c r="G1798" s="1" t="s">
        <v>50</v>
      </c>
      <c r="H1798" s="1" t="s">
        <v>50</v>
      </c>
      <c r="I1798" s="1" t="s">
        <v>50</v>
      </c>
      <c r="J1798" s="1" t="s">
        <v>50</v>
      </c>
      <c r="K1798" s="1" t="s">
        <v>50</v>
      </c>
      <c r="L1798">
        <f t="shared" si="177"/>
        <v>473.00623656700782</v>
      </c>
      <c r="M1798">
        <f t="shared" si="182"/>
        <v>473.00623656700782</v>
      </c>
      <c r="N1798" t="e">
        <f t="shared" si="178"/>
        <v>#N/A</v>
      </c>
      <c r="O1798" t="e">
        <f t="shared" si="179"/>
        <v>#N/A</v>
      </c>
      <c r="P1798" t="e">
        <f t="shared" si="180"/>
        <v>#N/A</v>
      </c>
      <c r="Q1798" t="e">
        <f t="shared" si="181"/>
        <v>#N/A</v>
      </c>
      <c r="U1798">
        <f>C1798/Navio!$J$4</f>
        <v>20.961765801141691</v>
      </c>
    </row>
    <row r="1799" spans="1:21" x14ac:dyDescent="0.3">
      <c r="A1799">
        <v>1797</v>
      </c>
      <c r="B1799" s="47">
        <v>549.45425376920673</v>
      </c>
      <c r="C1799" s="46">
        <v>373.00739654218063</v>
      </c>
      <c r="D1799" s="1">
        <v>65</v>
      </c>
      <c r="E1799" s="1">
        <v>66</v>
      </c>
      <c r="F1799" s="1" t="s">
        <v>50</v>
      </c>
      <c r="G1799" s="1" t="s">
        <v>50</v>
      </c>
      <c r="H1799" s="1" t="s">
        <v>50</v>
      </c>
      <c r="I1799" s="1" t="s">
        <v>50</v>
      </c>
      <c r="J1799" s="1" t="s">
        <v>50</v>
      </c>
      <c r="K1799" s="1" t="s">
        <v>50</v>
      </c>
      <c r="L1799">
        <f t="shared" si="177"/>
        <v>473.00623656700782</v>
      </c>
      <c r="M1799">
        <f t="shared" si="182"/>
        <v>312.95113548570282</v>
      </c>
      <c r="N1799" t="e">
        <f t="shared" si="178"/>
        <v>#N/A</v>
      </c>
      <c r="O1799" t="e">
        <f t="shared" si="179"/>
        <v>#N/A</v>
      </c>
      <c r="P1799" t="e">
        <f t="shared" si="180"/>
        <v>#N/A</v>
      </c>
      <c r="Q1799" t="e">
        <f t="shared" si="181"/>
        <v>#N/A</v>
      </c>
      <c r="U1799">
        <f>C1799/Navio!$J$4</f>
        <v>20.140805550489709</v>
      </c>
    </row>
    <row r="1800" spans="1:21" x14ac:dyDescent="0.3">
      <c r="A1800">
        <v>1798</v>
      </c>
      <c r="B1800" s="47">
        <v>469.75235104054769</v>
      </c>
      <c r="C1800" s="46">
        <v>374.54476580191658</v>
      </c>
      <c r="D1800" s="1">
        <v>65</v>
      </c>
      <c r="E1800" s="1">
        <v>67</v>
      </c>
      <c r="F1800" s="1" t="s">
        <v>50</v>
      </c>
      <c r="G1800" s="1" t="s">
        <v>50</v>
      </c>
      <c r="H1800" s="1" t="s">
        <v>50</v>
      </c>
      <c r="I1800" s="1" t="s">
        <v>50</v>
      </c>
      <c r="J1800" s="1" t="s">
        <v>50</v>
      </c>
      <c r="K1800" s="1" t="s">
        <v>50</v>
      </c>
      <c r="L1800">
        <f t="shared" si="177"/>
        <v>473.00623656700782</v>
      </c>
      <c r="M1800">
        <f t="shared" si="182"/>
        <v>233.24923275704379</v>
      </c>
      <c r="N1800" t="e">
        <f t="shared" si="178"/>
        <v>#N/A</v>
      </c>
      <c r="O1800" t="e">
        <f t="shared" si="179"/>
        <v>#N/A</v>
      </c>
      <c r="P1800" t="e">
        <f t="shared" si="180"/>
        <v>#N/A</v>
      </c>
      <c r="Q1800" t="e">
        <f t="shared" si="181"/>
        <v>#N/A</v>
      </c>
      <c r="U1800">
        <f>C1800/Navio!$J$4</f>
        <v>20.223816921327607</v>
      </c>
    </row>
    <row r="1801" spans="1:21" x14ac:dyDescent="0.3">
      <c r="A1801">
        <v>1799</v>
      </c>
      <c r="B1801" s="47">
        <v>591.15639981206505</v>
      </c>
      <c r="C1801" s="46">
        <v>374.28743220919489</v>
      </c>
      <c r="D1801" s="1">
        <v>65</v>
      </c>
      <c r="E1801" s="1">
        <v>68</v>
      </c>
      <c r="F1801" s="1" t="s">
        <v>50</v>
      </c>
      <c r="G1801" s="1" t="s">
        <v>50</v>
      </c>
      <c r="H1801" s="1" t="s">
        <v>50</v>
      </c>
      <c r="I1801" s="1" t="s">
        <v>50</v>
      </c>
      <c r="J1801" s="1" t="s">
        <v>50</v>
      </c>
      <c r="K1801" s="1" t="s">
        <v>50</v>
      </c>
      <c r="L1801">
        <f t="shared" si="177"/>
        <v>473.00623656700782</v>
      </c>
      <c r="M1801">
        <f t="shared" si="182"/>
        <v>354.65328152856114</v>
      </c>
      <c r="N1801" t="e">
        <f t="shared" si="178"/>
        <v>#N/A</v>
      </c>
      <c r="O1801" t="e">
        <f t="shared" si="179"/>
        <v>#N/A</v>
      </c>
      <c r="P1801" t="e">
        <f t="shared" si="180"/>
        <v>#N/A</v>
      </c>
      <c r="Q1801" t="e">
        <f t="shared" si="181"/>
        <v>#N/A</v>
      </c>
      <c r="U1801">
        <f>C1801/Navio!$J$4</f>
        <v>20.209922006908585</v>
      </c>
    </row>
    <row r="1802" spans="1:21" x14ac:dyDescent="0.3">
      <c r="A1802">
        <v>1800</v>
      </c>
      <c r="B1802" s="47">
        <v>561.4798019360444</v>
      </c>
      <c r="C1802" s="46">
        <v>385.3127592395619</v>
      </c>
      <c r="D1802" s="1">
        <v>65</v>
      </c>
      <c r="E1802" s="1">
        <v>69</v>
      </c>
      <c r="F1802" s="1" t="s">
        <v>50</v>
      </c>
      <c r="G1802" s="1" t="s">
        <v>50</v>
      </c>
      <c r="H1802" s="1" t="s">
        <v>50</v>
      </c>
      <c r="I1802" s="1" t="s">
        <v>50</v>
      </c>
      <c r="J1802" s="1" t="s">
        <v>50</v>
      </c>
      <c r="K1802" s="1" t="s">
        <v>50</v>
      </c>
      <c r="L1802">
        <f t="shared" si="177"/>
        <v>473.00623656700782</v>
      </c>
      <c r="M1802">
        <f t="shared" si="182"/>
        <v>324.97668365254049</v>
      </c>
      <c r="N1802" t="e">
        <f t="shared" si="178"/>
        <v>#N/A</v>
      </c>
      <c r="O1802" t="e">
        <f t="shared" si="179"/>
        <v>#N/A</v>
      </c>
      <c r="P1802" t="e">
        <f t="shared" si="180"/>
        <v>#N/A</v>
      </c>
      <c r="Q1802" t="e">
        <f t="shared" si="181"/>
        <v>#N/A</v>
      </c>
      <c r="U1802">
        <f>C1802/Navio!$J$4</f>
        <v>20.80524255526149</v>
      </c>
    </row>
    <row r="1803" spans="1:21" x14ac:dyDescent="0.3">
      <c r="A1803">
        <v>1801</v>
      </c>
      <c r="B1803" s="47">
        <v>473.00623656700782</v>
      </c>
      <c r="C1803" s="46">
        <v>384.81441458339248</v>
      </c>
      <c r="D1803" s="1">
        <v>65</v>
      </c>
      <c r="E1803" s="1">
        <v>70</v>
      </c>
      <c r="F1803" s="1" t="s">
        <v>50</v>
      </c>
      <c r="G1803" s="1" t="s">
        <v>50</v>
      </c>
      <c r="H1803" s="1" t="s">
        <v>50</v>
      </c>
      <c r="I1803" s="1" t="s">
        <v>50</v>
      </c>
      <c r="J1803" s="1" t="s">
        <v>50</v>
      </c>
      <c r="K1803" s="1" t="s">
        <v>50</v>
      </c>
      <c r="L1803">
        <f t="shared" si="177"/>
        <v>473.00623656700782</v>
      </c>
      <c r="M1803">
        <f t="shared" si="182"/>
        <v>473.00623656700782</v>
      </c>
      <c r="N1803" t="e">
        <f t="shared" si="178"/>
        <v>#N/A</v>
      </c>
      <c r="O1803" t="e">
        <f t="shared" si="179"/>
        <v>#N/A</v>
      </c>
      <c r="P1803" t="e">
        <f t="shared" si="180"/>
        <v>#N/A</v>
      </c>
      <c r="Q1803" t="e">
        <f t="shared" si="181"/>
        <v>#N/A</v>
      </c>
      <c r="U1803">
        <f>C1803/Navio!$J$4</f>
        <v>20.778334073257973</v>
      </c>
    </row>
    <row r="1804" spans="1:21" x14ac:dyDescent="0.3">
      <c r="A1804">
        <v>1802</v>
      </c>
      <c r="B1804" s="47">
        <v>473.00623656700782</v>
      </c>
      <c r="C1804" s="46">
        <v>388.19338160789619</v>
      </c>
      <c r="D1804" s="1">
        <v>65</v>
      </c>
      <c r="E1804" s="1">
        <v>71</v>
      </c>
      <c r="F1804" s="1" t="s">
        <v>50</v>
      </c>
      <c r="G1804" s="1" t="s">
        <v>50</v>
      </c>
      <c r="H1804" s="1" t="s">
        <v>50</v>
      </c>
      <c r="I1804" s="1" t="s">
        <v>50</v>
      </c>
      <c r="J1804" s="1" t="s">
        <v>50</v>
      </c>
      <c r="K1804" s="1" t="s">
        <v>50</v>
      </c>
      <c r="L1804">
        <f t="shared" si="177"/>
        <v>473.00623656700782</v>
      </c>
      <c r="M1804">
        <f t="shared" si="182"/>
        <v>473.00623656700782</v>
      </c>
      <c r="N1804" t="e">
        <f t="shared" si="178"/>
        <v>#N/A</v>
      </c>
      <c r="O1804" t="e">
        <f t="shared" si="179"/>
        <v>#N/A</v>
      </c>
      <c r="P1804" t="e">
        <f t="shared" si="180"/>
        <v>#N/A</v>
      </c>
      <c r="Q1804" t="e">
        <f t="shared" si="181"/>
        <v>#N/A</v>
      </c>
      <c r="U1804">
        <f>C1804/Navio!$J$4</f>
        <v>20.960783854235306</v>
      </c>
    </row>
    <row r="1805" spans="1:21" x14ac:dyDescent="0.3">
      <c r="A1805">
        <v>1803</v>
      </c>
      <c r="B1805" s="47">
        <v>546.20036824274666</v>
      </c>
      <c r="C1805" s="46">
        <v>359.23534019335216</v>
      </c>
      <c r="D1805" s="1">
        <v>66</v>
      </c>
      <c r="E1805" s="1">
        <v>67</v>
      </c>
      <c r="F1805" s="1" t="s">
        <v>50</v>
      </c>
      <c r="G1805" s="1" t="s">
        <v>50</v>
      </c>
      <c r="H1805" s="1" t="s">
        <v>50</v>
      </c>
      <c r="I1805" s="1" t="s">
        <v>50</v>
      </c>
      <c r="J1805" s="1" t="s">
        <v>50</v>
      </c>
      <c r="K1805" s="1" t="s">
        <v>50</v>
      </c>
      <c r="L1805">
        <f t="shared" ref="L1805:L1868" si="183">VLOOKUP(D1805,$Y$2:$Z$80,2)</f>
        <v>312.95113548570282</v>
      </c>
      <c r="M1805">
        <f t="shared" si="182"/>
        <v>233.24923275704379</v>
      </c>
      <c r="N1805" t="e">
        <f t="shared" ref="N1805:N1868" si="184">VLOOKUP(F1805,$Y$2:$Z$80,2)</f>
        <v>#N/A</v>
      </c>
      <c r="O1805" t="e">
        <f t="shared" ref="O1805:O1868" si="185">VLOOKUP(G1805,$Y$2:$Z$80,2)</f>
        <v>#N/A</v>
      </c>
      <c r="P1805" t="e">
        <f t="shared" ref="P1805:P1868" si="186">VLOOKUP(H1805,$Y$2:$Z$80,2)</f>
        <v>#N/A</v>
      </c>
      <c r="Q1805" t="e">
        <f t="shared" ref="Q1805:Q1868" si="187">VLOOKUP(I1805,$Y$2:$Z$80,2)</f>
        <v>#N/A</v>
      </c>
      <c r="U1805">
        <f>C1805/Navio!$J$4</f>
        <v>19.397173355730338</v>
      </c>
    </row>
    <row r="1806" spans="1:21" x14ac:dyDescent="0.3">
      <c r="A1806">
        <v>1804</v>
      </c>
      <c r="B1806" s="47">
        <v>667.60441701426396</v>
      </c>
      <c r="C1806" s="46">
        <v>386.24899030720087</v>
      </c>
      <c r="D1806" s="1">
        <v>66</v>
      </c>
      <c r="E1806" s="1">
        <v>68</v>
      </c>
      <c r="F1806" s="1" t="s">
        <v>50</v>
      </c>
      <c r="G1806" s="1" t="s">
        <v>50</v>
      </c>
      <c r="H1806" s="1" t="s">
        <v>50</v>
      </c>
      <c r="I1806" s="1" t="s">
        <v>50</v>
      </c>
      <c r="J1806" s="1" t="s">
        <v>50</v>
      </c>
      <c r="K1806" s="1" t="s">
        <v>50</v>
      </c>
      <c r="L1806">
        <f t="shared" si="183"/>
        <v>312.95113548570282</v>
      </c>
      <c r="M1806">
        <f t="shared" si="182"/>
        <v>354.65328152856114</v>
      </c>
      <c r="N1806" t="e">
        <f t="shared" si="184"/>
        <v>#N/A</v>
      </c>
      <c r="O1806" t="e">
        <f t="shared" si="185"/>
        <v>#N/A</v>
      </c>
      <c r="P1806" t="e">
        <f t="shared" si="186"/>
        <v>#N/A</v>
      </c>
      <c r="Q1806" t="e">
        <f t="shared" si="187"/>
        <v>#N/A</v>
      </c>
      <c r="U1806">
        <f>C1806/Navio!$J$4</f>
        <v>20.855795032393164</v>
      </c>
    </row>
    <row r="1807" spans="1:21" x14ac:dyDescent="0.3">
      <c r="A1807">
        <v>1805</v>
      </c>
      <c r="B1807" s="47">
        <v>637.92781913824331</v>
      </c>
      <c r="C1807" s="46">
        <v>376.72471648574646</v>
      </c>
      <c r="D1807" s="1">
        <v>66</v>
      </c>
      <c r="E1807" s="1">
        <v>69</v>
      </c>
      <c r="F1807" s="1" t="s">
        <v>50</v>
      </c>
      <c r="G1807" s="1" t="s">
        <v>50</v>
      </c>
      <c r="H1807" s="1" t="s">
        <v>50</v>
      </c>
      <c r="I1807" s="1" t="s">
        <v>50</v>
      </c>
      <c r="J1807" s="1" t="s">
        <v>50</v>
      </c>
      <c r="K1807" s="1" t="s">
        <v>50</v>
      </c>
      <c r="L1807">
        <f t="shared" si="183"/>
        <v>312.95113548570282</v>
      </c>
      <c r="M1807">
        <f t="shared" si="182"/>
        <v>324.97668365254049</v>
      </c>
      <c r="N1807" t="e">
        <f t="shared" si="184"/>
        <v>#N/A</v>
      </c>
      <c r="O1807" t="e">
        <f t="shared" si="185"/>
        <v>#N/A</v>
      </c>
      <c r="P1807" t="e">
        <f t="shared" si="186"/>
        <v>#N/A</v>
      </c>
      <c r="Q1807" t="e">
        <f t="shared" si="187"/>
        <v>#N/A</v>
      </c>
      <c r="U1807">
        <f>C1807/Navio!$J$4</f>
        <v>20.341524943312393</v>
      </c>
    </row>
    <row r="1808" spans="1:21" x14ac:dyDescent="0.3">
      <c r="A1808">
        <v>1806</v>
      </c>
      <c r="B1808" s="47">
        <v>549.45425376920673</v>
      </c>
      <c r="C1808" s="46">
        <v>381.42412398924637</v>
      </c>
      <c r="D1808" s="1">
        <v>66</v>
      </c>
      <c r="E1808" s="1">
        <v>70</v>
      </c>
      <c r="F1808" s="1" t="s">
        <v>50</v>
      </c>
      <c r="G1808" s="1" t="s">
        <v>50</v>
      </c>
      <c r="H1808" s="1" t="s">
        <v>50</v>
      </c>
      <c r="I1808" s="1" t="s">
        <v>50</v>
      </c>
      <c r="J1808" s="1" t="s">
        <v>50</v>
      </c>
      <c r="K1808" s="1" t="s">
        <v>50</v>
      </c>
      <c r="L1808">
        <f t="shared" si="183"/>
        <v>312.95113548570282</v>
      </c>
      <c r="M1808">
        <f t="shared" si="182"/>
        <v>473.00623656700782</v>
      </c>
      <c r="N1808" t="e">
        <f t="shared" si="184"/>
        <v>#N/A</v>
      </c>
      <c r="O1808" t="e">
        <f t="shared" si="185"/>
        <v>#N/A</v>
      </c>
      <c r="P1808" t="e">
        <f t="shared" si="186"/>
        <v>#N/A</v>
      </c>
      <c r="Q1808" t="e">
        <f t="shared" si="187"/>
        <v>#N/A</v>
      </c>
      <c r="U1808">
        <f>C1808/Navio!$J$4</f>
        <v>20.595272867905628</v>
      </c>
    </row>
    <row r="1809" spans="1:21" x14ac:dyDescent="0.3">
      <c r="A1809">
        <v>1807</v>
      </c>
      <c r="B1809" s="47">
        <v>549.45425376920673</v>
      </c>
      <c r="C1809" s="46">
        <v>382.57014514155929</v>
      </c>
      <c r="D1809" s="1">
        <v>66</v>
      </c>
      <c r="E1809" s="1">
        <v>71</v>
      </c>
      <c r="F1809" s="1" t="s">
        <v>50</v>
      </c>
      <c r="G1809" s="1" t="s">
        <v>50</v>
      </c>
      <c r="H1809" s="1" t="s">
        <v>50</v>
      </c>
      <c r="I1809" s="1" t="s">
        <v>50</v>
      </c>
      <c r="J1809" s="1" t="s">
        <v>50</v>
      </c>
      <c r="K1809" s="1" t="s">
        <v>50</v>
      </c>
      <c r="L1809">
        <f t="shared" si="183"/>
        <v>312.95113548570282</v>
      </c>
      <c r="M1809">
        <f t="shared" si="182"/>
        <v>473.00623656700782</v>
      </c>
      <c r="N1809" t="e">
        <f t="shared" si="184"/>
        <v>#N/A</v>
      </c>
      <c r="O1809" t="e">
        <f t="shared" si="185"/>
        <v>#N/A</v>
      </c>
      <c r="P1809" t="e">
        <f t="shared" si="186"/>
        <v>#N/A</v>
      </c>
      <c r="Q1809" t="e">
        <f t="shared" si="187"/>
        <v>#N/A</v>
      </c>
      <c r="U1809">
        <f>C1809/Navio!$J$4</f>
        <v>20.657153113175436</v>
      </c>
    </row>
    <row r="1810" spans="1:21" x14ac:dyDescent="0.3">
      <c r="A1810">
        <v>1808</v>
      </c>
      <c r="B1810" s="47">
        <v>587.90251428560487</v>
      </c>
      <c r="C1810" s="46">
        <v>387.69795821328</v>
      </c>
      <c r="D1810" s="1">
        <v>67</v>
      </c>
      <c r="E1810" s="1">
        <v>68</v>
      </c>
      <c r="F1810" s="1" t="s">
        <v>50</v>
      </c>
      <c r="G1810" s="1" t="s">
        <v>50</v>
      </c>
      <c r="H1810" s="1" t="s">
        <v>50</v>
      </c>
      <c r="I1810" s="1" t="s">
        <v>50</v>
      </c>
      <c r="J1810" s="1" t="s">
        <v>50</v>
      </c>
      <c r="K1810" s="1" t="s">
        <v>50</v>
      </c>
      <c r="L1810">
        <f t="shared" si="183"/>
        <v>233.24923275704379</v>
      </c>
      <c r="M1810">
        <f t="shared" si="182"/>
        <v>354.65328152856114</v>
      </c>
      <c r="N1810" t="e">
        <f t="shared" si="184"/>
        <v>#N/A</v>
      </c>
      <c r="O1810" t="e">
        <f t="shared" si="185"/>
        <v>#N/A</v>
      </c>
      <c r="P1810" t="e">
        <f t="shared" si="186"/>
        <v>#N/A</v>
      </c>
      <c r="Q1810" t="e">
        <f t="shared" si="187"/>
        <v>#N/A</v>
      </c>
      <c r="U1810">
        <f>C1810/Navio!$J$4</f>
        <v>20.934033107873095</v>
      </c>
    </row>
    <row r="1811" spans="1:21" x14ac:dyDescent="0.3">
      <c r="A1811">
        <v>1809</v>
      </c>
      <c r="B1811" s="47">
        <v>558.22591640958422</v>
      </c>
      <c r="C1811" s="46">
        <v>376.80116008678101</v>
      </c>
      <c r="D1811" s="1">
        <v>67</v>
      </c>
      <c r="E1811" s="1">
        <v>69</v>
      </c>
      <c r="F1811" s="1" t="s">
        <v>50</v>
      </c>
      <c r="G1811" s="1" t="s">
        <v>50</v>
      </c>
      <c r="H1811" s="1" t="s">
        <v>50</v>
      </c>
      <c r="I1811" s="1" t="s">
        <v>50</v>
      </c>
      <c r="J1811" s="1" t="s">
        <v>50</v>
      </c>
      <c r="K1811" s="1" t="s">
        <v>50</v>
      </c>
      <c r="L1811">
        <f t="shared" si="183"/>
        <v>233.24923275704379</v>
      </c>
      <c r="M1811">
        <f t="shared" si="182"/>
        <v>324.97668365254049</v>
      </c>
      <c r="N1811" t="e">
        <f t="shared" si="184"/>
        <v>#N/A</v>
      </c>
      <c r="O1811" t="e">
        <f t="shared" si="185"/>
        <v>#N/A</v>
      </c>
      <c r="P1811" t="e">
        <f t="shared" si="186"/>
        <v>#N/A</v>
      </c>
      <c r="Q1811" t="e">
        <f t="shared" si="187"/>
        <v>#N/A</v>
      </c>
      <c r="U1811">
        <f>C1811/Navio!$J$4</f>
        <v>20.345652571124305</v>
      </c>
    </row>
    <row r="1812" spans="1:21" x14ac:dyDescent="0.3">
      <c r="A1812">
        <v>1810</v>
      </c>
      <c r="B1812" s="47">
        <v>469.75235104054769</v>
      </c>
      <c r="C1812" s="46">
        <v>382.02362226502578</v>
      </c>
      <c r="D1812" s="1">
        <v>67</v>
      </c>
      <c r="E1812" s="1">
        <v>70</v>
      </c>
      <c r="F1812" s="1" t="s">
        <v>50</v>
      </c>
      <c r="G1812" s="1" t="s">
        <v>50</v>
      </c>
      <c r="H1812" s="1" t="s">
        <v>50</v>
      </c>
      <c r="I1812" s="1" t="s">
        <v>50</v>
      </c>
      <c r="J1812" s="1" t="s">
        <v>50</v>
      </c>
      <c r="K1812" s="1" t="s">
        <v>50</v>
      </c>
      <c r="L1812">
        <f t="shared" si="183"/>
        <v>233.24923275704379</v>
      </c>
      <c r="M1812">
        <f t="shared" si="182"/>
        <v>473.00623656700782</v>
      </c>
      <c r="N1812" t="e">
        <f t="shared" si="184"/>
        <v>#N/A</v>
      </c>
      <c r="O1812" t="e">
        <f t="shared" si="185"/>
        <v>#N/A</v>
      </c>
      <c r="P1812" t="e">
        <f t="shared" si="186"/>
        <v>#N/A</v>
      </c>
      <c r="Q1812" t="e">
        <f t="shared" si="187"/>
        <v>#N/A</v>
      </c>
      <c r="U1812">
        <f>C1812/Navio!$J$4</f>
        <v>20.627643213138075</v>
      </c>
    </row>
    <row r="1813" spans="1:21" x14ac:dyDescent="0.3">
      <c r="A1813">
        <v>1811</v>
      </c>
      <c r="B1813" s="47">
        <v>469.75235104054769</v>
      </c>
      <c r="C1813" s="46">
        <v>382.8721063133961</v>
      </c>
      <c r="D1813" s="1">
        <v>67</v>
      </c>
      <c r="E1813" s="1">
        <v>71</v>
      </c>
      <c r="F1813" s="1" t="s">
        <v>50</v>
      </c>
      <c r="G1813" s="1" t="s">
        <v>50</v>
      </c>
      <c r="H1813" s="1" t="s">
        <v>50</v>
      </c>
      <c r="I1813" s="1" t="s">
        <v>50</v>
      </c>
      <c r="J1813" s="1" t="s">
        <v>50</v>
      </c>
      <c r="K1813" s="1" t="s">
        <v>50</v>
      </c>
      <c r="L1813">
        <f t="shared" si="183"/>
        <v>233.24923275704379</v>
      </c>
      <c r="M1813">
        <f t="shared" si="182"/>
        <v>473.00623656700782</v>
      </c>
      <c r="N1813" t="e">
        <f t="shared" si="184"/>
        <v>#N/A</v>
      </c>
      <c r="O1813" t="e">
        <f t="shared" si="185"/>
        <v>#N/A</v>
      </c>
      <c r="P1813" t="e">
        <f t="shared" si="186"/>
        <v>#N/A</v>
      </c>
      <c r="Q1813" t="e">
        <f t="shared" si="187"/>
        <v>#N/A</v>
      </c>
      <c r="U1813">
        <f>C1813/Navio!$J$4</f>
        <v>20.673457726172771</v>
      </c>
    </row>
    <row r="1814" spans="1:21" x14ac:dyDescent="0.3">
      <c r="A1814">
        <v>1812</v>
      </c>
      <c r="B1814" s="47">
        <v>679.62996518110162</v>
      </c>
      <c r="C1814" s="46">
        <v>395.39396620630623</v>
      </c>
      <c r="D1814" s="1">
        <v>68</v>
      </c>
      <c r="E1814" s="1">
        <v>69</v>
      </c>
      <c r="F1814" s="1" t="s">
        <v>50</v>
      </c>
      <c r="G1814" s="1" t="s">
        <v>50</v>
      </c>
      <c r="H1814" s="1" t="s">
        <v>50</v>
      </c>
      <c r="I1814" s="1" t="s">
        <v>50</v>
      </c>
      <c r="J1814" s="1" t="s">
        <v>50</v>
      </c>
      <c r="K1814" s="1" t="s">
        <v>50</v>
      </c>
      <c r="L1814">
        <f t="shared" si="183"/>
        <v>354.65328152856114</v>
      </c>
      <c r="M1814">
        <f t="shared" si="182"/>
        <v>324.97668365254049</v>
      </c>
      <c r="N1814" t="e">
        <f t="shared" si="184"/>
        <v>#N/A</v>
      </c>
      <c r="O1814" t="e">
        <f t="shared" si="185"/>
        <v>#N/A</v>
      </c>
      <c r="P1814" t="e">
        <f t="shared" si="186"/>
        <v>#N/A</v>
      </c>
      <c r="Q1814" t="e">
        <f t="shared" si="187"/>
        <v>#N/A</v>
      </c>
      <c r="U1814">
        <f>C1814/Navio!$J$4</f>
        <v>21.349584654409323</v>
      </c>
    </row>
    <row r="1815" spans="1:21" x14ac:dyDescent="0.3">
      <c r="A1815">
        <v>1813</v>
      </c>
      <c r="B1815" s="47">
        <v>591.15639981206505</v>
      </c>
      <c r="C1815" s="46">
        <v>393.17001209088949</v>
      </c>
      <c r="D1815" s="1">
        <v>68</v>
      </c>
      <c r="E1815" s="1">
        <v>70</v>
      </c>
      <c r="F1815" s="1" t="s">
        <v>50</v>
      </c>
      <c r="G1815" s="1" t="s">
        <v>50</v>
      </c>
      <c r="H1815" s="1" t="s">
        <v>50</v>
      </c>
      <c r="I1815" s="1" t="s">
        <v>50</v>
      </c>
      <c r="J1815" s="1" t="s">
        <v>50</v>
      </c>
      <c r="K1815" s="1" t="s">
        <v>50</v>
      </c>
      <c r="L1815">
        <f t="shared" si="183"/>
        <v>354.65328152856114</v>
      </c>
      <c r="M1815">
        <f t="shared" si="182"/>
        <v>473.00623656700782</v>
      </c>
      <c r="N1815" t="e">
        <f t="shared" si="184"/>
        <v>#N/A</v>
      </c>
      <c r="O1815" t="e">
        <f t="shared" si="185"/>
        <v>#N/A</v>
      </c>
      <c r="P1815" t="e">
        <f t="shared" si="186"/>
        <v>#N/A</v>
      </c>
      <c r="Q1815" t="e">
        <f t="shared" si="187"/>
        <v>#N/A</v>
      </c>
      <c r="U1815">
        <f>C1815/Navio!$J$4</f>
        <v>21.229500635145769</v>
      </c>
    </row>
    <row r="1816" spans="1:21" x14ac:dyDescent="0.3">
      <c r="A1816">
        <v>1814</v>
      </c>
      <c r="B1816" s="47">
        <v>591.15639981206505</v>
      </c>
      <c r="C1816" s="46">
        <v>396.82052112538088</v>
      </c>
      <c r="D1816" s="1">
        <v>68</v>
      </c>
      <c r="E1816" s="1">
        <v>71</v>
      </c>
      <c r="F1816" s="1" t="s">
        <v>50</v>
      </c>
      <c r="G1816" s="1" t="s">
        <v>50</v>
      </c>
      <c r="H1816" s="1" t="s">
        <v>50</v>
      </c>
      <c r="I1816" s="1" t="s">
        <v>50</v>
      </c>
      <c r="J1816" s="1" t="s">
        <v>50</v>
      </c>
      <c r="K1816" s="1" t="s">
        <v>50</v>
      </c>
      <c r="L1816">
        <f t="shared" si="183"/>
        <v>354.65328152856114</v>
      </c>
      <c r="M1816">
        <f t="shared" si="182"/>
        <v>473.00623656700782</v>
      </c>
      <c r="N1816" t="e">
        <f t="shared" si="184"/>
        <v>#N/A</v>
      </c>
      <c r="O1816" t="e">
        <f t="shared" si="185"/>
        <v>#N/A</v>
      </c>
      <c r="P1816" t="e">
        <f t="shared" si="186"/>
        <v>#N/A</v>
      </c>
      <c r="Q1816" t="e">
        <f t="shared" si="187"/>
        <v>#N/A</v>
      </c>
      <c r="U1816">
        <f>C1816/Navio!$J$4</f>
        <v>21.42661252436184</v>
      </c>
    </row>
    <row r="1817" spans="1:21" x14ac:dyDescent="0.3">
      <c r="A1817">
        <v>1815</v>
      </c>
      <c r="B1817" s="47">
        <v>561.4798019360444</v>
      </c>
      <c r="C1817" s="46">
        <v>383.77889789717051</v>
      </c>
      <c r="D1817" s="1">
        <v>69</v>
      </c>
      <c r="E1817" s="1">
        <v>70</v>
      </c>
      <c r="F1817" s="1" t="s">
        <v>50</v>
      </c>
      <c r="G1817" s="1" t="s">
        <v>50</v>
      </c>
      <c r="H1817" s="1" t="s">
        <v>50</v>
      </c>
      <c r="I1817" s="1" t="s">
        <v>50</v>
      </c>
      <c r="J1817" s="1" t="s">
        <v>50</v>
      </c>
      <c r="K1817" s="1" t="s">
        <v>50</v>
      </c>
      <c r="L1817">
        <f t="shared" si="183"/>
        <v>324.97668365254049</v>
      </c>
      <c r="M1817">
        <f t="shared" si="182"/>
        <v>473.00623656700782</v>
      </c>
      <c r="N1817" t="e">
        <f t="shared" si="184"/>
        <v>#N/A</v>
      </c>
      <c r="O1817" t="e">
        <f t="shared" si="185"/>
        <v>#N/A</v>
      </c>
      <c r="P1817" t="e">
        <f t="shared" si="186"/>
        <v>#N/A</v>
      </c>
      <c r="Q1817" t="e">
        <f t="shared" si="187"/>
        <v>#N/A</v>
      </c>
      <c r="U1817">
        <f>C1817/Navio!$J$4</f>
        <v>20.722420596970846</v>
      </c>
    </row>
    <row r="1818" spans="1:21" x14ac:dyDescent="0.3">
      <c r="A1818">
        <v>1816</v>
      </c>
      <c r="B1818" s="47">
        <v>561.4798019360444</v>
      </c>
      <c r="C1818" s="46">
        <v>383.15458063610697</v>
      </c>
      <c r="D1818" s="1">
        <v>69</v>
      </c>
      <c r="E1818" s="1">
        <v>71</v>
      </c>
      <c r="F1818" s="1" t="s">
        <v>50</v>
      </c>
      <c r="G1818" s="1" t="s">
        <v>50</v>
      </c>
      <c r="H1818" s="1" t="s">
        <v>50</v>
      </c>
      <c r="I1818" s="1" t="s">
        <v>50</v>
      </c>
      <c r="J1818" s="1" t="s">
        <v>50</v>
      </c>
      <c r="K1818" s="1" t="s">
        <v>50</v>
      </c>
      <c r="L1818">
        <f t="shared" si="183"/>
        <v>324.97668365254049</v>
      </c>
      <c r="M1818">
        <f t="shared" si="182"/>
        <v>473.00623656700782</v>
      </c>
      <c r="N1818" t="e">
        <f t="shared" si="184"/>
        <v>#N/A</v>
      </c>
      <c r="O1818" t="e">
        <f t="shared" si="185"/>
        <v>#N/A</v>
      </c>
      <c r="P1818" t="e">
        <f t="shared" si="186"/>
        <v>#N/A</v>
      </c>
      <c r="Q1818" t="e">
        <f t="shared" si="187"/>
        <v>#N/A</v>
      </c>
      <c r="U1818">
        <f>C1818/Navio!$J$4</f>
        <v>20.688710132584724</v>
      </c>
    </row>
    <row r="1819" spans="1:21" x14ac:dyDescent="0.3">
      <c r="A1819">
        <v>1817</v>
      </c>
      <c r="B1819" s="47">
        <v>473.00623656700782</v>
      </c>
      <c r="C1819" s="46">
        <v>384.2584494981532</v>
      </c>
      <c r="D1819" s="1">
        <v>70</v>
      </c>
      <c r="E1819" s="1">
        <v>71</v>
      </c>
      <c r="F1819" s="1" t="s">
        <v>50</v>
      </c>
      <c r="G1819" s="1" t="s">
        <v>50</v>
      </c>
      <c r="H1819" s="1" t="s">
        <v>50</v>
      </c>
      <c r="I1819" s="1" t="s">
        <v>50</v>
      </c>
      <c r="J1819" s="1" t="s">
        <v>50</v>
      </c>
      <c r="K1819" s="1" t="s">
        <v>50</v>
      </c>
      <c r="L1819">
        <f t="shared" si="183"/>
        <v>473.00623656700782</v>
      </c>
      <c r="M1819">
        <f t="shared" si="182"/>
        <v>473.00623656700782</v>
      </c>
      <c r="N1819" t="e">
        <f t="shared" si="184"/>
        <v>#N/A</v>
      </c>
      <c r="O1819" t="e">
        <f t="shared" si="185"/>
        <v>#N/A</v>
      </c>
      <c r="P1819" t="e">
        <f t="shared" si="186"/>
        <v>#N/A</v>
      </c>
      <c r="Q1819" t="e">
        <f t="shared" si="187"/>
        <v>#N/A</v>
      </c>
      <c r="U1819">
        <f>C1819/Navio!$J$4</f>
        <v>20.748314334297113</v>
      </c>
    </row>
    <row r="1820" spans="1:21" x14ac:dyDescent="0.3">
      <c r="A1820">
        <v>1818</v>
      </c>
      <c r="B1820" s="47">
        <v>699.05913911715345</v>
      </c>
      <c r="C1820" s="46">
        <v>360.80640824282034</v>
      </c>
      <c r="D1820" s="1">
        <v>62</v>
      </c>
      <c r="E1820" s="1">
        <v>63</v>
      </c>
      <c r="F1820" s="1">
        <v>60</v>
      </c>
      <c r="G1820" s="1" t="s">
        <v>50</v>
      </c>
      <c r="H1820" s="1" t="s">
        <v>50</v>
      </c>
      <c r="I1820" s="1" t="s">
        <v>50</v>
      </c>
      <c r="J1820" s="1" t="s">
        <v>50</v>
      </c>
      <c r="K1820" s="1" t="s">
        <v>50</v>
      </c>
      <c r="L1820">
        <f t="shared" si="183"/>
        <v>406.27303669523673</v>
      </c>
      <c r="M1820">
        <f t="shared" si="182"/>
        <v>473.00623656700782</v>
      </c>
      <c r="N1820">
        <f t="shared" si="184"/>
        <v>56.282984138412765</v>
      </c>
      <c r="O1820" t="e">
        <f t="shared" si="185"/>
        <v>#N/A</v>
      </c>
      <c r="P1820" t="e">
        <f t="shared" si="186"/>
        <v>#N/A</v>
      </c>
      <c r="Q1820" t="e">
        <f t="shared" si="187"/>
        <v>#N/A</v>
      </c>
      <c r="U1820">
        <f>C1820/Navio!$J$4</f>
        <v>19.482004317218649</v>
      </c>
    </row>
    <row r="1821" spans="1:21" x14ac:dyDescent="0.3">
      <c r="A1821">
        <v>1819</v>
      </c>
      <c r="B1821" s="47">
        <v>699.05913911715345</v>
      </c>
      <c r="C1821" s="46">
        <v>361.98478692943763</v>
      </c>
      <c r="D1821" s="1">
        <v>62</v>
      </c>
      <c r="E1821" s="1">
        <v>64</v>
      </c>
      <c r="F1821" s="1">
        <v>60</v>
      </c>
      <c r="G1821" s="1" t="s">
        <v>50</v>
      </c>
      <c r="H1821" s="1" t="s">
        <v>50</v>
      </c>
      <c r="I1821" s="1" t="s">
        <v>50</v>
      </c>
      <c r="J1821" s="1" t="s">
        <v>50</v>
      </c>
      <c r="K1821" s="1" t="s">
        <v>50</v>
      </c>
      <c r="L1821">
        <f t="shared" si="183"/>
        <v>406.27303669523673</v>
      </c>
      <c r="M1821">
        <f t="shared" si="182"/>
        <v>473.00623656700782</v>
      </c>
      <c r="N1821">
        <f t="shared" si="184"/>
        <v>56.282984138412765</v>
      </c>
      <c r="O1821" t="e">
        <f t="shared" si="185"/>
        <v>#N/A</v>
      </c>
      <c r="P1821" t="e">
        <f t="shared" si="186"/>
        <v>#N/A</v>
      </c>
      <c r="Q1821" t="e">
        <f t="shared" si="187"/>
        <v>#N/A</v>
      </c>
      <c r="U1821">
        <f>C1821/Navio!$J$4</f>
        <v>19.545631731076959</v>
      </c>
    </row>
    <row r="1822" spans="1:21" x14ac:dyDescent="0.3">
      <c r="A1822">
        <v>1820</v>
      </c>
      <c r="B1822" s="47">
        <v>699.05913911715345</v>
      </c>
      <c r="C1822" s="46">
        <v>364.07480205279643</v>
      </c>
      <c r="D1822" s="1">
        <v>62</v>
      </c>
      <c r="E1822" s="1">
        <v>65</v>
      </c>
      <c r="F1822" s="1">
        <v>60</v>
      </c>
      <c r="G1822" s="1" t="s">
        <v>50</v>
      </c>
      <c r="H1822" s="1" t="s">
        <v>50</v>
      </c>
      <c r="I1822" s="1" t="s">
        <v>50</v>
      </c>
      <c r="J1822" s="1" t="s">
        <v>50</v>
      </c>
      <c r="K1822" s="1" t="s">
        <v>50</v>
      </c>
      <c r="L1822">
        <f t="shared" si="183"/>
        <v>406.27303669523673</v>
      </c>
      <c r="M1822">
        <f t="shared" si="182"/>
        <v>473.00623656700782</v>
      </c>
      <c r="N1822">
        <f t="shared" si="184"/>
        <v>56.282984138412765</v>
      </c>
      <c r="O1822" t="e">
        <f t="shared" si="185"/>
        <v>#N/A</v>
      </c>
      <c r="P1822" t="e">
        <f t="shared" si="186"/>
        <v>#N/A</v>
      </c>
      <c r="Q1822" t="e">
        <f t="shared" si="187"/>
        <v>#N/A</v>
      </c>
      <c r="U1822">
        <f>C1822/Navio!$J$4</f>
        <v>19.658483617091484</v>
      </c>
    </row>
    <row r="1823" spans="1:21" x14ac:dyDescent="0.3">
      <c r="A1823">
        <v>1821</v>
      </c>
      <c r="B1823" s="47">
        <v>775.50715631935236</v>
      </c>
      <c r="C1823" s="46">
        <v>369.76978292466322</v>
      </c>
      <c r="D1823" s="1">
        <v>62</v>
      </c>
      <c r="E1823" s="1">
        <v>66</v>
      </c>
      <c r="F1823" s="1">
        <v>60</v>
      </c>
      <c r="G1823" s="1" t="s">
        <v>50</v>
      </c>
      <c r="H1823" s="1" t="s">
        <v>50</v>
      </c>
      <c r="I1823" s="1" t="s">
        <v>50</v>
      </c>
      <c r="J1823" s="1" t="s">
        <v>50</v>
      </c>
      <c r="K1823" s="1" t="s">
        <v>50</v>
      </c>
      <c r="L1823">
        <f t="shared" si="183"/>
        <v>406.27303669523673</v>
      </c>
      <c r="M1823">
        <f t="shared" si="182"/>
        <v>312.95113548570282</v>
      </c>
      <c r="N1823">
        <f t="shared" si="184"/>
        <v>56.282984138412765</v>
      </c>
      <c r="O1823" t="e">
        <f t="shared" si="185"/>
        <v>#N/A</v>
      </c>
      <c r="P1823" t="e">
        <f t="shared" si="186"/>
        <v>#N/A</v>
      </c>
      <c r="Q1823" t="e">
        <f t="shared" si="187"/>
        <v>#N/A</v>
      </c>
      <c r="U1823">
        <f>C1823/Navio!$J$4</f>
        <v>19.965988249485701</v>
      </c>
    </row>
    <row r="1824" spans="1:21" x14ac:dyDescent="0.3">
      <c r="A1824">
        <v>1822</v>
      </c>
      <c r="B1824" s="47">
        <v>695.80525359069327</v>
      </c>
      <c r="C1824" s="46">
        <v>371.74994104315607</v>
      </c>
      <c r="D1824" s="1">
        <v>62</v>
      </c>
      <c r="E1824" s="1">
        <v>67</v>
      </c>
      <c r="F1824" s="1">
        <v>60</v>
      </c>
      <c r="G1824" s="1" t="s">
        <v>50</v>
      </c>
      <c r="H1824" s="1" t="s">
        <v>50</v>
      </c>
      <c r="I1824" s="1" t="s">
        <v>50</v>
      </c>
      <c r="J1824" s="1" t="s">
        <v>50</v>
      </c>
      <c r="K1824" s="1" t="s">
        <v>50</v>
      </c>
      <c r="L1824">
        <f t="shared" si="183"/>
        <v>406.27303669523673</v>
      </c>
      <c r="M1824">
        <f t="shared" si="182"/>
        <v>233.24923275704379</v>
      </c>
      <c r="N1824">
        <f t="shared" si="184"/>
        <v>56.282984138412765</v>
      </c>
      <c r="O1824" t="e">
        <f t="shared" si="185"/>
        <v>#N/A</v>
      </c>
      <c r="P1824" t="e">
        <f t="shared" si="186"/>
        <v>#N/A</v>
      </c>
      <c r="Q1824" t="e">
        <f t="shared" si="187"/>
        <v>#N/A</v>
      </c>
      <c r="U1824">
        <f>C1824/Navio!$J$4</f>
        <v>20.072908326657089</v>
      </c>
    </row>
    <row r="1825" spans="1:21" x14ac:dyDescent="0.3">
      <c r="A1825">
        <v>1823</v>
      </c>
      <c r="B1825" s="47">
        <v>817.20930236221068</v>
      </c>
      <c r="C1825" s="46">
        <v>379.28534796725609</v>
      </c>
      <c r="D1825" s="1">
        <v>62</v>
      </c>
      <c r="E1825" s="1">
        <v>68</v>
      </c>
      <c r="F1825" s="1">
        <v>60</v>
      </c>
      <c r="G1825" s="1" t="s">
        <v>50</v>
      </c>
      <c r="H1825" s="1" t="s">
        <v>50</v>
      </c>
      <c r="I1825" s="1" t="s">
        <v>50</v>
      </c>
      <c r="J1825" s="1" t="s">
        <v>50</v>
      </c>
      <c r="K1825" s="1" t="s">
        <v>50</v>
      </c>
      <c r="L1825">
        <f t="shared" si="183"/>
        <v>406.27303669523673</v>
      </c>
      <c r="M1825">
        <f t="shared" si="182"/>
        <v>354.65328152856114</v>
      </c>
      <c r="N1825">
        <f t="shared" si="184"/>
        <v>56.282984138412765</v>
      </c>
      <c r="O1825" t="e">
        <f t="shared" si="185"/>
        <v>#N/A</v>
      </c>
      <c r="P1825" t="e">
        <f t="shared" si="186"/>
        <v>#N/A</v>
      </c>
      <c r="Q1825" t="e">
        <f t="shared" si="187"/>
        <v>#N/A</v>
      </c>
      <c r="U1825">
        <f>C1825/Navio!$J$4</f>
        <v>20.479788101720612</v>
      </c>
    </row>
    <row r="1826" spans="1:21" x14ac:dyDescent="0.3">
      <c r="A1826">
        <v>1824</v>
      </c>
      <c r="B1826" s="47">
        <v>787.53270448619003</v>
      </c>
      <c r="C1826" s="46">
        <v>384.23084849975203</v>
      </c>
      <c r="D1826" s="1">
        <v>62</v>
      </c>
      <c r="E1826" s="1">
        <v>69</v>
      </c>
      <c r="F1826" s="1">
        <v>60</v>
      </c>
      <c r="G1826" s="1" t="s">
        <v>50</v>
      </c>
      <c r="H1826" s="1" t="s">
        <v>50</v>
      </c>
      <c r="I1826" s="1" t="s">
        <v>50</v>
      </c>
      <c r="J1826" s="1" t="s">
        <v>50</v>
      </c>
      <c r="K1826" s="1" t="s">
        <v>50</v>
      </c>
      <c r="L1826">
        <f t="shared" si="183"/>
        <v>406.27303669523673</v>
      </c>
      <c r="M1826">
        <f t="shared" si="182"/>
        <v>324.97668365254049</v>
      </c>
      <c r="N1826">
        <f t="shared" si="184"/>
        <v>56.282984138412765</v>
      </c>
      <c r="O1826" t="e">
        <f t="shared" si="185"/>
        <v>#N/A</v>
      </c>
      <c r="P1826" t="e">
        <f t="shared" si="186"/>
        <v>#N/A</v>
      </c>
      <c r="Q1826" t="e">
        <f t="shared" si="187"/>
        <v>#N/A</v>
      </c>
      <c r="U1826">
        <f>C1826/Navio!$J$4</f>
        <v>20.746823998322679</v>
      </c>
    </row>
    <row r="1827" spans="1:21" x14ac:dyDescent="0.3">
      <c r="A1827">
        <v>1825</v>
      </c>
      <c r="B1827" s="47">
        <v>699.05913911715345</v>
      </c>
      <c r="C1827" s="46">
        <v>384.28793160450937</v>
      </c>
      <c r="D1827" s="1">
        <v>62</v>
      </c>
      <c r="E1827" s="1">
        <v>70</v>
      </c>
      <c r="F1827" s="1">
        <v>60</v>
      </c>
      <c r="G1827" s="1" t="s">
        <v>50</v>
      </c>
      <c r="H1827" s="1" t="s">
        <v>50</v>
      </c>
      <c r="I1827" s="1" t="s">
        <v>50</v>
      </c>
      <c r="J1827" s="1" t="s">
        <v>50</v>
      </c>
      <c r="K1827" s="1" t="s">
        <v>50</v>
      </c>
      <c r="L1827">
        <f t="shared" si="183"/>
        <v>406.27303669523673</v>
      </c>
      <c r="M1827">
        <f t="shared" si="182"/>
        <v>473.00623656700782</v>
      </c>
      <c r="N1827">
        <f t="shared" si="184"/>
        <v>56.282984138412765</v>
      </c>
      <c r="O1827" t="e">
        <f t="shared" si="185"/>
        <v>#N/A</v>
      </c>
      <c r="P1827" t="e">
        <f t="shared" si="186"/>
        <v>#N/A</v>
      </c>
      <c r="Q1827" t="e">
        <f t="shared" si="187"/>
        <v>#N/A</v>
      </c>
      <c r="U1827">
        <f>C1827/Navio!$J$4</f>
        <v>20.749906242063133</v>
      </c>
    </row>
    <row r="1828" spans="1:21" x14ac:dyDescent="0.3">
      <c r="A1828">
        <v>1826</v>
      </c>
      <c r="B1828" s="47">
        <v>699.05913911715345</v>
      </c>
      <c r="C1828" s="46">
        <v>387.47966224122661</v>
      </c>
      <c r="D1828" s="1">
        <v>62</v>
      </c>
      <c r="E1828" s="1">
        <v>71</v>
      </c>
      <c r="F1828" s="1">
        <v>60</v>
      </c>
      <c r="G1828" s="1" t="s">
        <v>50</v>
      </c>
      <c r="H1828" s="1" t="s">
        <v>50</v>
      </c>
      <c r="I1828" s="1" t="s">
        <v>50</v>
      </c>
      <c r="J1828" s="1" t="s">
        <v>50</v>
      </c>
      <c r="K1828" s="1" t="s">
        <v>50</v>
      </c>
      <c r="L1828">
        <f t="shared" si="183"/>
        <v>406.27303669523673</v>
      </c>
      <c r="M1828">
        <f t="shared" si="182"/>
        <v>473.00623656700782</v>
      </c>
      <c r="N1828">
        <f t="shared" si="184"/>
        <v>56.282984138412765</v>
      </c>
      <c r="O1828" t="e">
        <f t="shared" si="185"/>
        <v>#N/A</v>
      </c>
      <c r="P1828" t="e">
        <f t="shared" si="186"/>
        <v>#N/A</v>
      </c>
      <c r="Q1828" t="e">
        <f t="shared" si="187"/>
        <v>#N/A</v>
      </c>
      <c r="U1828">
        <f>C1828/Navio!$J$4</f>
        <v>20.922246058162177</v>
      </c>
    </row>
    <row r="1829" spans="1:21" x14ac:dyDescent="0.3">
      <c r="A1829">
        <v>1827</v>
      </c>
      <c r="B1829" s="47">
        <v>529.28922070542058</v>
      </c>
      <c r="C1829" s="46">
        <v>364.29723171752448</v>
      </c>
      <c r="D1829" s="1">
        <v>64</v>
      </c>
      <c r="E1829" s="1">
        <v>63</v>
      </c>
      <c r="F1829" s="1">
        <v>60</v>
      </c>
      <c r="G1829" s="1" t="s">
        <v>50</v>
      </c>
      <c r="H1829" s="1" t="s">
        <v>50</v>
      </c>
      <c r="I1829" s="1" t="s">
        <v>50</v>
      </c>
      <c r="J1829" s="1" t="s">
        <v>50</v>
      </c>
      <c r="K1829" s="1" t="s">
        <v>50</v>
      </c>
      <c r="L1829">
        <f t="shared" si="183"/>
        <v>473.00623656700782</v>
      </c>
      <c r="M1829">
        <f t="shared" si="182"/>
        <v>473.00623656700782</v>
      </c>
      <c r="N1829">
        <f t="shared" si="184"/>
        <v>56.282984138412765</v>
      </c>
      <c r="O1829" t="e">
        <f t="shared" si="185"/>
        <v>#N/A</v>
      </c>
      <c r="P1829" t="e">
        <f t="shared" si="186"/>
        <v>#N/A</v>
      </c>
      <c r="Q1829" t="e">
        <f t="shared" si="187"/>
        <v>#N/A</v>
      </c>
      <c r="U1829">
        <f>C1829/Navio!$J$4</f>
        <v>19.670493868543542</v>
      </c>
    </row>
    <row r="1830" spans="1:21" x14ac:dyDescent="0.3">
      <c r="A1830">
        <v>1828</v>
      </c>
      <c r="B1830" s="47">
        <v>529.28922070542058</v>
      </c>
      <c r="C1830" s="46">
        <v>365.57756920009223</v>
      </c>
      <c r="D1830" s="1">
        <v>65</v>
      </c>
      <c r="E1830" s="1">
        <v>63</v>
      </c>
      <c r="F1830" s="1">
        <v>60</v>
      </c>
      <c r="G1830" s="1" t="s">
        <v>50</v>
      </c>
      <c r="H1830" s="1" t="s">
        <v>50</v>
      </c>
      <c r="I1830" s="1" t="s">
        <v>50</v>
      </c>
      <c r="J1830" s="1" t="s">
        <v>50</v>
      </c>
      <c r="K1830" s="1" t="s">
        <v>50</v>
      </c>
      <c r="L1830">
        <f t="shared" si="183"/>
        <v>473.00623656700782</v>
      </c>
      <c r="M1830">
        <f t="shared" si="182"/>
        <v>473.00623656700782</v>
      </c>
      <c r="N1830">
        <f t="shared" si="184"/>
        <v>56.282984138412765</v>
      </c>
      <c r="O1830" t="e">
        <f t="shared" si="185"/>
        <v>#N/A</v>
      </c>
      <c r="P1830" t="e">
        <f t="shared" si="186"/>
        <v>#N/A</v>
      </c>
      <c r="Q1830" t="e">
        <f t="shared" si="187"/>
        <v>#N/A</v>
      </c>
      <c r="U1830">
        <f>C1830/Navio!$J$4</f>
        <v>19.739626621712645</v>
      </c>
    </row>
    <row r="1831" spans="1:21" x14ac:dyDescent="0.3">
      <c r="A1831">
        <v>1829</v>
      </c>
      <c r="B1831" s="47">
        <v>605.73723790761949</v>
      </c>
      <c r="C1831" s="46">
        <v>361.93233503287013</v>
      </c>
      <c r="D1831" s="1">
        <v>66</v>
      </c>
      <c r="E1831" s="1">
        <v>63</v>
      </c>
      <c r="F1831" s="1">
        <v>60</v>
      </c>
      <c r="G1831" s="1" t="s">
        <v>50</v>
      </c>
      <c r="H1831" s="1" t="s">
        <v>50</v>
      </c>
      <c r="I1831" s="1" t="s">
        <v>50</v>
      </c>
      <c r="J1831" s="1" t="s">
        <v>50</v>
      </c>
      <c r="K1831" s="1" t="s">
        <v>50</v>
      </c>
      <c r="L1831">
        <f t="shared" si="183"/>
        <v>312.95113548570282</v>
      </c>
      <c r="M1831">
        <f t="shared" si="182"/>
        <v>473.00623656700782</v>
      </c>
      <c r="N1831">
        <f t="shared" si="184"/>
        <v>56.282984138412765</v>
      </c>
      <c r="O1831" t="e">
        <f t="shared" si="185"/>
        <v>#N/A</v>
      </c>
      <c r="P1831" t="e">
        <f t="shared" si="186"/>
        <v>#N/A</v>
      </c>
      <c r="Q1831" t="e">
        <f t="shared" si="187"/>
        <v>#N/A</v>
      </c>
      <c r="U1831">
        <f>C1831/Navio!$J$4</f>
        <v>19.542799552789578</v>
      </c>
    </row>
    <row r="1832" spans="1:21" x14ac:dyDescent="0.3">
      <c r="A1832">
        <v>1830</v>
      </c>
      <c r="B1832" s="47">
        <v>526.03533517896051</v>
      </c>
      <c r="C1832" s="46">
        <v>363.42560190084009</v>
      </c>
      <c r="D1832" s="1">
        <v>67</v>
      </c>
      <c r="E1832" s="1">
        <v>63</v>
      </c>
      <c r="F1832" s="1">
        <v>60</v>
      </c>
      <c r="G1832" s="1" t="s">
        <v>50</v>
      </c>
      <c r="H1832" s="1" t="s">
        <v>50</v>
      </c>
      <c r="I1832" s="1" t="s">
        <v>50</v>
      </c>
      <c r="J1832" s="1" t="s">
        <v>50</v>
      </c>
      <c r="K1832" s="1" t="s">
        <v>50</v>
      </c>
      <c r="L1832">
        <f t="shared" si="183"/>
        <v>233.24923275704379</v>
      </c>
      <c r="M1832">
        <f t="shared" si="182"/>
        <v>473.00623656700782</v>
      </c>
      <c r="N1832">
        <f t="shared" si="184"/>
        <v>56.282984138412765</v>
      </c>
      <c r="O1832" t="e">
        <f t="shared" si="185"/>
        <v>#N/A</v>
      </c>
      <c r="P1832" t="e">
        <f t="shared" si="186"/>
        <v>#N/A</v>
      </c>
      <c r="Q1832" t="e">
        <f t="shared" si="187"/>
        <v>#N/A</v>
      </c>
      <c r="U1832">
        <f>C1832/Navio!$J$4</f>
        <v>19.62342958292189</v>
      </c>
    </row>
    <row r="1833" spans="1:21" x14ac:dyDescent="0.3">
      <c r="A1833">
        <v>1831</v>
      </c>
      <c r="B1833" s="47">
        <v>647.4393839504778</v>
      </c>
      <c r="C1833" s="46">
        <v>379.77087556733375</v>
      </c>
      <c r="D1833" s="1">
        <v>68</v>
      </c>
      <c r="E1833" s="1">
        <v>63</v>
      </c>
      <c r="F1833" s="1">
        <v>60</v>
      </c>
      <c r="G1833" s="1" t="s">
        <v>50</v>
      </c>
      <c r="H1833" s="1" t="s">
        <v>50</v>
      </c>
      <c r="I1833" s="1" t="s">
        <v>50</v>
      </c>
      <c r="J1833" s="1" t="s">
        <v>50</v>
      </c>
      <c r="K1833" s="1" t="s">
        <v>50</v>
      </c>
      <c r="L1833">
        <f t="shared" si="183"/>
        <v>354.65328152856114</v>
      </c>
      <c r="M1833">
        <f t="shared" si="182"/>
        <v>473.00623656700782</v>
      </c>
      <c r="N1833">
        <f t="shared" si="184"/>
        <v>56.282984138412765</v>
      </c>
      <c r="O1833" t="e">
        <f t="shared" si="185"/>
        <v>#N/A</v>
      </c>
      <c r="P1833" t="e">
        <f t="shared" si="186"/>
        <v>#N/A</v>
      </c>
      <c r="Q1833" t="e">
        <f t="shared" si="187"/>
        <v>#N/A</v>
      </c>
      <c r="U1833">
        <f>C1833/Navio!$J$4</f>
        <v>20.506004517462529</v>
      </c>
    </row>
    <row r="1834" spans="1:21" x14ac:dyDescent="0.3">
      <c r="A1834">
        <v>1832</v>
      </c>
      <c r="B1834" s="47">
        <v>617.76278607445715</v>
      </c>
      <c r="C1834" s="46">
        <v>378.5361627289501</v>
      </c>
      <c r="D1834" s="1">
        <v>63</v>
      </c>
      <c r="E1834" s="1">
        <v>69</v>
      </c>
      <c r="F1834" s="1">
        <v>60</v>
      </c>
      <c r="G1834" s="1" t="s">
        <v>50</v>
      </c>
      <c r="H1834" s="1" t="s">
        <v>50</v>
      </c>
      <c r="I1834" s="1" t="s">
        <v>50</v>
      </c>
      <c r="J1834" s="1" t="s">
        <v>50</v>
      </c>
      <c r="K1834" s="1" t="s">
        <v>50</v>
      </c>
      <c r="L1834">
        <f t="shared" si="183"/>
        <v>473.00623656700782</v>
      </c>
      <c r="M1834">
        <f t="shared" si="182"/>
        <v>324.97668365254049</v>
      </c>
      <c r="N1834">
        <f t="shared" si="184"/>
        <v>56.282984138412765</v>
      </c>
      <c r="O1834" t="e">
        <f t="shared" si="185"/>
        <v>#N/A</v>
      </c>
      <c r="P1834" t="e">
        <f t="shared" si="186"/>
        <v>#N/A</v>
      </c>
      <c r="Q1834" t="e">
        <f t="shared" si="187"/>
        <v>#N/A</v>
      </c>
      <c r="U1834">
        <f>C1834/Navio!$J$4</f>
        <v>20.439335300124995</v>
      </c>
    </row>
    <row r="1835" spans="1:21" x14ac:dyDescent="0.3">
      <c r="A1835">
        <v>1833</v>
      </c>
      <c r="B1835" s="47">
        <v>529.28922070542058</v>
      </c>
      <c r="C1835" s="46">
        <v>380.72981208598128</v>
      </c>
      <c r="D1835" s="1">
        <v>63</v>
      </c>
      <c r="E1835" s="1">
        <v>70</v>
      </c>
      <c r="F1835" s="1">
        <v>60</v>
      </c>
      <c r="G1835" s="1" t="s">
        <v>50</v>
      </c>
      <c r="H1835" s="1" t="s">
        <v>50</v>
      </c>
      <c r="I1835" s="1" t="s">
        <v>50</v>
      </c>
      <c r="J1835" s="1" t="s">
        <v>50</v>
      </c>
      <c r="K1835" s="1" t="s">
        <v>50</v>
      </c>
      <c r="L1835">
        <f t="shared" si="183"/>
        <v>473.00623656700782</v>
      </c>
      <c r="M1835">
        <f t="shared" si="182"/>
        <v>473.00623656700782</v>
      </c>
      <c r="N1835">
        <f t="shared" si="184"/>
        <v>56.282984138412765</v>
      </c>
      <c r="O1835" t="e">
        <f t="shared" si="185"/>
        <v>#N/A</v>
      </c>
      <c r="P1835" t="e">
        <f t="shared" si="186"/>
        <v>#N/A</v>
      </c>
      <c r="Q1835" t="e">
        <f t="shared" si="187"/>
        <v>#N/A</v>
      </c>
      <c r="U1835">
        <f>C1835/Navio!$J$4</f>
        <v>20.557782991928139</v>
      </c>
    </row>
    <row r="1836" spans="1:21" x14ac:dyDescent="0.3">
      <c r="A1836">
        <v>1834</v>
      </c>
      <c r="B1836" s="47">
        <v>529.28922070542058</v>
      </c>
      <c r="C1836" s="46">
        <v>383.04485813511769</v>
      </c>
      <c r="D1836" s="1">
        <v>63</v>
      </c>
      <c r="E1836" s="1">
        <v>71</v>
      </c>
      <c r="F1836" s="1">
        <v>60</v>
      </c>
      <c r="G1836" s="1" t="s">
        <v>50</v>
      </c>
      <c r="H1836" s="1" t="s">
        <v>50</v>
      </c>
      <c r="I1836" s="1" t="s">
        <v>50</v>
      </c>
      <c r="J1836" s="1" t="s">
        <v>50</v>
      </c>
      <c r="K1836" s="1" t="s">
        <v>50</v>
      </c>
      <c r="L1836">
        <f t="shared" si="183"/>
        <v>473.00623656700782</v>
      </c>
      <c r="M1836">
        <f t="shared" si="182"/>
        <v>473.00623656700782</v>
      </c>
      <c r="N1836">
        <f t="shared" si="184"/>
        <v>56.282984138412765</v>
      </c>
      <c r="O1836" t="e">
        <f t="shared" si="185"/>
        <v>#N/A</v>
      </c>
      <c r="P1836" t="e">
        <f t="shared" si="186"/>
        <v>#N/A</v>
      </c>
      <c r="Q1836" t="e">
        <f t="shared" si="187"/>
        <v>#N/A</v>
      </c>
      <c r="U1836">
        <f>C1836/Navio!$J$4</f>
        <v>20.682785586376191</v>
      </c>
    </row>
    <row r="1837" spans="1:21" x14ac:dyDescent="0.3">
      <c r="A1837">
        <v>1835</v>
      </c>
      <c r="B1837" s="47">
        <v>529.28922070542058</v>
      </c>
      <c r="C1837" s="46">
        <v>364.10698469128511</v>
      </c>
      <c r="D1837" s="1">
        <v>64</v>
      </c>
      <c r="E1837" s="1">
        <v>65</v>
      </c>
      <c r="F1837" s="1">
        <v>60</v>
      </c>
      <c r="G1837" s="1" t="s">
        <v>50</v>
      </c>
      <c r="H1837" s="1" t="s">
        <v>50</v>
      </c>
      <c r="I1837" s="1" t="s">
        <v>50</v>
      </c>
      <c r="J1837" s="1" t="s">
        <v>50</v>
      </c>
      <c r="K1837" s="1" t="s">
        <v>50</v>
      </c>
      <c r="L1837">
        <f t="shared" si="183"/>
        <v>473.00623656700782</v>
      </c>
      <c r="M1837">
        <f t="shared" si="182"/>
        <v>473.00623656700782</v>
      </c>
      <c r="N1837">
        <f t="shared" si="184"/>
        <v>56.282984138412765</v>
      </c>
      <c r="O1837" t="e">
        <f t="shared" si="185"/>
        <v>#N/A</v>
      </c>
      <c r="P1837" t="e">
        <f t="shared" si="186"/>
        <v>#N/A</v>
      </c>
      <c r="Q1837" t="e">
        <f t="shared" si="187"/>
        <v>#N/A</v>
      </c>
      <c r="U1837">
        <f>C1837/Navio!$J$4</f>
        <v>19.660221342053269</v>
      </c>
    </row>
    <row r="1838" spans="1:21" x14ac:dyDescent="0.3">
      <c r="A1838">
        <v>1836</v>
      </c>
      <c r="B1838" s="47">
        <v>605.73723790761949</v>
      </c>
      <c r="C1838" s="46">
        <v>372.64570382972624</v>
      </c>
      <c r="D1838" s="1">
        <v>64</v>
      </c>
      <c r="E1838" s="1">
        <v>66</v>
      </c>
      <c r="F1838" s="1">
        <v>60</v>
      </c>
      <c r="G1838" s="1" t="s">
        <v>50</v>
      </c>
      <c r="H1838" s="1" t="s">
        <v>50</v>
      </c>
      <c r="I1838" s="1" t="s">
        <v>50</v>
      </c>
      <c r="J1838" s="1" t="s">
        <v>50</v>
      </c>
      <c r="K1838" s="1" t="s">
        <v>50</v>
      </c>
      <c r="L1838">
        <f t="shared" si="183"/>
        <v>473.00623656700782</v>
      </c>
      <c r="M1838">
        <f t="shared" si="182"/>
        <v>312.95113548570282</v>
      </c>
      <c r="N1838">
        <f t="shared" si="184"/>
        <v>56.282984138412765</v>
      </c>
      <c r="O1838" t="e">
        <f t="shared" si="185"/>
        <v>#N/A</v>
      </c>
      <c r="P1838" t="e">
        <f t="shared" si="186"/>
        <v>#N/A</v>
      </c>
      <c r="Q1838" t="e">
        <f t="shared" si="187"/>
        <v>#N/A</v>
      </c>
      <c r="U1838">
        <f>C1838/Navio!$J$4</f>
        <v>20.121275689532251</v>
      </c>
    </row>
    <row r="1839" spans="1:21" x14ac:dyDescent="0.3">
      <c r="A1839">
        <v>1837</v>
      </c>
      <c r="B1839" s="47">
        <v>526.03533517896051</v>
      </c>
      <c r="C1839" s="46">
        <v>374.64928078819037</v>
      </c>
      <c r="D1839" s="1">
        <v>64</v>
      </c>
      <c r="E1839" s="1">
        <v>67</v>
      </c>
      <c r="F1839" s="1">
        <v>60</v>
      </c>
      <c r="G1839" s="1" t="s">
        <v>50</v>
      </c>
      <c r="H1839" s="1" t="s">
        <v>50</v>
      </c>
      <c r="I1839" s="1" t="s">
        <v>50</v>
      </c>
      <c r="J1839" s="1" t="s">
        <v>50</v>
      </c>
      <c r="K1839" s="1" t="s">
        <v>50</v>
      </c>
      <c r="L1839">
        <f t="shared" si="183"/>
        <v>473.00623656700782</v>
      </c>
      <c r="M1839">
        <f t="shared" si="182"/>
        <v>233.24923275704379</v>
      </c>
      <c r="N1839">
        <f t="shared" si="184"/>
        <v>56.282984138412765</v>
      </c>
      <c r="O1839" t="e">
        <f t="shared" si="185"/>
        <v>#N/A</v>
      </c>
      <c r="P1839" t="e">
        <f t="shared" si="186"/>
        <v>#N/A</v>
      </c>
      <c r="Q1839" t="e">
        <f t="shared" si="187"/>
        <v>#N/A</v>
      </c>
      <c r="U1839">
        <f>C1839/Navio!$J$4</f>
        <v>20.229460283993244</v>
      </c>
    </row>
    <row r="1840" spans="1:21" x14ac:dyDescent="0.3">
      <c r="A1840">
        <v>1838</v>
      </c>
      <c r="B1840" s="47">
        <v>647.4393839504778</v>
      </c>
      <c r="C1840" s="46">
        <v>378.56023247365249</v>
      </c>
      <c r="D1840" s="1">
        <v>68</v>
      </c>
      <c r="E1840" s="1">
        <v>64</v>
      </c>
      <c r="F1840" s="1">
        <v>60</v>
      </c>
      <c r="G1840" s="1" t="s">
        <v>50</v>
      </c>
      <c r="H1840" s="1" t="s">
        <v>50</v>
      </c>
      <c r="I1840" s="1" t="s">
        <v>50</v>
      </c>
      <c r="J1840" s="1" t="s">
        <v>50</v>
      </c>
      <c r="K1840" s="1" t="s">
        <v>50</v>
      </c>
      <c r="L1840">
        <f t="shared" si="183"/>
        <v>354.65328152856114</v>
      </c>
      <c r="M1840">
        <f t="shared" si="182"/>
        <v>473.00623656700782</v>
      </c>
      <c r="N1840">
        <f t="shared" si="184"/>
        <v>56.282984138412765</v>
      </c>
      <c r="O1840" t="e">
        <f t="shared" si="185"/>
        <v>#N/A</v>
      </c>
      <c r="P1840" t="e">
        <f t="shared" si="186"/>
        <v>#N/A</v>
      </c>
      <c r="Q1840" t="e">
        <f t="shared" si="187"/>
        <v>#N/A</v>
      </c>
      <c r="U1840">
        <f>C1840/Navio!$J$4</f>
        <v>20.440634963488762</v>
      </c>
    </row>
    <row r="1841" spans="1:21" x14ac:dyDescent="0.3">
      <c r="A1841">
        <v>1839</v>
      </c>
      <c r="B1841" s="47">
        <v>617.76278607445715</v>
      </c>
      <c r="C1841" s="46">
        <v>385.47252254946829</v>
      </c>
      <c r="D1841" s="1">
        <v>64</v>
      </c>
      <c r="E1841" s="1">
        <v>69</v>
      </c>
      <c r="F1841" s="1">
        <v>60</v>
      </c>
      <c r="G1841" s="1" t="s">
        <v>50</v>
      </c>
      <c r="H1841" s="1" t="s">
        <v>50</v>
      </c>
      <c r="I1841" s="1" t="s">
        <v>50</v>
      </c>
      <c r="J1841" s="1" t="s">
        <v>50</v>
      </c>
      <c r="K1841" s="1" t="s">
        <v>50</v>
      </c>
      <c r="L1841">
        <f t="shared" si="183"/>
        <v>473.00623656700782</v>
      </c>
      <c r="M1841">
        <f t="shared" si="182"/>
        <v>324.97668365254049</v>
      </c>
      <c r="N1841">
        <f t="shared" si="184"/>
        <v>56.282984138412765</v>
      </c>
      <c r="O1841" t="e">
        <f t="shared" si="185"/>
        <v>#N/A</v>
      </c>
      <c r="P1841" t="e">
        <f t="shared" si="186"/>
        <v>#N/A</v>
      </c>
      <c r="Q1841" t="e">
        <f t="shared" si="187"/>
        <v>#N/A</v>
      </c>
      <c r="U1841">
        <f>C1841/Navio!$J$4</f>
        <v>20.813869091326875</v>
      </c>
    </row>
    <row r="1842" spans="1:21" x14ac:dyDescent="0.3">
      <c r="A1842">
        <v>1840</v>
      </c>
      <c r="B1842" s="47">
        <v>529.28922070542058</v>
      </c>
      <c r="C1842" s="46">
        <v>384.89880764722921</v>
      </c>
      <c r="D1842" s="1">
        <v>64</v>
      </c>
      <c r="E1842" s="1">
        <v>70</v>
      </c>
      <c r="F1842" s="1">
        <v>60</v>
      </c>
      <c r="G1842" s="1" t="s">
        <v>50</v>
      </c>
      <c r="H1842" s="1" t="s">
        <v>50</v>
      </c>
      <c r="I1842" s="1" t="s">
        <v>50</v>
      </c>
      <c r="J1842" s="1" t="s">
        <v>50</v>
      </c>
      <c r="K1842" s="1" t="s">
        <v>50</v>
      </c>
      <c r="L1842">
        <f t="shared" si="183"/>
        <v>473.00623656700782</v>
      </c>
      <c r="M1842">
        <f t="shared" si="182"/>
        <v>473.00623656700782</v>
      </c>
      <c r="N1842">
        <f t="shared" si="184"/>
        <v>56.282984138412765</v>
      </c>
      <c r="O1842" t="e">
        <f t="shared" si="185"/>
        <v>#N/A</v>
      </c>
      <c r="P1842" t="e">
        <f t="shared" si="186"/>
        <v>#N/A</v>
      </c>
      <c r="Q1842" t="e">
        <f t="shared" si="187"/>
        <v>#N/A</v>
      </c>
      <c r="U1842">
        <f>C1842/Navio!$J$4</f>
        <v>20.7828909380931</v>
      </c>
    </row>
    <row r="1843" spans="1:21" x14ac:dyDescent="0.3">
      <c r="A1843">
        <v>1841</v>
      </c>
      <c r="B1843" s="47">
        <v>529.28922070542058</v>
      </c>
      <c r="C1843" s="46">
        <v>388.25780053551807</v>
      </c>
      <c r="D1843" s="1">
        <v>64</v>
      </c>
      <c r="E1843" s="1">
        <v>71</v>
      </c>
      <c r="F1843" s="1">
        <v>60</v>
      </c>
      <c r="G1843" s="1" t="s">
        <v>50</v>
      </c>
      <c r="H1843" s="1" t="s">
        <v>50</v>
      </c>
      <c r="I1843" s="1" t="s">
        <v>50</v>
      </c>
      <c r="J1843" s="1" t="s">
        <v>50</v>
      </c>
      <c r="K1843" s="1" t="s">
        <v>50</v>
      </c>
      <c r="L1843">
        <f t="shared" si="183"/>
        <v>473.00623656700782</v>
      </c>
      <c r="M1843">
        <f t="shared" si="182"/>
        <v>473.00623656700782</v>
      </c>
      <c r="N1843">
        <f t="shared" si="184"/>
        <v>56.282984138412765</v>
      </c>
      <c r="O1843" t="e">
        <f t="shared" si="185"/>
        <v>#N/A</v>
      </c>
      <c r="P1843" t="e">
        <f t="shared" si="186"/>
        <v>#N/A</v>
      </c>
      <c r="Q1843" t="e">
        <f t="shared" si="187"/>
        <v>#N/A</v>
      </c>
      <c r="U1843">
        <f>C1843/Navio!$J$4</f>
        <v>20.964262201064432</v>
      </c>
    </row>
    <row r="1844" spans="1:21" x14ac:dyDescent="0.3">
      <c r="A1844">
        <v>1842</v>
      </c>
      <c r="B1844" s="47">
        <v>605.73723790761949</v>
      </c>
      <c r="C1844" s="46">
        <v>373.4862159287415</v>
      </c>
      <c r="D1844" s="1">
        <v>65</v>
      </c>
      <c r="E1844" s="1">
        <v>66</v>
      </c>
      <c r="F1844" s="1">
        <v>60</v>
      </c>
      <c r="G1844" s="1" t="s">
        <v>50</v>
      </c>
      <c r="H1844" s="1" t="s">
        <v>50</v>
      </c>
      <c r="I1844" s="1" t="s">
        <v>50</v>
      </c>
      <c r="J1844" s="1" t="s">
        <v>50</v>
      </c>
      <c r="K1844" s="1" t="s">
        <v>50</v>
      </c>
      <c r="L1844">
        <f t="shared" si="183"/>
        <v>473.00623656700782</v>
      </c>
      <c r="M1844">
        <f t="shared" si="182"/>
        <v>312.95113548570282</v>
      </c>
      <c r="N1844">
        <f t="shared" si="184"/>
        <v>56.282984138412765</v>
      </c>
      <c r="O1844" t="e">
        <f t="shared" si="185"/>
        <v>#N/A</v>
      </c>
      <c r="P1844" t="e">
        <f t="shared" si="186"/>
        <v>#N/A</v>
      </c>
      <c r="Q1844" t="e">
        <f t="shared" si="187"/>
        <v>#N/A</v>
      </c>
      <c r="U1844">
        <f>C1844/Navio!$J$4</f>
        <v>20.166659751365955</v>
      </c>
    </row>
    <row r="1845" spans="1:21" x14ac:dyDescent="0.3">
      <c r="A1845">
        <v>1843</v>
      </c>
      <c r="B1845" s="47">
        <v>526.03533517896051</v>
      </c>
      <c r="C1845" s="46">
        <v>375.47780210225483</v>
      </c>
      <c r="D1845" s="1">
        <v>65</v>
      </c>
      <c r="E1845" s="1">
        <v>67</v>
      </c>
      <c r="F1845" s="1">
        <v>60</v>
      </c>
      <c r="G1845" s="1" t="s">
        <v>50</v>
      </c>
      <c r="H1845" s="1" t="s">
        <v>50</v>
      </c>
      <c r="I1845" s="1" t="s">
        <v>50</v>
      </c>
      <c r="J1845" s="1" t="s">
        <v>50</v>
      </c>
      <c r="K1845" s="1" t="s">
        <v>50</v>
      </c>
      <c r="L1845">
        <f t="shared" si="183"/>
        <v>473.00623656700782</v>
      </c>
      <c r="M1845">
        <f t="shared" si="182"/>
        <v>233.24923275704379</v>
      </c>
      <c r="N1845">
        <f t="shared" si="184"/>
        <v>56.282984138412765</v>
      </c>
      <c r="O1845" t="e">
        <f t="shared" si="185"/>
        <v>#N/A</v>
      </c>
      <c r="P1845" t="e">
        <f t="shared" si="186"/>
        <v>#N/A</v>
      </c>
      <c r="Q1845" t="e">
        <f t="shared" si="187"/>
        <v>#N/A</v>
      </c>
      <c r="U1845">
        <f>C1845/Navio!$J$4</f>
        <v>20.274196894676301</v>
      </c>
    </row>
    <row r="1846" spans="1:21" x14ac:dyDescent="0.3">
      <c r="A1846">
        <v>1844</v>
      </c>
      <c r="B1846" s="47">
        <v>647.4393839504778</v>
      </c>
      <c r="C1846" s="46">
        <v>378.43904631475306</v>
      </c>
      <c r="D1846" s="1">
        <v>68</v>
      </c>
      <c r="E1846" s="1">
        <v>65</v>
      </c>
      <c r="F1846" s="1">
        <v>60</v>
      </c>
      <c r="G1846" s="1" t="s">
        <v>50</v>
      </c>
      <c r="H1846" s="1" t="s">
        <v>50</v>
      </c>
      <c r="I1846" s="1" t="s">
        <v>50</v>
      </c>
      <c r="J1846" s="1" t="s">
        <v>50</v>
      </c>
      <c r="K1846" s="1" t="s">
        <v>50</v>
      </c>
      <c r="L1846">
        <f t="shared" si="183"/>
        <v>354.65328152856114</v>
      </c>
      <c r="M1846">
        <f t="shared" si="182"/>
        <v>473.00623656700782</v>
      </c>
      <c r="N1846">
        <f t="shared" si="184"/>
        <v>56.282984138412765</v>
      </c>
      <c r="O1846" t="e">
        <f t="shared" si="185"/>
        <v>#N/A</v>
      </c>
      <c r="P1846" t="e">
        <f t="shared" si="186"/>
        <v>#N/A</v>
      </c>
      <c r="Q1846" t="e">
        <f t="shared" si="187"/>
        <v>#N/A</v>
      </c>
      <c r="U1846">
        <f>C1846/Navio!$J$4</f>
        <v>20.434091428737361</v>
      </c>
    </row>
    <row r="1847" spans="1:21" x14ac:dyDescent="0.3">
      <c r="A1847">
        <v>1845</v>
      </c>
      <c r="B1847" s="47">
        <v>617.76278607445715</v>
      </c>
      <c r="C1847" s="46">
        <v>385.61354941656271</v>
      </c>
      <c r="D1847" s="1">
        <v>65</v>
      </c>
      <c r="E1847" s="1">
        <v>69</v>
      </c>
      <c r="F1847" s="1">
        <v>60</v>
      </c>
      <c r="G1847" s="1" t="s">
        <v>50</v>
      </c>
      <c r="H1847" s="1" t="s">
        <v>50</v>
      </c>
      <c r="I1847" s="1" t="s">
        <v>50</v>
      </c>
      <c r="J1847" s="1" t="s">
        <v>50</v>
      </c>
      <c r="K1847" s="1" t="s">
        <v>50</v>
      </c>
      <c r="L1847">
        <f t="shared" si="183"/>
        <v>473.00623656700782</v>
      </c>
      <c r="M1847">
        <f t="shared" si="182"/>
        <v>324.97668365254049</v>
      </c>
      <c r="N1847">
        <f t="shared" si="184"/>
        <v>56.282984138412765</v>
      </c>
      <c r="O1847" t="e">
        <f t="shared" si="185"/>
        <v>#N/A</v>
      </c>
      <c r="P1847" t="e">
        <f t="shared" si="186"/>
        <v>#N/A</v>
      </c>
      <c r="Q1847" t="e">
        <f t="shared" si="187"/>
        <v>#N/A</v>
      </c>
      <c r="U1847">
        <f>C1847/Navio!$J$4</f>
        <v>20.821483939541345</v>
      </c>
    </row>
    <row r="1848" spans="1:21" x14ac:dyDescent="0.3">
      <c r="A1848">
        <v>1846</v>
      </c>
      <c r="B1848" s="47">
        <v>529.28922070542058</v>
      </c>
      <c r="C1848" s="46">
        <v>384.83637955188158</v>
      </c>
      <c r="D1848" s="1">
        <v>65</v>
      </c>
      <c r="E1848" s="1">
        <v>70</v>
      </c>
      <c r="F1848" s="1">
        <v>60</v>
      </c>
      <c r="G1848" s="1" t="s">
        <v>50</v>
      </c>
      <c r="H1848" s="1" t="s">
        <v>50</v>
      </c>
      <c r="I1848" s="1" t="s">
        <v>50</v>
      </c>
      <c r="J1848" s="1" t="s">
        <v>50</v>
      </c>
      <c r="K1848" s="1" t="s">
        <v>50</v>
      </c>
      <c r="L1848">
        <f t="shared" si="183"/>
        <v>473.00623656700782</v>
      </c>
      <c r="M1848">
        <f t="shared" si="182"/>
        <v>473.00623656700782</v>
      </c>
      <c r="N1848">
        <f t="shared" si="184"/>
        <v>56.282984138412765</v>
      </c>
      <c r="O1848" t="e">
        <f t="shared" si="185"/>
        <v>#N/A</v>
      </c>
      <c r="P1848" t="e">
        <f t="shared" si="186"/>
        <v>#N/A</v>
      </c>
      <c r="Q1848" t="e">
        <f t="shared" si="187"/>
        <v>#N/A</v>
      </c>
      <c r="U1848">
        <f>C1848/Navio!$J$4</f>
        <v>20.779520087699943</v>
      </c>
    </row>
    <row r="1849" spans="1:21" x14ac:dyDescent="0.3">
      <c r="A1849">
        <v>1847</v>
      </c>
      <c r="B1849" s="47">
        <v>529.28922070542058</v>
      </c>
      <c r="C1849" s="46">
        <v>388.2396148945229</v>
      </c>
      <c r="D1849" s="1">
        <v>65</v>
      </c>
      <c r="E1849" s="1">
        <v>71</v>
      </c>
      <c r="F1849" s="1">
        <v>60</v>
      </c>
      <c r="G1849" s="1" t="s">
        <v>50</v>
      </c>
      <c r="H1849" s="1" t="s">
        <v>50</v>
      </c>
      <c r="I1849" s="1" t="s">
        <v>50</v>
      </c>
      <c r="J1849" s="1" t="s">
        <v>50</v>
      </c>
      <c r="K1849" s="1" t="s">
        <v>50</v>
      </c>
      <c r="L1849">
        <f t="shared" si="183"/>
        <v>473.00623656700782</v>
      </c>
      <c r="M1849">
        <f t="shared" si="182"/>
        <v>473.00623656700782</v>
      </c>
      <c r="N1849">
        <f t="shared" si="184"/>
        <v>56.282984138412765</v>
      </c>
      <c r="O1849" t="e">
        <f t="shared" si="185"/>
        <v>#N/A</v>
      </c>
      <c r="P1849" t="e">
        <f t="shared" si="186"/>
        <v>#N/A</v>
      </c>
      <c r="Q1849" t="e">
        <f t="shared" si="187"/>
        <v>#N/A</v>
      </c>
      <c r="U1849">
        <f>C1849/Navio!$J$4</f>
        <v>20.963280254158043</v>
      </c>
    </row>
    <row r="1850" spans="1:21" x14ac:dyDescent="0.3">
      <c r="A1850">
        <v>1848</v>
      </c>
      <c r="B1850" s="47">
        <v>602.48335238115942</v>
      </c>
      <c r="C1850" s="46">
        <v>359.71415957991303</v>
      </c>
      <c r="D1850" s="1">
        <v>67</v>
      </c>
      <c r="E1850" s="1">
        <v>66</v>
      </c>
      <c r="F1850" s="1">
        <v>60</v>
      </c>
      <c r="G1850" s="1" t="s">
        <v>50</v>
      </c>
      <c r="H1850" s="1" t="s">
        <v>50</v>
      </c>
      <c r="I1850" s="1" t="s">
        <v>50</v>
      </c>
      <c r="J1850" s="1" t="s">
        <v>50</v>
      </c>
      <c r="K1850" s="1" t="s">
        <v>50</v>
      </c>
      <c r="L1850">
        <f t="shared" si="183"/>
        <v>233.24923275704379</v>
      </c>
      <c r="M1850">
        <f t="shared" si="182"/>
        <v>312.95113548570282</v>
      </c>
      <c r="N1850">
        <f t="shared" si="184"/>
        <v>56.282984138412765</v>
      </c>
      <c r="O1850" t="e">
        <f t="shared" si="185"/>
        <v>#N/A</v>
      </c>
      <c r="P1850" t="e">
        <f t="shared" si="186"/>
        <v>#N/A</v>
      </c>
      <c r="Q1850" t="e">
        <f t="shared" si="187"/>
        <v>#N/A</v>
      </c>
      <c r="U1850">
        <f>C1850/Navio!$J$4</f>
        <v>19.423027556606584</v>
      </c>
    </row>
    <row r="1851" spans="1:21" x14ac:dyDescent="0.3">
      <c r="A1851">
        <v>1849</v>
      </c>
      <c r="B1851" s="47">
        <v>723.88740115267672</v>
      </c>
      <c r="C1851" s="46">
        <v>386.72780969376174</v>
      </c>
      <c r="D1851" s="1">
        <v>68</v>
      </c>
      <c r="E1851" s="1">
        <v>66</v>
      </c>
      <c r="F1851" s="1">
        <v>60</v>
      </c>
      <c r="G1851" s="1" t="s">
        <v>50</v>
      </c>
      <c r="H1851" s="1" t="s">
        <v>50</v>
      </c>
      <c r="I1851" s="1" t="s">
        <v>50</v>
      </c>
      <c r="J1851" s="1" t="s">
        <v>50</v>
      </c>
      <c r="K1851" s="1" t="s">
        <v>50</v>
      </c>
      <c r="L1851">
        <f t="shared" si="183"/>
        <v>354.65328152856114</v>
      </c>
      <c r="M1851">
        <f t="shared" si="182"/>
        <v>312.95113548570282</v>
      </c>
      <c r="N1851">
        <f t="shared" si="184"/>
        <v>56.282984138412765</v>
      </c>
      <c r="O1851" t="e">
        <f t="shared" si="185"/>
        <v>#N/A</v>
      </c>
      <c r="P1851" t="e">
        <f t="shared" si="186"/>
        <v>#N/A</v>
      </c>
      <c r="Q1851" t="e">
        <f t="shared" si="187"/>
        <v>#N/A</v>
      </c>
      <c r="U1851">
        <f>C1851/Navio!$J$4</f>
        <v>20.88164923326941</v>
      </c>
    </row>
    <row r="1852" spans="1:21" x14ac:dyDescent="0.3">
      <c r="A1852">
        <v>1850</v>
      </c>
      <c r="B1852" s="47">
        <v>694.21080327665607</v>
      </c>
      <c r="C1852" s="46">
        <v>377.02550666274726</v>
      </c>
      <c r="D1852" s="1">
        <v>66</v>
      </c>
      <c r="E1852" s="1">
        <v>69</v>
      </c>
      <c r="F1852" s="1">
        <v>60</v>
      </c>
      <c r="G1852" s="1" t="s">
        <v>50</v>
      </c>
      <c r="H1852" s="1" t="s">
        <v>50</v>
      </c>
      <c r="I1852" s="1" t="s">
        <v>50</v>
      </c>
      <c r="J1852" s="1" t="s">
        <v>50</v>
      </c>
      <c r="K1852" s="1" t="s">
        <v>50</v>
      </c>
      <c r="L1852">
        <f t="shared" si="183"/>
        <v>312.95113548570282</v>
      </c>
      <c r="M1852">
        <f t="shared" si="182"/>
        <v>324.97668365254049</v>
      </c>
      <c r="N1852">
        <f t="shared" si="184"/>
        <v>56.282984138412765</v>
      </c>
      <c r="O1852" t="e">
        <f t="shared" si="185"/>
        <v>#N/A</v>
      </c>
      <c r="P1852" t="e">
        <f t="shared" si="186"/>
        <v>#N/A</v>
      </c>
      <c r="Q1852" t="e">
        <f t="shared" si="187"/>
        <v>#N/A</v>
      </c>
      <c r="U1852">
        <f>C1852/Navio!$J$4</f>
        <v>20.357766327592252</v>
      </c>
    </row>
    <row r="1853" spans="1:21" x14ac:dyDescent="0.3">
      <c r="A1853">
        <v>1851</v>
      </c>
      <c r="B1853" s="47">
        <v>605.73723790761949</v>
      </c>
      <c r="C1853" s="46">
        <v>381.44608895773547</v>
      </c>
      <c r="D1853" s="1">
        <v>66</v>
      </c>
      <c r="E1853" s="1">
        <v>70</v>
      </c>
      <c r="F1853" s="1">
        <v>60</v>
      </c>
      <c r="G1853" s="1" t="s">
        <v>50</v>
      </c>
      <c r="H1853" s="1" t="s">
        <v>50</v>
      </c>
      <c r="I1853" s="1" t="s">
        <v>50</v>
      </c>
      <c r="J1853" s="1" t="s">
        <v>50</v>
      </c>
      <c r="K1853" s="1" t="s">
        <v>50</v>
      </c>
      <c r="L1853">
        <f t="shared" si="183"/>
        <v>312.95113548570282</v>
      </c>
      <c r="M1853">
        <f t="shared" si="182"/>
        <v>473.00623656700782</v>
      </c>
      <c r="N1853">
        <f t="shared" si="184"/>
        <v>56.282984138412765</v>
      </c>
      <c r="O1853" t="e">
        <f t="shared" si="185"/>
        <v>#N/A</v>
      </c>
      <c r="P1853" t="e">
        <f t="shared" si="186"/>
        <v>#N/A</v>
      </c>
      <c r="Q1853" t="e">
        <f t="shared" si="187"/>
        <v>#N/A</v>
      </c>
      <c r="U1853">
        <f>C1853/Navio!$J$4</f>
        <v>20.596458882347601</v>
      </c>
    </row>
    <row r="1854" spans="1:21" x14ac:dyDescent="0.3">
      <c r="A1854">
        <v>1852</v>
      </c>
      <c r="B1854" s="47">
        <v>605.73723790761949</v>
      </c>
      <c r="C1854" s="46">
        <v>382.61637842818607</v>
      </c>
      <c r="D1854" s="1">
        <v>66</v>
      </c>
      <c r="E1854" s="1">
        <v>71</v>
      </c>
      <c r="F1854" s="1">
        <v>60</v>
      </c>
      <c r="G1854" s="1" t="s">
        <v>50</v>
      </c>
      <c r="H1854" s="1" t="s">
        <v>50</v>
      </c>
      <c r="I1854" s="1" t="s">
        <v>50</v>
      </c>
      <c r="J1854" s="1" t="s">
        <v>50</v>
      </c>
      <c r="K1854" s="1" t="s">
        <v>50</v>
      </c>
      <c r="L1854">
        <f t="shared" si="183"/>
        <v>312.95113548570282</v>
      </c>
      <c r="M1854">
        <f t="shared" si="182"/>
        <v>473.00623656700782</v>
      </c>
      <c r="N1854">
        <f t="shared" si="184"/>
        <v>56.282984138412765</v>
      </c>
      <c r="O1854" t="e">
        <f t="shared" si="185"/>
        <v>#N/A</v>
      </c>
      <c r="P1854" t="e">
        <f t="shared" si="186"/>
        <v>#N/A</v>
      </c>
      <c r="Q1854" t="e">
        <f t="shared" si="187"/>
        <v>#N/A</v>
      </c>
      <c r="U1854">
        <f>C1854/Navio!$J$4</f>
        <v>20.659649513098177</v>
      </c>
    </row>
    <row r="1855" spans="1:21" x14ac:dyDescent="0.3">
      <c r="A1855">
        <v>1853</v>
      </c>
      <c r="B1855" s="47">
        <v>644.18549842401774</v>
      </c>
      <c r="C1855" s="46">
        <v>388.63099451361825</v>
      </c>
      <c r="D1855" s="1">
        <v>68</v>
      </c>
      <c r="E1855" s="1">
        <v>67</v>
      </c>
      <c r="F1855" s="1">
        <v>60</v>
      </c>
      <c r="G1855" s="1" t="s">
        <v>50</v>
      </c>
      <c r="H1855" s="1" t="s">
        <v>50</v>
      </c>
      <c r="I1855" s="1" t="s">
        <v>50</v>
      </c>
      <c r="J1855" s="1" t="s">
        <v>50</v>
      </c>
      <c r="K1855" s="1" t="s">
        <v>50</v>
      </c>
      <c r="L1855">
        <f t="shared" si="183"/>
        <v>354.65328152856114</v>
      </c>
      <c r="M1855">
        <f t="shared" si="182"/>
        <v>233.24923275704379</v>
      </c>
      <c r="N1855">
        <f t="shared" si="184"/>
        <v>56.282984138412765</v>
      </c>
      <c r="O1855" t="e">
        <f t="shared" si="185"/>
        <v>#N/A</v>
      </c>
      <c r="P1855" t="e">
        <f t="shared" si="186"/>
        <v>#N/A</v>
      </c>
      <c r="Q1855" t="e">
        <f t="shared" si="187"/>
        <v>#N/A</v>
      </c>
      <c r="U1855">
        <f>C1855/Navio!$J$4</f>
        <v>20.984413081221788</v>
      </c>
    </row>
    <row r="1856" spans="1:21" x14ac:dyDescent="0.3">
      <c r="A1856">
        <v>1854</v>
      </c>
      <c r="B1856" s="47">
        <v>614.50890054799709</v>
      </c>
      <c r="C1856" s="46">
        <v>377.10195026378176</v>
      </c>
      <c r="D1856" s="1">
        <v>67</v>
      </c>
      <c r="E1856" s="1">
        <v>69</v>
      </c>
      <c r="F1856" s="1">
        <v>60</v>
      </c>
      <c r="G1856" s="1" t="s">
        <v>50</v>
      </c>
      <c r="H1856" s="1" t="s">
        <v>50</v>
      </c>
      <c r="I1856" s="1" t="s">
        <v>50</v>
      </c>
      <c r="J1856" s="1" t="s">
        <v>50</v>
      </c>
      <c r="K1856" s="1" t="s">
        <v>50</v>
      </c>
      <c r="L1856">
        <f t="shared" si="183"/>
        <v>233.24923275704379</v>
      </c>
      <c r="M1856">
        <f t="shared" si="182"/>
        <v>324.97668365254049</v>
      </c>
      <c r="N1856">
        <f t="shared" si="184"/>
        <v>56.282984138412765</v>
      </c>
      <c r="O1856" t="e">
        <f t="shared" si="185"/>
        <v>#N/A</v>
      </c>
      <c r="P1856" t="e">
        <f t="shared" si="186"/>
        <v>#N/A</v>
      </c>
      <c r="Q1856" t="e">
        <f t="shared" si="187"/>
        <v>#N/A</v>
      </c>
      <c r="U1856">
        <f>C1856/Navio!$J$4</f>
        <v>20.36189395540416</v>
      </c>
    </row>
    <row r="1857" spans="1:21" x14ac:dyDescent="0.3">
      <c r="A1857">
        <v>1855</v>
      </c>
      <c r="B1857" s="47">
        <v>526.03533517896051</v>
      </c>
      <c r="C1857" s="46">
        <v>382.04558723351488</v>
      </c>
      <c r="D1857" s="1">
        <v>67</v>
      </c>
      <c r="E1857" s="1">
        <v>70</v>
      </c>
      <c r="F1857" s="1">
        <v>60</v>
      </c>
      <c r="G1857" s="1" t="s">
        <v>50</v>
      </c>
      <c r="H1857" s="1" t="s">
        <v>50</v>
      </c>
      <c r="I1857" s="1" t="s">
        <v>50</v>
      </c>
      <c r="J1857" s="1" t="s">
        <v>50</v>
      </c>
      <c r="K1857" s="1" t="s">
        <v>50</v>
      </c>
      <c r="L1857">
        <f t="shared" si="183"/>
        <v>233.24923275704379</v>
      </c>
      <c r="M1857">
        <f t="shared" si="182"/>
        <v>473.00623656700782</v>
      </c>
      <c r="N1857">
        <f t="shared" si="184"/>
        <v>56.282984138412765</v>
      </c>
      <c r="O1857" t="e">
        <f t="shared" si="185"/>
        <v>#N/A</v>
      </c>
      <c r="P1857" t="e">
        <f t="shared" si="186"/>
        <v>#N/A</v>
      </c>
      <c r="Q1857" t="e">
        <f t="shared" si="187"/>
        <v>#N/A</v>
      </c>
      <c r="U1857">
        <f>C1857/Navio!$J$4</f>
        <v>20.628829227580049</v>
      </c>
    </row>
    <row r="1858" spans="1:21" x14ac:dyDescent="0.3">
      <c r="A1858">
        <v>1856</v>
      </c>
      <c r="B1858" s="47">
        <v>526.03533517896051</v>
      </c>
      <c r="C1858" s="46">
        <v>382.91833960002288</v>
      </c>
      <c r="D1858" s="1">
        <v>67</v>
      </c>
      <c r="E1858" s="1">
        <v>71</v>
      </c>
      <c r="F1858" s="1">
        <v>60</v>
      </c>
      <c r="G1858" s="1" t="s">
        <v>50</v>
      </c>
      <c r="H1858" s="1" t="s">
        <v>50</v>
      </c>
      <c r="I1858" s="1" t="s">
        <v>50</v>
      </c>
      <c r="J1858" s="1" t="s">
        <v>50</v>
      </c>
      <c r="K1858" s="1" t="s">
        <v>50</v>
      </c>
      <c r="L1858">
        <f t="shared" si="183"/>
        <v>233.24923275704379</v>
      </c>
      <c r="M1858">
        <f t="shared" si="182"/>
        <v>473.00623656700782</v>
      </c>
      <c r="N1858">
        <f t="shared" si="184"/>
        <v>56.282984138412765</v>
      </c>
      <c r="O1858" t="e">
        <f t="shared" si="185"/>
        <v>#N/A</v>
      </c>
      <c r="P1858" t="e">
        <f t="shared" si="186"/>
        <v>#N/A</v>
      </c>
      <c r="Q1858" t="e">
        <f t="shared" si="187"/>
        <v>#N/A</v>
      </c>
      <c r="U1858">
        <f>C1858/Navio!$J$4</f>
        <v>20.675954126095512</v>
      </c>
    </row>
    <row r="1859" spans="1:21" x14ac:dyDescent="0.3">
      <c r="A1859">
        <v>1857</v>
      </c>
      <c r="B1859" s="47">
        <v>735.91294931951438</v>
      </c>
      <c r="C1859" s="46">
        <v>395.69475638330709</v>
      </c>
      <c r="D1859" s="1">
        <v>68</v>
      </c>
      <c r="E1859" s="1">
        <v>69</v>
      </c>
      <c r="F1859" s="1">
        <v>60</v>
      </c>
      <c r="G1859" s="1" t="s">
        <v>50</v>
      </c>
      <c r="H1859" s="1" t="s">
        <v>50</v>
      </c>
      <c r="I1859" s="1" t="s">
        <v>50</v>
      </c>
      <c r="J1859" s="1" t="s">
        <v>50</v>
      </c>
      <c r="K1859" s="1" t="s">
        <v>50</v>
      </c>
      <c r="L1859">
        <f t="shared" si="183"/>
        <v>354.65328152856114</v>
      </c>
      <c r="M1859">
        <f t="shared" ref="M1859:M1922" si="188">VLOOKUP(E1859,$Y$2:$Z$80,2)</f>
        <v>324.97668365254049</v>
      </c>
      <c r="N1859">
        <f t="shared" si="184"/>
        <v>56.282984138412765</v>
      </c>
      <c r="O1859" t="e">
        <f t="shared" si="185"/>
        <v>#N/A</v>
      </c>
      <c r="P1859" t="e">
        <f t="shared" si="186"/>
        <v>#N/A</v>
      </c>
      <c r="Q1859" t="e">
        <f t="shared" si="187"/>
        <v>#N/A</v>
      </c>
      <c r="U1859">
        <f>C1859/Navio!$J$4</f>
        <v>21.365826038689185</v>
      </c>
    </row>
    <row r="1860" spans="1:21" x14ac:dyDescent="0.3">
      <c r="A1860">
        <v>1858</v>
      </c>
      <c r="B1860" s="47">
        <v>647.4393839504778</v>
      </c>
      <c r="C1860" s="46">
        <v>393.19197705937859</v>
      </c>
      <c r="D1860" s="1">
        <v>68</v>
      </c>
      <c r="E1860" s="1">
        <v>70</v>
      </c>
      <c r="F1860" s="1">
        <v>60</v>
      </c>
      <c r="G1860" s="1" t="s">
        <v>50</v>
      </c>
      <c r="H1860" s="1" t="s">
        <v>50</v>
      </c>
      <c r="I1860" s="1" t="s">
        <v>50</v>
      </c>
      <c r="J1860" s="1" t="s">
        <v>50</v>
      </c>
      <c r="K1860" s="1" t="s">
        <v>50</v>
      </c>
      <c r="L1860">
        <f t="shared" si="183"/>
        <v>354.65328152856114</v>
      </c>
      <c r="M1860">
        <f t="shared" si="188"/>
        <v>473.00623656700782</v>
      </c>
      <c r="N1860">
        <f t="shared" si="184"/>
        <v>56.282984138412765</v>
      </c>
      <c r="O1860" t="e">
        <f t="shared" si="185"/>
        <v>#N/A</v>
      </c>
      <c r="P1860" t="e">
        <f t="shared" si="186"/>
        <v>#N/A</v>
      </c>
      <c r="Q1860" t="e">
        <f t="shared" si="187"/>
        <v>#N/A</v>
      </c>
      <c r="U1860">
        <f>C1860/Navio!$J$4</f>
        <v>21.230686649587742</v>
      </c>
    </row>
    <row r="1861" spans="1:21" x14ac:dyDescent="0.3">
      <c r="A1861">
        <v>1859</v>
      </c>
      <c r="B1861" s="47">
        <v>647.4393839504778</v>
      </c>
      <c r="C1861" s="46">
        <v>396.86675441200759</v>
      </c>
      <c r="D1861" s="1">
        <v>68</v>
      </c>
      <c r="E1861" s="1">
        <v>71</v>
      </c>
      <c r="F1861" s="1">
        <v>60</v>
      </c>
      <c r="G1861" s="1" t="s">
        <v>50</v>
      </c>
      <c r="H1861" s="1" t="s">
        <v>50</v>
      </c>
      <c r="I1861" s="1" t="s">
        <v>50</v>
      </c>
      <c r="J1861" s="1" t="s">
        <v>50</v>
      </c>
      <c r="K1861" s="1" t="s">
        <v>50</v>
      </c>
      <c r="L1861">
        <f t="shared" si="183"/>
        <v>354.65328152856114</v>
      </c>
      <c r="M1861">
        <f t="shared" si="188"/>
        <v>473.00623656700782</v>
      </c>
      <c r="N1861">
        <f t="shared" si="184"/>
        <v>56.282984138412765</v>
      </c>
      <c r="O1861" t="e">
        <f t="shared" si="185"/>
        <v>#N/A</v>
      </c>
      <c r="P1861" t="e">
        <f t="shared" si="186"/>
        <v>#N/A</v>
      </c>
      <c r="Q1861" t="e">
        <f t="shared" si="187"/>
        <v>#N/A</v>
      </c>
      <c r="U1861">
        <f>C1861/Navio!$J$4</f>
        <v>21.429108924284577</v>
      </c>
    </row>
    <row r="1862" spans="1:21" x14ac:dyDescent="0.3">
      <c r="A1862">
        <v>1860</v>
      </c>
      <c r="B1862" s="47">
        <v>617.76278607445715</v>
      </c>
      <c r="C1862" s="46">
        <v>383.80086286565961</v>
      </c>
      <c r="D1862" s="1">
        <v>69</v>
      </c>
      <c r="E1862" s="1">
        <v>70</v>
      </c>
      <c r="F1862" s="1">
        <v>60</v>
      </c>
      <c r="G1862" s="1" t="s">
        <v>50</v>
      </c>
      <c r="H1862" s="1" t="s">
        <v>50</v>
      </c>
      <c r="I1862" s="1" t="s">
        <v>50</v>
      </c>
      <c r="J1862" s="1" t="s">
        <v>50</v>
      </c>
      <c r="K1862" s="1" t="s">
        <v>50</v>
      </c>
      <c r="L1862">
        <f t="shared" si="183"/>
        <v>324.97668365254049</v>
      </c>
      <c r="M1862">
        <f t="shared" si="188"/>
        <v>473.00623656700782</v>
      </c>
      <c r="N1862">
        <f t="shared" si="184"/>
        <v>56.282984138412765</v>
      </c>
      <c r="O1862" t="e">
        <f t="shared" si="185"/>
        <v>#N/A</v>
      </c>
      <c r="P1862" t="e">
        <f t="shared" si="186"/>
        <v>#N/A</v>
      </c>
      <c r="Q1862" t="e">
        <f t="shared" si="187"/>
        <v>#N/A</v>
      </c>
      <c r="U1862">
        <f>C1862/Navio!$J$4</f>
        <v>20.723606611412816</v>
      </c>
    </row>
    <row r="1863" spans="1:21" x14ac:dyDescent="0.3">
      <c r="A1863">
        <v>1861</v>
      </c>
      <c r="B1863" s="47">
        <v>617.76278607445715</v>
      </c>
      <c r="C1863" s="46">
        <v>383.20081392273369</v>
      </c>
      <c r="D1863" s="1">
        <v>69</v>
      </c>
      <c r="E1863" s="1">
        <v>71</v>
      </c>
      <c r="F1863" s="1">
        <v>60</v>
      </c>
      <c r="G1863" s="1" t="s">
        <v>50</v>
      </c>
      <c r="H1863" s="1" t="s">
        <v>50</v>
      </c>
      <c r="I1863" s="1" t="s">
        <v>50</v>
      </c>
      <c r="J1863" s="1" t="s">
        <v>50</v>
      </c>
      <c r="K1863" s="1" t="s">
        <v>50</v>
      </c>
      <c r="L1863">
        <f t="shared" si="183"/>
        <v>324.97668365254049</v>
      </c>
      <c r="M1863">
        <f t="shared" si="188"/>
        <v>473.00623656700782</v>
      </c>
      <c r="N1863">
        <f t="shared" si="184"/>
        <v>56.282984138412765</v>
      </c>
      <c r="O1863" t="e">
        <f t="shared" si="185"/>
        <v>#N/A</v>
      </c>
      <c r="P1863" t="e">
        <f t="shared" si="186"/>
        <v>#N/A</v>
      </c>
      <c r="Q1863" t="e">
        <f t="shared" si="187"/>
        <v>#N/A</v>
      </c>
      <c r="U1863">
        <f>C1863/Navio!$J$4</f>
        <v>20.691206532507461</v>
      </c>
    </row>
    <row r="1864" spans="1:21" x14ac:dyDescent="0.3">
      <c r="A1864">
        <v>1862</v>
      </c>
      <c r="B1864" s="47">
        <v>529.28922070542058</v>
      </c>
      <c r="C1864" s="46">
        <v>384.28041446664236</v>
      </c>
      <c r="D1864" s="1">
        <v>71</v>
      </c>
      <c r="E1864" s="1">
        <v>70</v>
      </c>
      <c r="F1864" s="1">
        <v>60</v>
      </c>
      <c r="G1864" s="1" t="s">
        <v>50</v>
      </c>
      <c r="H1864" s="1" t="s">
        <v>50</v>
      </c>
      <c r="I1864" s="1" t="s">
        <v>50</v>
      </c>
      <c r="J1864" s="1" t="s">
        <v>50</v>
      </c>
      <c r="K1864" s="1" t="s">
        <v>50</v>
      </c>
      <c r="L1864">
        <f t="shared" si="183"/>
        <v>473.00623656700782</v>
      </c>
      <c r="M1864">
        <f t="shared" si="188"/>
        <v>473.00623656700782</v>
      </c>
      <c r="N1864">
        <f t="shared" si="184"/>
        <v>56.282984138412765</v>
      </c>
      <c r="O1864" t="e">
        <f t="shared" si="185"/>
        <v>#N/A</v>
      </c>
      <c r="P1864" t="e">
        <f t="shared" si="186"/>
        <v>#N/A</v>
      </c>
      <c r="Q1864" t="e">
        <f t="shared" si="187"/>
        <v>#N/A</v>
      </c>
      <c r="U1864">
        <f>C1864/Navio!$J$4</f>
        <v>20.749500348739087</v>
      </c>
    </row>
    <row r="1865" spans="1:21" x14ac:dyDescent="0.3">
      <c r="A1865">
        <v>1863</v>
      </c>
      <c r="B1865" s="47">
        <v>879.27927326224449</v>
      </c>
      <c r="C1865" s="46">
        <v>363.92751678788647</v>
      </c>
      <c r="D1865" s="1">
        <v>63</v>
      </c>
      <c r="E1865" s="1">
        <v>64</v>
      </c>
      <c r="F1865" s="1">
        <v>62</v>
      </c>
      <c r="G1865" s="1" t="s">
        <v>50</v>
      </c>
      <c r="H1865" s="1" t="s">
        <v>50</v>
      </c>
      <c r="I1865" s="1" t="s">
        <v>50</v>
      </c>
      <c r="J1865" s="1" t="s">
        <v>50</v>
      </c>
      <c r="K1865" s="1" t="s">
        <v>50</v>
      </c>
      <c r="L1865">
        <f t="shared" si="183"/>
        <v>473.00623656700782</v>
      </c>
      <c r="M1865">
        <f t="shared" si="188"/>
        <v>473.00623656700782</v>
      </c>
      <c r="N1865">
        <f t="shared" si="184"/>
        <v>406.27303669523673</v>
      </c>
      <c r="O1865" t="e">
        <f t="shared" si="185"/>
        <v>#N/A</v>
      </c>
      <c r="P1865" t="e">
        <f t="shared" si="186"/>
        <v>#N/A</v>
      </c>
      <c r="Q1865" t="e">
        <f t="shared" si="187"/>
        <v>#N/A</v>
      </c>
      <c r="U1865">
        <f>C1865/Navio!$J$4</f>
        <v>19.650530842137144</v>
      </c>
    </row>
    <row r="1866" spans="1:21" x14ac:dyDescent="0.3">
      <c r="A1866">
        <v>1864</v>
      </c>
      <c r="B1866" s="47">
        <v>879.27927326224449</v>
      </c>
      <c r="C1866" s="46">
        <v>365.3036444628728</v>
      </c>
      <c r="D1866" s="1">
        <v>63</v>
      </c>
      <c r="E1866" s="1">
        <v>65</v>
      </c>
      <c r="F1866" s="1">
        <v>62</v>
      </c>
      <c r="G1866" s="1" t="s">
        <v>50</v>
      </c>
      <c r="H1866" s="1" t="s">
        <v>50</v>
      </c>
      <c r="I1866" s="1" t="s">
        <v>50</v>
      </c>
      <c r="J1866" s="1" t="s">
        <v>50</v>
      </c>
      <c r="K1866" s="1" t="s">
        <v>50</v>
      </c>
      <c r="L1866">
        <f t="shared" si="183"/>
        <v>473.00623656700782</v>
      </c>
      <c r="M1866">
        <f t="shared" si="188"/>
        <v>473.00623656700782</v>
      </c>
      <c r="N1866">
        <f t="shared" si="184"/>
        <v>406.27303669523673</v>
      </c>
      <c r="O1866" t="e">
        <f t="shared" si="185"/>
        <v>#N/A</v>
      </c>
      <c r="P1866" t="e">
        <f t="shared" si="186"/>
        <v>#N/A</v>
      </c>
      <c r="Q1866" t="e">
        <f t="shared" si="187"/>
        <v>#N/A</v>
      </c>
      <c r="U1866">
        <f>C1866/Navio!$J$4</f>
        <v>19.7248358563848</v>
      </c>
    </row>
    <row r="1867" spans="1:21" x14ac:dyDescent="0.3">
      <c r="A1867">
        <v>1865</v>
      </c>
      <c r="B1867" s="47">
        <v>876.02538773578442</v>
      </c>
      <c r="C1867" s="46">
        <v>370.86281649714448</v>
      </c>
      <c r="D1867" s="1">
        <v>67</v>
      </c>
      <c r="E1867" s="1">
        <v>63</v>
      </c>
      <c r="F1867" s="1">
        <v>62</v>
      </c>
      <c r="G1867" s="1" t="s">
        <v>50</v>
      </c>
      <c r="H1867" s="1" t="s">
        <v>50</v>
      </c>
      <c r="I1867" s="1" t="s">
        <v>50</v>
      </c>
      <c r="J1867" s="1" t="s">
        <v>50</v>
      </c>
      <c r="K1867" s="1" t="s">
        <v>50</v>
      </c>
      <c r="L1867">
        <f t="shared" si="183"/>
        <v>233.24923275704379</v>
      </c>
      <c r="M1867">
        <f t="shared" si="188"/>
        <v>473.00623656700782</v>
      </c>
      <c r="N1867">
        <f t="shared" si="184"/>
        <v>406.27303669523673</v>
      </c>
      <c r="O1867" t="e">
        <f t="shared" si="185"/>
        <v>#N/A</v>
      </c>
      <c r="P1867" t="e">
        <f t="shared" si="186"/>
        <v>#N/A</v>
      </c>
      <c r="Q1867" t="e">
        <f t="shared" si="187"/>
        <v>#N/A</v>
      </c>
      <c r="U1867">
        <f>C1867/Navio!$J$4</f>
        <v>20.025007391860839</v>
      </c>
    </row>
    <row r="1868" spans="1:21" x14ac:dyDescent="0.3">
      <c r="A1868">
        <v>1866</v>
      </c>
      <c r="B1868" s="47">
        <v>879.27927326224449</v>
      </c>
      <c r="C1868" s="46">
        <v>384.36699350899096</v>
      </c>
      <c r="D1868" s="1">
        <v>63</v>
      </c>
      <c r="E1868" s="1">
        <v>70</v>
      </c>
      <c r="F1868" s="1">
        <v>62</v>
      </c>
      <c r="G1868" s="1" t="s">
        <v>50</v>
      </c>
      <c r="H1868" s="1" t="s">
        <v>50</v>
      </c>
      <c r="I1868" s="1" t="s">
        <v>50</v>
      </c>
      <c r="J1868" s="1" t="s">
        <v>50</v>
      </c>
      <c r="K1868" s="1" t="s">
        <v>50</v>
      </c>
      <c r="L1868">
        <f t="shared" si="183"/>
        <v>473.00623656700782</v>
      </c>
      <c r="M1868">
        <f t="shared" si="188"/>
        <v>473.00623656700782</v>
      </c>
      <c r="N1868">
        <f t="shared" si="184"/>
        <v>406.27303669523673</v>
      </c>
      <c r="O1868" t="e">
        <f t="shared" si="185"/>
        <v>#N/A</v>
      </c>
      <c r="P1868" t="e">
        <f t="shared" si="186"/>
        <v>#N/A</v>
      </c>
      <c r="Q1868" t="e">
        <f t="shared" si="187"/>
        <v>#N/A</v>
      </c>
      <c r="U1868">
        <f>C1868/Navio!$J$4</f>
        <v>20.754175247073157</v>
      </c>
    </row>
    <row r="1869" spans="1:21" x14ac:dyDescent="0.3">
      <c r="A1869">
        <v>1867</v>
      </c>
      <c r="B1869" s="47">
        <v>879.27927326224449</v>
      </c>
      <c r="C1869" s="46">
        <v>388.00795326136915</v>
      </c>
      <c r="D1869" s="1">
        <v>63</v>
      </c>
      <c r="E1869" s="1">
        <v>71</v>
      </c>
      <c r="F1869" s="1">
        <v>62</v>
      </c>
      <c r="G1869" s="1" t="s">
        <v>50</v>
      </c>
      <c r="H1869" s="1" t="s">
        <v>50</v>
      </c>
      <c r="I1869" s="1" t="s">
        <v>50</v>
      </c>
      <c r="J1869" s="1" t="s">
        <v>50</v>
      </c>
      <c r="K1869" s="1" t="s">
        <v>50</v>
      </c>
      <c r="L1869">
        <f t="shared" ref="L1869:L1932" si="189">VLOOKUP(D1869,$Y$2:$Z$80,2)</f>
        <v>473.00623656700782</v>
      </c>
      <c r="M1869">
        <f t="shared" si="188"/>
        <v>473.00623656700782</v>
      </c>
      <c r="N1869">
        <f t="shared" ref="N1869:N1932" si="190">VLOOKUP(F1869,$Y$2:$Z$80,2)</f>
        <v>406.27303669523673</v>
      </c>
      <c r="O1869" t="e">
        <f t="shared" ref="O1869:O1932" si="191">VLOOKUP(G1869,$Y$2:$Z$80,2)</f>
        <v>#N/A</v>
      </c>
      <c r="P1869" t="e">
        <f t="shared" ref="P1869:P1932" si="192">VLOOKUP(H1869,$Y$2:$Z$80,2)</f>
        <v>#N/A</v>
      </c>
      <c r="Q1869" t="e">
        <f t="shared" ref="Q1869:Q1932" si="193">VLOOKUP(I1869,$Y$2:$Z$80,2)</f>
        <v>#N/A</v>
      </c>
      <c r="U1869">
        <f>C1869/Navio!$J$4</f>
        <v>20.950771515859255</v>
      </c>
    </row>
    <row r="1870" spans="1:21" x14ac:dyDescent="0.3">
      <c r="A1870">
        <v>1868</v>
      </c>
      <c r="B1870" s="47">
        <v>879.27927326224449</v>
      </c>
      <c r="C1870" s="46">
        <v>359.98293648026743</v>
      </c>
      <c r="D1870" s="1">
        <v>65</v>
      </c>
      <c r="E1870" s="1">
        <v>64</v>
      </c>
      <c r="F1870" s="1">
        <v>62</v>
      </c>
      <c r="G1870" s="1" t="s">
        <v>50</v>
      </c>
      <c r="H1870" s="1" t="s">
        <v>50</v>
      </c>
      <c r="I1870" s="1" t="s">
        <v>50</v>
      </c>
      <c r="J1870" s="1" t="s">
        <v>50</v>
      </c>
      <c r="K1870" s="1" t="s">
        <v>50</v>
      </c>
      <c r="L1870">
        <f t="shared" si="189"/>
        <v>473.00623656700782</v>
      </c>
      <c r="M1870">
        <f t="shared" si="188"/>
        <v>473.00623656700782</v>
      </c>
      <c r="N1870">
        <f t="shared" si="190"/>
        <v>406.27303669523673</v>
      </c>
      <c r="O1870" t="e">
        <f t="shared" si="191"/>
        <v>#N/A</v>
      </c>
      <c r="P1870" t="e">
        <f t="shared" si="192"/>
        <v>#N/A</v>
      </c>
      <c r="Q1870" t="e">
        <f t="shared" si="193"/>
        <v>#N/A</v>
      </c>
      <c r="U1870">
        <f>C1870/Navio!$J$4</f>
        <v>19.437540360740453</v>
      </c>
    </row>
    <row r="1871" spans="1:21" x14ac:dyDescent="0.3">
      <c r="A1871">
        <v>1869</v>
      </c>
      <c r="B1871" s="47">
        <v>876.02538773578442</v>
      </c>
      <c r="C1871" s="46">
        <v>373.74381038239267</v>
      </c>
      <c r="D1871" s="1">
        <v>67</v>
      </c>
      <c r="E1871" s="1">
        <v>64</v>
      </c>
      <c r="F1871" s="1">
        <v>62</v>
      </c>
      <c r="G1871" s="1" t="s">
        <v>50</v>
      </c>
      <c r="H1871" s="1" t="s">
        <v>50</v>
      </c>
      <c r="I1871" s="1" t="s">
        <v>50</v>
      </c>
      <c r="J1871" s="1" t="s">
        <v>50</v>
      </c>
      <c r="K1871" s="1" t="s">
        <v>50</v>
      </c>
      <c r="L1871">
        <f t="shared" si="189"/>
        <v>233.24923275704379</v>
      </c>
      <c r="M1871">
        <f t="shared" si="188"/>
        <v>473.00623656700782</v>
      </c>
      <c r="N1871">
        <f t="shared" si="190"/>
        <v>406.27303669523673</v>
      </c>
      <c r="O1871" t="e">
        <f t="shared" si="191"/>
        <v>#N/A</v>
      </c>
      <c r="P1871" t="e">
        <f t="shared" si="192"/>
        <v>#N/A</v>
      </c>
      <c r="Q1871" t="e">
        <f t="shared" si="193"/>
        <v>#N/A</v>
      </c>
      <c r="U1871">
        <f>C1871/Navio!$J$4</f>
        <v>20.180568751160511</v>
      </c>
    </row>
    <row r="1872" spans="1:21" x14ac:dyDescent="0.3">
      <c r="A1872">
        <v>1870</v>
      </c>
      <c r="B1872" s="47">
        <v>879.27927326224449</v>
      </c>
      <c r="C1872" s="46">
        <v>384.90440857328059</v>
      </c>
      <c r="D1872" s="1">
        <v>70</v>
      </c>
      <c r="E1872" s="1">
        <v>64</v>
      </c>
      <c r="F1872" s="1">
        <v>62</v>
      </c>
      <c r="G1872" s="1" t="s">
        <v>50</v>
      </c>
      <c r="H1872" s="1" t="s">
        <v>50</v>
      </c>
      <c r="I1872" s="1" t="s">
        <v>50</v>
      </c>
      <c r="J1872" s="1" t="s">
        <v>50</v>
      </c>
      <c r="K1872" s="1" t="s">
        <v>50</v>
      </c>
      <c r="L1872">
        <f t="shared" si="189"/>
        <v>473.00623656700782</v>
      </c>
      <c r="M1872">
        <f t="shared" si="188"/>
        <v>473.00623656700782</v>
      </c>
      <c r="N1872">
        <f t="shared" si="190"/>
        <v>406.27303669523673</v>
      </c>
      <c r="O1872" t="e">
        <f t="shared" si="191"/>
        <v>#N/A</v>
      </c>
      <c r="P1872" t="e">
        <f t="shared" si="192"/>
        <v>#N/A</v>
      </c>
      <c r="Q1872" t="e">
        <f t="shared" si="193"/>
        <v>#N/A</v>
      </c>
      <c r="U1872">
        <f>C1872/Navio!$J$4</f>
        <v>20.783193364167083</v>
      </c>
    </row>
    <row r="1873" spans="1:21" x14ac:dyDescent="0.3">
      <c r="A1873">
        <v>1871</v>
      </c>
      <c r="B1873" s="47">
        <v>879.27927326224449</v>
      </c>
      <c r="C1873" s="46">
        <v>388.23913314343184</v>
      </c>
      <c r="D1873" s="1">
        <v>71</v>
      </c>
      <c r="E1873" s="1">
        <v>64</v>
      </c>
      <c r="F1873" s="1">
        <v>62</v>
      </c>
      <c r="G1873" s="1" t="s">
        <v>50</v>
      </c>
      <c r="H1873" s="1" t="s">
        <v>50</v>
      </c>
      <c r="I1873" s="1" t="s">
        <v>50</v>
      </c>
      <c r="J1873" s="1" t="s">
        <v>50</v>
      </c>
      <c r="K1873" s="1" t="s">
        <v>50</v>
      </c>
      <c r="L1873">
        <f t="shared" si="189"/>
        <v>473.00623656700782</v>
      </c>
      <c r="M1873">
        <f t="shared" si="188"/>
        <v>473.00623656700782</v>
      </c>
      <c r="N1873">
        <f t="shared" si="190"/>
        <v>406.27303669523673</v>
      </c>
      <c r="O1873" t="e">
        <f t="shared" si="191"/>
        <v>#N/A</v>
      </c>
      <c r="P1873" t="e">
        <f t="shared" si="192"/>
        <v>#N/A</v>
      </c>
      <c r="Q1873" t="e">
        <f t="shared" si="193"/>
        <v>#N/A</v>
      </c>
      <c r="U1873">
        <f>C1873/Navio!$J$4</f>
        <v>20.963254241657651</v>
      </c>
    </row>
    <row r="1874" spans="1:21" x14ac:dyDescent="0.3">
      <c r="A1874">
        <v>1872</v>
      </c>
      <c r="B1874" s="47">
        <v>876.02538773578442</v>
      </c>
      <c r="C1874" s="46">
        <v>374.6681218888757</v>
      </c>
      <c r="D1874" s="1">
        <v>67</v>
      </c>
      <c r="E1874" s="1">
        <v>65</v>
      </c>
      <c r="F1874" s="1">
        <v>62</v>
      </c>
      <c r="G1874" s="1" t="s">
        <v>50</v>
      </c>
      <c r="H1874" s="1" t="s">
        <v>50</v>
      </c>
      <c r="I1874" s="1" t="s">
        <v>50</v>
      </c>
      <c r="J1874" s="1" t="s">
        <v>50</v>
      </c>
      <c r="K1874" s="1" t="s">
        <v>50</v>
      </c>
      <c r="L1874">
        <f t="shared" si="189"/>
        <v>233.24923275704379</v>
      </c>
      <c r="M1874">
        <f t="shared" si="188"/>
        <v>473.00623656700782</v>
      </c>
      <c r="N1874">
        <f t="shared" si="190"/>
        <v>406.27303669523673</v>
      </c>
      <c r="O1874" t="e">
        <f t="shared" si="191"/>
        <v>#N/A</v>
      </c>
      <c r="P1874" t="e">
        <f t="shared" si="192"/>
        <v>#N/A</v>
      </c>
      <c r="Q1874" t="e">
        <f t="shared" si="193"/>
        <v>#N/A</v>
      </c>
      <c r="U1874">
        <f>C1874/Navio!$J$4</f>
        <v>20.23047762292212</v>
      </c>
    </row>
    <row r="1875" spans="1:21" x14ac:dyDescent="0.3">
      <c r="A1875">
        <v>1873</v>
      </c>
      <c r="B1875" s="47">
        <v>879.27927326224449</v>
      </c>
      <c r="C1875" s="46">
        <v>384.93777067035165</v>
      </c>
      <c r="D1875" s="1">
        <v>70</v>
      </c>
      <c r="E1875" s="1">
        <v>65</v>
      </c>
      <c r="F1875" s="1">
        <v>62</v>
      </c>
      <c r="G1875" s="1" t="s">
        <v>50</v>
      </c>
      <c r="H1875" s="1" t="s">
        <v>50</v>
      </c>
      <c r="I1875" s="1" t="s">
        <v>50</v>
      </c>
      <c r="J1875" s="1" t="s">
        <v>50</v>
      </c>
      <c r="K1875" s="1" t="s">
        <v>50</v>
      </c>
      <c r="L1875">
        <f t="shared" si="189"/>
        <v>473.00623656700782</v>
      </c>
      <c r="M1875">
        <f t="shared" si="188"/>
        <v>473.00623656700782</v>
      </c>
      <c r="N1875">
        <f t="shared" si="190"/>
        <v>406.27303669523673</v>
      </c>
      <c r="O1875" t="e">
        <f t="shared" si="191"/>
        <v>#N/A</v>
      </c>
      <c r="P1875" t="e">
        <f t="shared" si="192"/>
        <v>#N/A</v>
      </c>
      <c r="Q1875" t="e">
        <f t="shared" si="193"/>
        <v>#N/A</v>
      </c>
      <c r="U1875">
        <f>C1875/Navio!$J$4</f>
        <v>20.784994774852485</v>
      </c>
    </row>
    <row r="1876" spans="1:21" x14ac:dyDescent="0.3">
      <c r="A1876">
        <v>1874</v>
      </c>
      <c r="B1876" s="47">
        <v>879.27927326224449</v>
      </c>
      <c r="C1876" s="46">
        <v>388.31673769485531</v>
      </c>
      <c r="D1876" s="1">
        <v>71</v>
      </c>
      <c r="E1876" s="1">
        <v>65</v>
      </c>
      <c r="F1876" s="1">
        <v>62</v>
      </c>
      <c r="G1876" s="1" t="s">
        <v>50</v>
      </c>
      <c r="H1876" s="1" t="s">
        <v>50</v>
      </c>
      <c r="I1876" s="1" t="s">
        <v>50</v>
      </c>
      <c r="J1876" s="1" t="s">
        <v>50</v>
      </c>
      <c r="K1876" s="1" t="s">
        <v>50</v>
      </c>
      <c r="L1876">
        <f t="shared" si="189"/>
        <v>473.00623656700782</v>
      </c>
      <c r="M1876">
        <f t="shared" si="188"/>
        <v>473.00623656700782</v>
      </c>
      <c r="N1876">
        <f t="shared" si="190"/>
        <v>406.27303669523673</v>
      </c>
      <c r="O1876" t="e">
        <f t="shared" si="191"/>
        <v>#N/A</v>
      </c>
      <c r="P1876" t="e">
        <f t="shared" si="192"/>
        <v>#N/A</v>
      </c>
      <c r="Q1876" t="e">
        <f t="shared" si="193"/>
        <v>#N/A</v>
      </c>
      <c r="U1876">
        <f>C1876/Navio!$J$4</f>
        <v>20.967444555829815</v>
      </c>
    </row>
    <row r="1877" spans="1:21" x14ac:dyDescent="0.3">
      <c r="A1877">
        <v>1875</v>
      </c>
      <c r="B1877" s="47">
        <v>876.02538773578442</v>
      </c>
      <c r="C1877" s="46">
        <v>385.68276865652456</v>
      </c>
      <c r="D1877" s="1">
        <v>67</v>
      </c>
      <c r="E1877" s="1">
        <v>70</v>
      </c>
      <c r="F1877" s="1">
        <v>62</v>
      </c>
      <c r="G1877" s="1" t="s">
        <v>50</v>
      </c>
      <c r="H1877" s="1" t="s">
        <v>50</v>
      </c>
      <c r="I1877" s="1" t="s">
        <v>50</v>
      </c>
      <c r="J1877" s="1" t="s">
        <v>50</v>
      </c>
      <c r="K1877" s="1" t="s">
        <v>50</v>
      </c>
      <c r="L1877">
        <f t="shared" si="189"/>
        <v>233.24923275704379</v>
      </c>
      <c r="M1877">
        <f t="shared" si="188"/>
        <v>473.00623656700782</v>
      </c>
      <c r="N1877">
        <f t="shared" si="190"/>
        <v>406.27303669523673</v>
      </c>
      <c r="O1877" t="e">
        <f t="shared" si="191"/>
        <v>#N/A</v>
      </c>
      <c r="P1877" t="e">
        <f t="shared" si="192"/>
        <v>#N/A</v>
      </c>
      <c r="Q1877" t="e">
        <f t="shared" si="193"/>
        <v>#N/A</v>
      </c>
      <c r="U1877">
        <f>C1877/Navio!$J$4</f>
        <v>20.82522148272507</v>
      </c>
    </row>
    <row r="1878" spans="1:21" x14ac:dyDescent="0.3">
      <c r="A1878">
        <v>1876</v>
      </c>
      <c r="B1878" s="47">
        <v>876.02538773578442</v>
      </c>
      <c r="C1878" s="46">
        <v>387.88143472627434</v>
      </c>
      <c r="D1878" s="1">
        <v>67</v>
      </c>
      <c r="E1878" s="1">
        <v>71</v>
      </c>
      <c r="F1878" s="1">
        <v>62</v>
      </c>
      <c r="G1878" s="1" t="s">
        <v>50</v>
      </c>
      <c r="H1878" s="1" t="s">
        <v>50</v>
      </c>
      <c r="I1878" s="1" t="s">
        <v>50</v>
      </c>
      <c r="J1878" s="1" t="s">
        <v>50</v>
      </c>
      <c r="K1878" s="1" t="s">
        <v>50</v>
      </c>
      <c r="L1878">
        <f t="shared" si="189"/>
        <v>233.24923275704379</v>
      </c>
      <c r="M1878">
        <f t="shared" si="188"/>
        <v>473.00623656700782</v>
      </c>
      <c r="N1878">
        <f t="shared" si="190"/>
        <v>406.27303669523673</v>
      </c>
      <c r="O1878" t="e">
        <f t="shared" si="191"/>
        <v>#N/A</v>
      </c>
      <c r="P1878" t="e">
        <f t="shared" si="192"/>
        <v>#N/A</v>
      </c>
      <c r="Q1878" t="e">
        <f t="shared" si="193"/>
        <v>#N/A</v>
      </c>
      <c r="U1878">
        <f>C1878/Navio!$J$4</f>
        <v>20.943940055578576</v>
      </c>
    </row>
    <row r="1879" spans="1:21" x14ac:dyDescent="0.3">
      <c r="A1879">
        <v>1877</v>
      </c>
      <c r="B1879" s="47">
        <v>879.27927326224449</v>
      </c>
      <c r="C1879" s="46">
        <v>387.91759588965198</v>
      </c>
      <c r="D1879" s="1">
        <v>71</v>
      </c>
      <c r="E1879" s="1">
        <v>70</v>
      </c>
      <c r="F1879" s="1">
        <v>62</v>
      </c>
      <c r="G1879" s="1" t="s">
        <v>50</v>
      </c>
      <c r="H1879" s="1" t="s">
        <v>50</v>
      </c>
      <c r="I1879" s="1" t="s">
        <v>50</v>
      </c>
      <c r="J1879" s="1" t="s">
        <v>50</v>
      </c>
      <c r="K1879" s="1" t="s">
        <v>50</v>
      </c>
      <c r="L1879">
        <f t="shared" si="189"/>
        <v>473.00623656700782</v>
      </c>
      <c r="M1879">
        <f t="shared" si="188"/>
        <v>473.00623656700782</v>
      </c>
      <c r="N1879">
        <f t="shared" si="190"/>
        <v>406.27303669523673</v>
      </c>
      <c r="O1879" t="e">
        <f t="shared" si="191"/>
        <v>#N/A</v>
      </c>
      <c r="P1879" t="e">
        <f t="shared" si="192"/>
        <v>#N/A</v>
      </c>
      <c r="Q1879" t="e">
        <f t="shared" si="193"/>
        <v>#N/A</v>
      </c>
      <c r="U1879">
        <f>C1879/Navio!$J$4</f>
        <v>20.945892603884104</v>
      </c>
    </row>
    <row r="1880" spans="1:21" x14ac:dyDescent="0.3">
      <c r="A1880">
        <v>1878</v>
      </c>
      <c r="B1880" s="47">
        <v>709.50935485051173</v>
      </c>
      <c r="C1880" s="46">
        <v>365.33582710136147</v>
      </c>
      <c r="D1880" s="1">
        <v>64</v>
      </c>
      <c r="E1880" s="1">
        <v>65</v>
      </c>
      <c r="F1880" s="1">
        <v>63</v>
      </c>
      <c r="G1880" s="1" t="s">
        <v>50</v>
      </c>
      <c r="H1880" s="1" t="s">
        <v>50</v>
      </c>
      <c r="I1880" s="1" t="s">
        <v>50</v>
      </c>
      <c r="J1880" s="1" t="s">
        <v>50</v>
      </c>
      <c r="K1880" s="1" t="s">
        <v>50</v>
      </c>
      <c r="L1880">
        <f t="shared" si="189"/>
        <v>473.00623656700782</v>
      </c>
      <c r="M1880">
        <f t="shared" si="188"/>
        <v>473.00623656700782</v>
      </c>
      <c r="N1880">
        <f t="shared" si="190"/>
        <v>473.00623656700782</v>
      </c>
      <c r="O1880" t="e">
        <f t="shared" si="191"/>
        <v>#N/A</v>
      </c>
      <c r="P1880" t="e">
        <f t="shared" si="192"/>
        <v>#N/A</v>
      </c>
      <c r="Q1880" t="e">
        <f t="shared" si="193"/>
        <v>#N/A</v>
      </c>
      <c r="U1880">
        <f>C1880/Navio!$J$4</f>
        <v>19.726573581346585</v>
      </c>
    </row>
    <row r="1881" spans="1:21" x14ac:dyDescent="0.3">
      <c r="A1881">
        <v>1879</v>
      </c>
      <c r="B1881" s="47">
        <v>785.95737205271064</v>
      </c>
      <c r="C1881" s="46">
        <v>372.86037310387871</v>
      </c>
      <c r="D1881" s="1">
        <v>66</v>
      </c>
      <c r="E1881" s="1">
        <v>63</v>
      </c>
      <c r="F1881" s="1">
        <v>64</v>
      </c>
      <c r="G1881" s="1" t="s">
        <v>50</v>
      </c>
      <c r="H1881" s="1" t="s">
        <v>50</v>
      </c>
      <c r="I1881" s="1" t="s">
        <v>50</v>
      </c>
      <c r="J1881" s="1" t="s">
        <v>50</v>
      </c>
      <c r="K1881" s="1" t="s">
        <v>50</v>
      </c>
      <c r="L1881">
        <f t="shared" si="189"/>
        <v>312.95113548570282</v>
      </c>
      <c r="M1881">
        <f t="shared" si="188"/>
        <v>473.00623656700782</v>
      </c>
      <c r="N1881">
        <f t="shared" si="190"/>
        <v>473.00623656700782</v>
      </c>
      <c r="O1881" t="e">
        <f t="shared" si="191"/>
        <v>#N/A</v>
      </c>
      <c r="P1881" t="e">
        <f t="shared" si="192"/>
        <v>#N/A</v>
      </c>
      <c r="Q1881" t="e">
        <f t="shared" si="193"/>
        <v>#N/A</v>
      </c>
      <c r="U1881">
        <f>C1881/Navio!$J$4</f>
        <v>20.132866913053419</v>
      </c>
    </row>
    <row r="1882" spans="1:21" x14ac:dyDescent="0.3">
      <c r="A1882">
        <v>1880</v>
      </c>
      <c r="B1882" s="47">
        <v>706.25546932405155</v>
      </c>
      <c r="C1882" s="46">
        <v>374.35363997184868</v>
      </c>
      <c r="D1882" s="1">
        <v>67</v>
      </c>
      <c r="E1882" s="1">
        <v>63</v>
      </c>
      <c r="F1882" s="1">
        <v>64</v>
      </c>
      <c r="G1882" s="1" t="s">
        <v>50</v>
      </c>
      <c r="H1882" s="1" t="s">
        <v>50</v>
      </c>
      <c r="I1882" s="1" t="s">
        <v>50</v>
      </c>
      <c r="J1882" s="1" t="s">
        <v>50</v>
      </c>
      <c r="K1882" s="1" t="s">
        <v>50</v>
      </c>
      <c r="L1882">
        <f t="shared" si="189"/>
        <v>233.24923275704379</v>
      </c>
      <c r="M1882">
        <f t="shared" si="188"/>
        <v>473.00623656700782</v>
      </c>
      <c r="N1882">
        <f t="shared" si="190"/>
        <v>473.00623656700782</v>
      </c>
      <c r="O1882" t="e">
        <f t="shared" si="191"/>
        <v>#N/A</v>
      </c>
      <c r="P1882" t="e">
        <f t="shared" si="192"/>
        <v>#N/A</v>
      </c>
      <c r="Q1882" t="e">
        <f t="shared" si="193"/>
        <v>#N/A</v>
      </c>
      <c r="U1882">
        <f>C1882/Navio!$J$4</f>
        <v>20.213496943185731</v>
      </c>
    </row>
    <row r="1883" spans="1:21" x14ac:dyDescent="0.3">
      <c r="A1883">
        <v>1881</v>
      </c>
      <c r="B1883" s="47">
        <v>827.65951809556896</v>
      </c>
      <c r="C1883" s="46">
        <v>380.50296233210133</v>
      </c>
      <c r="D1883" s="1">
        <v>68</v>
      </c>
      <c r="E1883" s="1">
        <v>64</v>
      </c>
      <c r="F1883" s="1">
        <v>63</v>
      </c>
      <c r="G1883" s="1" t="s">
        <v>50</v>
      </c>
      <c r="H1883" s="1" t="s">
        <v>50</v>
      </c>
      <c r="I1883" s="1" t="s">
        <v>50</v>
      </c>
      <c r="J1883" s="1" t="s">
        <v>50</v>
      </c>
      <c r="K1883" s="1" t="s">
        <v>50</v>
      </c>
      <c r="L1883">
        <f t="shared" si="189"/>
        <v>354.65328152856114</v>
      </c>
      <c r="M1883">
        <f t="shared" si="188"/>
        <v>473.00623656700782</v>
      </c>
      <c r="N1883">
        <f t="shared" si="190"/>
        <v>473.00623656700782</v>
      </c>
      <c r="O1883" t="e">
        <f t="shared" si="191"/>
        <v>#N/A</v>
      </c>
      <c r="P1883" t="e">
        <f t="shared" si="192"/>
        <v>#N/A</v>
      </c>
      <c r="Q1883" t="e">
        <f t="shared" si="193"/>
        <v>#N/A</v>
      </c>
      <c r="U1883">
        <f>C1883/Navio!$J$4</f>
        <v>20.545534074548947</v>
      </c>
    </row>
    <row r="1884" spans="1:21" x14ac:dyDescent="0.3">
      <c r="A1884">
        <v>1882</v>
      </c>
      <c r="B1884" s="47">
        <v>797.9829202195483</v>
      </c>
      <c r="C1884" s="46">
        <v>386.68457804605464</v>
      </c>
      <c r="D1884" s="1">
        <v>64</v>
      </c>
      <c r="E1884" s="1">
        <v>69</v>
      </c>
      <c r="F1884" s="1">
        <v>63</v>
      </c>
      <c r="G1884" s="1" t="s">
        <v>50</v>
      </c>
      <c r="H1884" s="1" t="s">
        <v>50</v>
      </c>
      <c r="I1884" s="1" t="s">
        <v>50</v>
      </c>
      <c r="J1884" s="1" t="s">
        <v>50</v>
      </c>
      <c r="K1884" s="1" t="s">
        <v>50</v>
      </c>
      <c r="L1884">
        <f t="shared" si="189"/>
        <v>473.00623656700782</v>
      </c>
      <c r="M1884">
        <f t="shared" si="188"/>
        <v>324.97668365254049</v>
      </c>
      <c r="N1884">
        <f t="shared" si="190"/>
        <v>473.00623656700782</v>
      </c>
      <c r="O1884" t="e">
        <f t="shared" si="191"/>
        <v>#N/A</v>
      </c>
      <c r="P1884" t="e">
        <f t="shared" si="192"/>
        <v>#N/A</v>
      </c>
      <c r="Q1884" t="e">
        <f t="shared" si="193"/>
        <v>#N/A</v>
      </c>
      <c r="U1884">
        <f>C1884/Navio!$J$4</f>
        <v>20.879314909022309</v>
      </c>
    </row>
    <row r="1885" spans="1:21" x14ac:dyDescent="0.3">
      <c r="A1885">
        <v>1883</v>
      </c>
      <c r="B1885" s="47">
        <v>709.50935485051173</v>
      </c>
      <c r="C1885" s="46">
        <v>384.9778695517108</v>
      </c>
      <c r="D1885" s="1">
        <v>64</v>
      </c>
      <c r="E1885" s="1">
        <v>70</v>
      </c>
      <c r="F1885" s="1">
        <v>63</v>
      </c>
      <c r="G1885" s="1" t="s">
        <v>50</v>
      </c>
      <c r="H1885" s="1" t="s">
        <v>50</v>
      </c>
      <c r="I1885" s="1" t="s">
        <v>50</v>
      </c>
      <c r="J1885" s="1" t="s">
        <v>50</v>
      </c>
      <c r="K1885" s="1" t="s">
        <v>50</v>
      </c>
      <c r="L1885">
        <f t="shared" si="189"/>
        <v>473.00623656700782</v>
      </c>
      <c r="M1885">
        <f t="shared" si="188"/>
        <v>473.00623656700782</v>
      </c>
      <c r="N1885">
        <f t="shared" si="190"/>
        <v>473.00623656700782</v>
      </c>
      <c r="O1885" t="e">
        <f t="shared" si="191"/>
        <v>#N/A</v>
      </c>
      <c r="P1885" t="e">
        <f t="shared" si="192"/>
        <v>#N/A</v>
      </c>
      <c r="Q1885" t="e">
        <f t="shared" si="193"/>
        <v>#N/A</v>
      </c>
      <c r="U1885">
        <f>C1885/Navio!$J$4</f>
        <v>20.787159943103124</v>
      </c>
    </row>
    <row r="1886" spans="1:21" x14ac:dyDescent="0.3">
      <c r="A1886">
        <v>1884</v>
      </c>
      <c r="B1886" s="47">
        <v>709.50935485051173</v>
      </c>
      <c r="C1886" s="46">
        <v>388.78609155566062</v>
      </c>
      <c r="D1886" s="1">
        <v>64</v>
      </c>
      <c r="E1886" s="1">
        <v>71</v>
      </c>
      <c r="F1886" s="1">
        <v>63</v>
      </c>
      <c r="G1886" s="1" t="s">
        <v>50</v>
      </c>
      <c r="H1886" s="1" t="s">
        <v>50</v>
      </c>
      <c r="I1886" s="1" t="s">
        <v>50</v>
      </c>
      <c r="J1886" s="1" t="s">
        <v>50</v>
      </c>
      <c r="K1886" s="1" t="s">
        <v>50</v>
      </c>
      <c r="L1886">
        <f t="shared" si="189"/>
        <v>473.00623656700782</v>
      </c>
      <c r="M1886">
        <f t="shared" si="188"/>
        <v>473.00623656700782</v>
      </c>
      <c r="N1886">
        <f t="shared" si="190"/>
        <v>473.00623656700782</v>
      </c>
      <c r="O1886" t="e">
        <f t="shared" si="191"/>
        <v>#N/A</v>
      </c>
      <c r="P1886" t="e">
        <f t="shared" si="192"/>
        <v>#N/A</v>
      </c>
      <c r="Q1886" t="e">
        <f t="shared" si="193"/>
        <v>#N/A</v>
      </c>
      <c r="U1886">
        <f>C1886/Navio!$J$4</f>
        <v>20.992787658761507</v>
      </c>
    </row>
    <row r="1887" spans="1:21" x14ac:dyDescent="0.3">
      <c r="A1887">
        <v>1885</v>
      </c>
      <c r="B1887" s="47">
        <v>785.95737205271064</v>
      </c>
      <c r="C1887" s="46">
        <v>374.1407105864464</v>
      </c>
      <c r="D1887" s="1">
        <v>66</v>
      </c>
      <c r="E1887" s="1">
        <v>63</v>
      </c>
      <c r="F1887" s="1">
        <v>65</v>
      </c>
      <c r="G1887" s="1" t="s">
        <v>50</v>
      </c>
      <c r="H1887" s="1" t="s">
        <v>50</v>
      </c>
      <c r="I1887" s="1" t="s">
        <v>50</v>
      </c>
      <c r="J1887" s="1" t="s">
        <v>50</v>
      </c>
      <c r="K1887" s="1" t="s">
        <v>50</v>
      </c>
      <c r="L1887">
        <f t="shared" si="189"/>
        <v>312.95113548570282</v>
      </c>
      <c r="M1887">
        <f t="shared" si="188"/>
        <v>473.00623656700782</v>
      </c>
      <c r="N1887">
        <f t="shared" si="190"/>
        <v>473.00623656700782</v>
      </c>
      <c r="O1887" t="e">
        <f t="shared" si="191"/>
        <v>#N/A</v>
      </c>
      <c r="P1887" t="e">
        <f t="shared" si="192"/>
        <v>#N/A</v>
      </c>
      <c r="Q1887" t="e">
        <f t="shared" si="193"/>
        <v>#N/A</v>
      </c>
      <c r="U1887">
        <f>C1887/Navio!$J$4</f>
        <v>20.20199966622252</v>
      </c>
    </row>
    <row r="1888" spans="1:21" x14ac:dyDescent="0.3">
      <c r="A1888">
        <v>1886</v>
      </c>
      <c r="B1888" s="47">
        <v>706.25546932405155</v>
      </c>
      <c r="C1888" s="46">
        <v>375.63397745441637</v>
      </c>
      <c r="D1888" s="1">
        <v>67</v>
      </c>
      <c r="E1888" s="1">
        <v>63</v>
      </c>
      <c r="F1888" s="1">
        <v>65</v>
      </c>
      <c r="G1888" s="1" t="s">
        <v>50</v>
      </c>
      <c r="H1888" s="1" t="s">
        <v>50</v>
      </c>
      <c r="I1888" s="1" t="s">
        <v>50</v>
      </c>
      <c r="J1888" s="1" t="s">
        <v>50</v>
      </c>
      <c r="K1888" s="1" t="s">
        <v>50</v>
      </c>
      <c r="L1888">
        <f t="shared" si="189"/>
        <v>233.24923275704379</v>
      </c>
      <c r="M1888">
        <f t="shared" si="188"/>
        <v>473.00623656700782</v>
      </c>
      <c r="N1888">
        <f t="shared" si="190"/>
        <v>473.00623656700782</v>
      </c>
      <c r="O1888" t="e">
        <f t="shared" si="191"/>
        <v>#N/A</v>
      </c>
      <c r="P1888" t="e">
        <f t="shared" si="192"/>
        <v>#N/A</v>
      </c>
      <c r="Q1888" t="e">
        <f t="shared" si="193"/>
        <v>#N/A</v>
      </c>
      <c r="U1888">
        <f>C1888/Navio!$J$4</f>
        <v>20.282629696354832</v>
      </c>
    </row>
    <row r="1889" spans="1:21" x14ac:dyDescent="0.3">
      <c r="A1889">
        <v>1887</v>
      </c>
      <c r="B1889" s="47">
        <v>827.65951809556896</v>
      </c>
      <c r="C1889" s="46">
        <v>379.66788872482942</v>
      </c>
      <c r="D1889" s="1">
        <v>68</v>
      </c>
      <c r="E1889" s="1">
        <v>65</v>
      </c>
      <c r="F1889" s="1">
        <v>63</v>
      </c>
      <c r="G1889" s="1" t="s">
        <v>50</v>
      </c>
      <c r="H1889" s="1" t="s">
        <v>50</v>
      </c>
      <c r="I1889" s="1" t="s">
        <v>50</v>
      </c>
      <c r="J1889" s="1" t="s">
        <v>50</v>
      </c>
      <c r="K1889" s="1" t="s">
        <v>50</v>
      </c>
      <c r="L1889">
        <f t="shared" si="189"/>
        <v>354.65328152856114</v>
      </c>
      <c r="M1889">
        <f t="shared" si="188"/>
        <v>473.00623656700782</v>
      </c>
      <c r="N1889">
        <f t="shared" si="190"/>
        <v>473.00623656700782</v>
      </c>
      <c r="O1889" t="e">
        <f t="shared" si="191"/>
        <v>#N/A</v>
      </c>
      <c r="P1889" t="e">
        <f t="shared" si="192"/>
        <v>#N/A</v>
      </c>
      <c r="Q1889" t="e">
        <f t="shared" si="193"/>
        <v>#N/A</v>
      </c>
      <c r="U1889">
        <f>C1889/Navio!$J$4</f>
        <v>20.500443668030673</v>
      </c>
    </row>
    <row r="1890" spans="1:21" x14ac:dyDescent="0.3">
      <c r="A1890">
        <v>1888</v>
      </c>
      <c r="B1890" s="47">
        <v>797.9829202195483</v>
      </c>
      <c r="C1890" s="46">
        <v>386.82560491314905</v>
      </c>
      <c r="D1890" s="1">
        <v>65</v>
      </c>
      <c r="E1890" s="1">
        <v>69</v>
      </c>
      <c r="F1890" s="1">
        <v>63</v>
      </c>
      <c r="G1890" s="1" t="s">
        <v>50</v>
      </c>
      <c r="H1890" s="1" t="s">
        <v>50</v>
      </c>
      <c r="I1890" s="1" t="s">
        <v>50</v>
      </c>
      <c r="J1890" s="1" t="s">
        <v>50</v>
      </c>
      <c r="K1890" s="1" t="s">
        <v>50</v>
      </c>
      <c r="L1890">
        <f t="shared" si="189"/>
        <v>473.00623656700782</v>
      </c>
      <c r="M1890">
        <f t="shared" si="188"/>
        <v>324.97668365254049</v>
      </c>
      <c r="N1890">
        <f t="shared" si="190"/>
        <v>473.00623656700782</v>
      </c>
      <c r="O1890" t="e">
        <f t="shared" si="191"/>
        <v>#N/A</v>
      </c>
      <c r="P1890" t="e">
        <f t="shared" si="192"/>
        <v>#N/A</v>
      </c>
      <c r="Q1890" t="e">
        <f t="shared" si="193"/>
        <v>#N/A</v>
      </c>
      <c r="U1890">
        <f>C1890/Navio!$J$4</f>
        <v>20.886929757236778</v>
      </c>
    </row>
    <row r="1891" spans="1:21" x14ac:dyDescent="0.3">
      <c r="A1891">
        <v>1889</v>
      </c>
      <c r="B1891" s="47">
        <v>709.50935485051173</v>
      </c>
      <c r="C1891" s="46">
        <v>384.91544145636323</v>
      </c>
      <c r="D1891" s="1">
        <v>65</v>
      </c>
      <c r="E1891" s="1">
        <v>70</v>
      </c>
      <c r="F1891" s="1">
        <v>63</v>
      </c>
      <c r="G1891" s="1" t="s">
        <v>50</v>
      </c>
      <c r="H1891" s="1" t="s">
        <v>50</v>
      </c>
      <c r="I1891" s="1" t="s">
        <v>50</v>
      </c>
      <c r="J1891" s="1" t="s">
        <v>50</v>
      </c>
      <c r="K1891" s="1" t="s">
        <v>50</v>
      </c>
      <c r="L1891">
        <f t="shared" si="189"/>
        <v>473.00623656700782</v>
      </c>
      <c r="M1891">
        <f t="shared" si="188"/>
        <v>473.00623656700782</v>
      </c>
      <c r="N1891">
        <f t="shared" si="190"/>
        <v>473.00623656700782</v>
      </c>
      <c r="O1891" t="e">
        <f t="shared" si="191"/>
        <v>#N/A</v>
      </c>
      <c r="P1891" t="e">
        <f t="shared" si="192"/>
        <v>#N/A</v>
      </c>
      <c r="Q1891" t="e">
        <f t="shared" si="193"/>
        <v>#N/A</v>
      </c>
      <c r="U1891">
        <f>C1891/Navio!$J$4</f>
        <v>20.783789092709974</v>
      </c>
    </row>
    <row r="1892" spans="1:21" x14ac:dyDescent="0.3">
      <c r="A1892">
        <v>1890</v>
      </c>
      <c r="B1892" s="47">
        <v>709.50935485051173</v>
      </c>
      <c r="C1892" s="46">
        <v>388.76790591466545</v>
      </c>
      <c r="D1892" s="1">
        <v>65</v>
      </c>
      <c r="E1892" s="1">
        <v>71</v>
      </c>
      <c r="F1892" s="1">
        <v>63</v>
      </c>
      <c r="G1892" s="1" t="s">
        <v>50</v>
      </c>
      <c r="H1892" s="1" t="s">
        <v>50</v>
      </c>
      <c r="I1892" s="1" t="s">
        <v>50</v>
      </c>
      <c r="J1892" s="1" t="s">
        <v>50</v>
      </c>
      <c r="K1892" s="1" t="s">
        <v>50</v>
      </c>
      <c r="L1892">
        <f t="shared" si="189"/>
        <v>473.00623656700782</v>
      </c>
      <c r="M1892">
        <f t="shared" si="188"/>
        <v>473.00623656700782</v>
      </c>
      <c r="N1892">
        <f t="shared" si="190"/>
        <v>473.00623656700782</v>
      </c>
      <c r="O1892" t="e">
        <f t="shared" si="191"/>
        <v>#N/A</v>
      </c>
      <c r="P1892" t="e">
        <f t="shared" si="192"/>
        <v>#N/A</v>
      </c>
      <c r="Q1892" t="e">
        <f t="shared" si="193"/>
        <v>#N/A</v>
      </c>
      <c r="U1892">
        <f>C1892/Navio!$J$4</f>
        <v>20.991805711855118</v>
      </c>
    </row>
    <row r="1893" spans="1:21" x14ac:dyDescent="0.3">
      <c r="A1893">
        <v>1891</v>
      </c>
      <c r="B1893" s="47">
        <v>782.70348652625057</v>
      </c>
      <c r="C1893" s="46">
        <v>363.08558510304238</v>
      </c>
      <c r="D1893" s="1">
        <v>67</v>
      </c>
      <c r="E1893" s="1">
        <v>66</v>
      </c>
      <c r="F1893" s="1">
        <v>63</v>
      </c>
      <c r="G1893" s="1" t="s">
        <v>50</v>
      </c>
      <c r="H1893" s="1" t="s">
        <v>50</v>
      </c>
      <c r="I1893" s="1" t="s">
        <v>50</v>
      </c>
      <c r="J1893" s="1" t="s">
        <v>50</v>
      </c>
      <c r="K1893" s="1" t="s">
        <v>50</v>
      </c>
      <c r="L1893">
        <f t="shared" si="189"/>
        <v>233.24923275704379</v>
      </c>
      <c r="M1893">
        <f t="shared" si="188"/>
        <v>312.95113548570282</v>
      </c>
      <c r="N1893">
        <f t="shared" si="190"/>
        <v>473.00623656700782</v>
      </c>
      <c r="O1893" t="e">
        <f t="shared" si="191"/>
        <v>#N/A</v>
      </c>
      <c r="P1893" t="e">
        <f t="shared" si="192"/>
        <v>#N/A</v>
      </c>
      <c r="Q1893" t="e">
        <f t="shared" si="193"/>
        <v>#N/A</v>
      </c>
      <c r="U1893">
        <f>C1893/Navio!$J$4</f>
        <v>19.605070128734578</v>
      </c>
    </row>
    <row r="1894" spans="1:21" x14ac:dyDescent="0.3">
      <c r="A1894">
        <v>1892</v>
      </c>
      <c r="B1894" s="47">
        <v>874.43093742174722</v>
      </c>
      <c r="C1894" s="46">
        <v>378.23756215933361</v>
      </c>
      <c r="D1894" s="1">
        <v>66</v>
      </c>
      <c r="E1894" s="1">
        <v>69</v>
      </c>
      <c r="F1894" s="1">
        <v>63</v>
      </c>
      <c r="G1894" s="1" t="s">
        <v>50</v>
      </c>
      <c r="H1894" s="1" t="s">
        <v>50</v>
      </c>
      <c r="I1894" s="1" t="s">
        <v>50</v>
      </c>
      <c r="J1894" s="1" t="s">
        <v>50</v>
      </c>
      <c r="K1894" s="1" t="s">
        <v>50</v>
      </c>
      <c r="L1894">
        <f t="shared" si="189"/>
        <v>312.95113548570282</v>
      </c>
      <c r="M1894">
        <f t="shared" si="188"/>
        <v>324.97668365254049</v>
      </c>
      <c r="N1894">
        <f t="shared" si="190"/>
        <v>473.00623656700782</v>
      </c>
      <c r="O1894" t="e">
        <f t="shared" si="191"/>
        <v>#N/A</v>
      </c>
      <c r="P1894" t="e">
        <f t="shared" si="192"/>
        <v>#N/A</v>
      </c>
      <c r="Q1894" t="e">
        <f t="shared" si="193"/>
        <v>#N/A</v>
      </c>
      <c r="U1894">
        <f>C1894/Navio!$J$4</f>
        <v>20.423212145287685</v>
      </c>
    </row>
    <row r="1895" spans="1:21" x14ac:dyDescent="0.3">
      <c r="A1895">
        <v>1893</v>
      </c>
      <c r="B1895" s="47">
        <v>785.95737205271064</v>
      </c>
      <c r="C1895" s="46">
        <v>381.52515086221712</v>
      </c>
      <c r="D1895" s="1">
        <v>66</v>
      </c>
      <c r="E1895" s="1">
        <v>70</v>
      </c>
      <c r="F1895" s="1">
        <v>63</v>
      </c>
      <c r="G1895" s="1" t="s">
        <v>50</v>
      </c>
      <c r="H1895" s="1" t="s">
        <v>50</v>
      </c>
      <c r="I1895" s="1" t="s">
        <v>50</v>
      </c>
      <c r="J1895" s="1" t="s">
        <v>50</v>
      </c>
      <c r="K1895" s="1" t="s">
        <v>50</v>
      </c>
      <c r="L1895">
        <f t="shared" si="189"/>
        <v>312.95113548570282</v>
      </c>
      <c r="M1895">
        <f t="shared" si="188"/>
        <v>473.00623656700782</v>
      </c>
      <c r="N1895">
        <f t="shared" si="190"/>
        <v>473.00623656700782</v>
      </c>
      <c r="O1895" t="e">
        <f t="shared" si="191"/>
        <v>#N/A</v>
      </c>
      <c r="P1895" t="e">
        <f t="shared" si="192"/>
        <v>#N/A</v>
      </c>
      <c r="Q1895" t="e">
        <f t="shared" si="193"/>
        <v>#N/A</v>
      </c>
      <c r="U1895">
        <f>C1895/Navio!$J$4</f>
        <v>20.600727887357628</v>
      </c>
    </row>
    <row r="1896" spans="1:21" x14ac:dyDescent="0.3">
      <c r="A1896">
        <v>1894</v>
      </c>
      <c r="B1896" s="47">
        <v>785.95737205271064</v>
      </c>
      <c r="C1896" s="46">
        <v>383.14466944832861</v>
      </c>
      <c r="D1896" s="1">
        <v>66</v>
      </c>
      <c r="E1896" s="1">
        <v>71</v>
      </c>
      <c r="F1896" s="1">
        <v>63</v>
      </c>
      <c r="G1896" s="1" t="s">
        <v>50</v>
      </c>
      <c r="H1896" s="1" t="s">
        <v>50</v>
      </c>
      <c r="I1896" s="1" t="s">
        <v>50</v>
      </c>
      <c r="J1896" s="1" t="s">
        <v>50</v>
      </c>
      <c r="K1896" s="1" t="s">
        <v>50</v>
      </c>
      <c r="L1896">
        <f t="shared" si="189"/>
        <v>312.95113548570282</v>
      </c>
      <c r="M1896">
        <f t="shared" si="188"/>
        <v>473.00623656700782</v>
      </c>
      <c r="N1896">
        <f t="shared" si="190"/>
        <v>473.00623656700782</v>
      </c>
      <c r="O1896" t="e">
        <f t="shared" si="191"/>
        <v>#N/A</v>
      </c>
      <c r="P1896" t="e">
        <f t="shared" si="192"/>
        <v>#N/A</v>
      </c>
      <c r="Q1896" t="e">
        <f t="shared" si="193"/>
        <v>#N/A</v>
      </c>
      <c r="U1896">
        <f>C1896/Navio!$J$4</f>
        <v>20.688174970795256</v>
      </c>
    </row>
    <row r="1897" spans="1:21" x14ac:dyDescent="0.3">
      <c r="A1897">
        <v>1895</v>
      </c>
      <c r="B1897" s="47">
        <v>824.40563256910877</v>
      </c>
      <c r="C1897" s="46">
        <v>389.82728382165783</v>
      </c>
      <c r="D1897" s="1">
        <v>68</v>
      </c>
      <c r="E1897" s="1">
        <v>63</v>
      </c>
      <c r="F1897" s="1">
        <v>67</v>
      </c>
      <c r="G1897" s="1" t="s">
        <v>50</v>
      </c>
      <c r="H1897" s="1" t="s">
        <v>50</v>
      </c>
      <c r="I1897" s="1" t="s">
        <v>50</v>
      </c>
      <c r="J1897" s="1" t="s">
        <v>50</v>
      </c>
      <c r="K1897" s="1" t="s">
        <v>50</v>
      </c>
      <c r="L1897">
        <f t="shared" si="189"/>
        <v>354.65328152856114</v>
      </c>
      <c r="M1897">
        <f t="shared" si="188"/>
        <v>473.00623656700782</v>
      </c>
      <c r="N1897">
        <f t="shared" si="190"/>
        <v>233.24923275704379</v>
      </c>
      <c r="O1897" t="e">
        <f t="shared" si="191"/>
        <v>#N/A</v>
      </c>
      <c r="P1897" t="e">
        <f t="shared" si="192"/>
        <v>#N/A</v>
      </c>
      <c r="Q1897" t="e">
        <f t="shared" si="193"/>
        <v>#N/A</v>
      </c>
      <c r="U1897">
        <f>C1897/Navio!$J$4</f>
        <v>21.049007592104712</v>
      </c>
    </row>
    <row r="1898" spans="1:21" x14ac:dyDescent="0.3">
      <c r="A1898">
        <v>1896</v>
      </c>
      <c r="B1898" s="47">
        <v>794.72903469308812</v>
      </c>
      <c r="C1898" s="46">
        <v>378.3140057603681</v>
      </c>
      <c r="D1898" s="1">
        <v>67</v>
      </c>
      <c r="E1898" s="1">
        <v>69</v>
      </c>
      <c r="F1898" s="1">
        <v>63</v>
      </c>
      <c r="G1898" s="1" t="s">
        <v>50</v>
      </c>
      <c r="H1898" s="1" t="s">
        <v>50</v>
      </c>
      <c r="I1898" s="1" t="s">
        <v>50</v>
      </c>
      <c r="J1898" s="1" t="s">
        <v>50</v>
      </c>
      <c r="K1898" s="1" t="s">
        <v>50</v>
      </c>
      <c r="L1898">
        <f t="shared" si="189"/>
        <v>233.24923275704379</v>
      </c>
      <c r="M1898">
        <f t="shared" si="188"/>
        <v>324.97668365254049</v>
      </c>
      <c r="N1898">
        <f t="shared" si="190"/>
        <v>473.00623656700782</v>
      </c>
      <c r="O1898" t="e">
        <f t="shared" si="191"/>
        <v>#N/A</v>
      </c>
      <c r="P1898" t="e">
        <f t="shared" si="192"/>
        <v>#N/A</v>
      </c>
      <c r="Q1898" t="e">
        <f t="shared" si="193"/>
        <v>#N/A</v>
      </c>
      <c r="U1898">
        <f>C1898/Navio!$J$4</f>
        <v>20.427339773099593</v>
      </c>
    </row>
    <row r="1899" spans="1:21" x14ac:dyDescent="0.3">
      <c r="A1899">
        <v>1897</v>
      </c>
      <c r="B1899" s="47">
        <v>706.25546932405155</v>
      </c>
      <c r="C1899" s="46">
        <v>382.12464913799647</v>
      </c>
      <c r="D1899" s="1">
        <v>67</v>
      </c>
      <c r="E1899" s="1">
        <v>70</v>
      </c>
      <c r="F1899" s="1">
        <v>63</v>
      </c>
      <c r="G1899" s="1" t="s">
        <v>50</v>
      </c>
      <c r="H1899" s="1" t="s">
        <v>50</v>
      </c>
      <c r="I1899" s="1" t="s">
        <v>50</v>
      </c>
      <c r="J1899" s="1" t="s">
        <v>50</v>
      </c>
      <c r="K1899" s="1" t="s">
        <v>50</v>
      </c>
      <c r="L1899">
        <f t="shared" si="189"/>
        <v>233.24923275704379</v>
      </c>
      <c r="M1899">
        <f t="shared" si="188"/>
        <v>473.00623656700782</v>
      </c>
      <c r="N1899">
        <f t="shared" si="190"/>
        <v>473.00623656700782</v>
      </c>
      <c r="O1899" t="e">
        <f t="shared" si="191"/>
        <v>#N/A</v>
      </c>
      <c r="P1899" t="e">
        <f t="shared" si="192"/>
        <v>#N/A</v>
      </c>
      <c r="Q1899" t="e">
        <f t="shared" si="193"/>
        <v>#N/A</v>
      </c>
      <c r="U1899">
        <f>C1899/Navio!$J$4</f>
        <v>20.633098232590076</v>
      </c>
    </row>
    <row r="1900" spans="1:21" x14ac:dyDescent="0.3">
      <c r="A1900">
        <v>1898</v>
      </c>
      <c r="B1900" s="47">
        <v>706.25546932405155</v>
      </c>
      <c r="C1900" s="46">
        <v>383.44663062016548</v>
      </c>
      <c r="D1900" s="1">
        <v>67</v>
      </c>
      <c r="E1900" s="1">
        <v>71</v>
      </c>
      <c r="F1900" s="1">
        <v>63</v>
      </c>
      <c r="G1900" s="1" t="s">
        <v>50</v>
      </c>
      <c r="H1900" s="1" t="s">
        <v>50</v>
      </c>
      <c r="I1900" s="1" t="s">
        <v>50</v>
      </c>
      <c r="J1900" s="1" t="s">
        <v>50</v>
      </c>
      <c r="K1900" s="1" t="s">
        <v>50</v>
      </c>
      <c r="L1900">
        <f t="shared" si="189"/>
        <v>233.24923275704379</v>
      </c>
      <c r="M1900">
        <f t="shared" si="188"/>
        <v>473.00623656700782</v>
      </c>
      <c r="N1900">
        <f t="shared" si="190"/>
        <v>473.00623656700782</v>
      </c>
      <c r="O1900" t="e">
        <f t="shared" si="191"/>
        <v>#N/A</v>
      </c>
      <c r="P1900" t="e">
        <f t="shared" si="192"/>
        <v>#N/A</v>
      </c>
      <c r="Q1900" t="e">
        <f t="shared" si="193"/>
        <v>#N/A</v>
      </c>
      <c r="U1900">
        <f>C1900/Navio!$J$4</f>
        <v>20.70447958379259</v>
      </c>
    </row>
    <row r="1901" spans="1:21" x14ac:dyDescent="0.3">
      <c r="A1901">
        <v>1899</v>
      </c>
      <c r="B1901" s="47">
        <v>827.65951809556896</v>
      </c>
      <c r="C1901" s="46">
        <v>393.27103896386018</v>
      </c>
      <c r="D1901" s="1">
        <v>68</v>
      </c>
      <c r="E1901" s="1">
        <v>70</v>
      </c>
      <c r="F1901" s="1">
        <v>63</v>
      </c>
      <c r="G1901" s="1" t="s">
        <v>50</v>
      </c>
      <c r="H1901" s="1" t="s">
        <v>50</v>
      </c>
      <c r="I1901" s="1" t="s">
        <v>50</v>
      </c>
      <c r="J1901" s="1" t="s">
        <v>50</v>
      </c>
      <c r="K1901" s="1" t="s">
        <v>50</v>
      </c>
      <c r="L1901">
        <f t="shared" si="189"/>
        <v>354.65328152856114</v>
      </c>
      <c r="M1901">
        <f t="shared" si="188"/>
        <v>473.00623656700782</v>
      </c>
      <c r="N1901">
        <f t="shared" si="190"/>
        <v>473.00623656700782</v>
      </c>
      <c r="O1901" t="e">
        <f t="shared" si="191"/>
        <v>#N/A</v>
      </c>
      <c r="P1901" t="e">
        <f t="shared" si="192"/>
        <v>#N/A</v>
      </c>
      <c r="Q1901" t="e">
        <f t="shared" si="193"/>
        <v>#N/A</v>
      </c>
      <c r="U1901">
        <f>C1901/Navio!$J$4</f>
        <v>21.234955654597766</v>
      </c>
    </row>
    <row r="1902" spans="1:21" x14ac:dyDescent="0.3">
      <c r="A1902">
        <v>1900</v>
      </c>
      <c r="B1902" s="47">
        <v>827.65951809556896</v>
      </c>
      <c r="C1902" s="46">
        <v>397.3950454321502</v>
      </c>
      <c r="D1902" s="1">
        <v>68</v>
      </c>
      <c r="E1902" s="1">
        <v>71</v>
      </c>
      <c r="F1902" s="1">
        <v>63</v>
      </c>
      <c r="G1902" s="1" t="s">
        <v>50</v>
      </c>
      <c r="H1902" s="1" t="s">
        <v>50</v>
      </c>
      <c r="I1902" s="1" t="s">
        <v>50</v>
      </c>
      <c r="J1902" s="1" t="s">
        <v>50</v>
      </c>
      <c r="K1902" s="1" t="s">
        <v>50</v>
      </c>
      <c r="L1902">
        <f t="shared" si="189"/>
        <v>354.65328152856114</v>
      </c>
      <c r="M1902">
        <f t="shared" si="188"/>
        <v>473.00623656700782</v>
      </c>
      <c r="N1902">
        <f t="shared" si="190"/>
        <v>473.00623656700782</v>
      </c>
      <c r="O1902" t="e">
        <f t="shared" si="191"/>
        <v>#N/A</v>
      </c>
      <c r="P1902" t="e">
        <f t="shared" si="192"/>
        <v>#N/A</v>
      </c>
      <c r="Q1902" t="e">
        <f t="shared" si="193"/>
        <v>#N/A</v>
      </c>
      <c r="U1902">
        <f>C1902/Navio!$J$4</f>
        <v>21.457634381981656</v>
      </c>
    </row>
    <row r="1903" spans="1:21" x14ac:dyDescent="0.3">
      <c r="A1903">
        <v>1901</v>
      </c>
      <c r="B1903" s="47">
        <v>797.9829202195483</v>
      </c>
      <c r="C1903" s="46">
        <v>383.8799247701412</v>
      </c>
      <c r="D1903" s="1">
        <v>69</v>
      </c>
      <c r="E1903" s="1">
        <v>70</v>
      </c>
      <c r="F1903" s="1">
        <v>63</v>
      </c>
      <c r="G1903" s="1" t="s">
        <v>50</v>
      </c>
      <c r="H1903" s="1" t="s">
        <v>50</v>
      </c>
      <c r="I1903" s="1" t="s">
        <v>50</v>
      </c>
      <c r="J1903" s="1" t="s">
        <v>50</v>
      </c>
      <c r="K1903" s="1" t="s">
        <v>50</v>
      </c>
      <c r="L1903">
        <f t="shared" si="189"/>
        <v>324.97668365254049</v>
      </c>
      <c r="M1903">
        <f t="shared" si="188"/>
        <v>473.00623656700782</v>
      </c>
      <c r="N1903">
        <f t="shared" si="190"/>
        <v>473.00623656700782</v>
      </c>
      <c r="O1903" t="e">
        <f t="shared" si="191"/>
        <v>#N/A</v>
      </c>
      <c r="P1903" t="e">
        <f t="shared" si="192"/>
        <v>#N/A</v>
      </c>
      <c r="Q1903" t="e">
        <f t="shared" si="193"/>
        <v>#N/A</v>
      </c>
      <c r="U1903">
        <f>C1903/Navio!$J$4</f>
        <v>20.727875616422843</v>
      </c>
    </row>
    <row r="1904" spans="1:21" x14ac:dyDescent="0.3">
      <c r="A1904">
        <v>1902</v>
      </c>
      <c r="B1904" s="47">
        <v>797.9829202195483</v>
      </c>
      <c r="C1904" s="46">
        <v>383.72910494287629</v>
      </c>
      <c r="D1904" s="1">
        <v>69</v>
      </c>
      <c r="E1904" s="1">
        <v>71</v>
      </c>
      <c r="F1904" s="1">
        <v>63</v>
      </c>
      <c r="G1904" s="1" t="s">
        <v>50</v>
      </c>
      <c r="H1904" s="1" t="s">
        <v>50</v>
      </c>
      <c r="I1904" s="1" t="s">
        <v>50</v>
      </c>
      <c r="J1904" s="1" t="s">
        <v>50</v>
      </c>
      <c r="K1904" s="1" t="s">
        <v>50</v>
      </c>
      <c r="L1904">
        <f t="shared" si="189"/>
        <v>324.97668365254049</v>
      </c>
      <c r="M1904">
        <f t="shared" si="188"/>
        <v>473.00623656700782</v>
      </c>
      <c r="N1904">
        <f t="shared" si="190"/>
        <v>473.00623656700782</v>
      </c>
      <c r="O1904" t="e">
        <f t="shared" si="191"/>
        <v>#N/A</v>
      </c>
      <c r="P1904" t="e">
        <f t="shared" si="192"/>
        <v>#N/A</v>
      </c>
      <c r="Q1904" t="e">
        <f t="shared" si="193"/>
        <v>#N/A</v>
      </c>
      <c r="U1904">
        <f>C1904/Navio!$J$4</f>
        <v>20.719731990204544</v>
      </c>
    </row>
    <row r="1905" spans="1:21" x14ac:dyDescent="0.3">
      <c r="A1905">
        <v>1903</v>
      </c>
      <c r="B1905" s="47">
        <v>709.50935485051173</v>
      </c>
      <c r="C1905" s="46">
        <v>384.35947637112395</v>
      </c>
      <c r="D1905" s="1">
        <v>71</v>
      </c>
      <c r="E1905" s="1">
        <v>70</v>
      </c>
      <c r="F1905" s="1">
        <v>63</v>
      </c>
      <c r="G1905" s="1" t="s">
        <v>50</v>
      </c>
      <c r="H1905" s="1" t="s">
        <v>50</v>
      </c>
      <c r="I1905" s="1" t="s">
        <v>50</v>
      </c>
      <c r="J1905" s="1" t="s">
        <v>50</v>
      </c>
      <c r="K1905" s="1" t="s">
        <v>50</v>
      </c>
      <c r="L1905">
        <f t="shared" si="189"/>
        <v>473.00623656700782</v>
      </c>
      <c r="M1905">
        <f t="shared" si="188"/>
        <v>473.00623656700782</v>
      </c>
      <c r="N1905">
        <f t="shared" si="190"/>
        <v>473.00623656700782</v>
      </c>
      <c r="O1905" t="e">
        <f t="shared" si="191"/>
        <v>#N/A</v>
      </c>
      <c r="P1905" t="e">
        <f t="shared" si="192"/>
        <v>#N/A</v>
      </c>
      <c r="Q1905" t="e">
        <f t="shared" si="193"/>
        <v>#N/A</v>
      </c>
      <c r="U1905">
        <f>C1905/Navio!$J$4</f>
        <v>20.753769353749114</v>
      </c>
    </row>
    <row r="1906" spans="1:21" x14ac:dyDescent="0.3">
      <c r="A1906">
        <v>1904</v>
      </c>
      <c r="B1906" s="47">
        <v>785.95737205271064</v>
      </c>
      <c r="C1906" s="46">
        <v>373.16293526762843</v>
      </c>
      <c r="D1906" s="1">
        <v>66</v>
      </c>
      <c r="E1906" s="1">
        <v>65</v>
      </c>
      <c r="F1906" s="1">
        <v>64</v>
      </c>
      <c r="G1906" s="1" t="s">
        <v>50</v>
      </c>
      <c r="H1906" s="1" t="s">
        <v>50</v>
      </c>
      <c r="I1906" s="1" t="s">
        <v>50</v>
      </c>
      <c r="J1906" s="1" t="s">
        <v>50</v>
      </c>
      <c r="K1906" s="1" t="s">
        <v>50</v>
      </c>
      <c r="L1906">
        <f t="shared" si="189"/>
        <v>312.95113548570282</v>
      </c>
      <c r="M1906">
        <f t="shared" si="188"/>
        <v>473.00623656700782</v>
      </c>
      <c r="N1906">
        <f t="shared" si="190"/>
        <v>473.00623656700782</v>
      </c>
      <c r="O1906" t="e">
        <f t="shared" si="191"/>
        <v>#N/A</v>
      </c>
      <c r="P1906" t="e">
        <f t="shared" si="192"/>
        <v>#N/A</v>
      </c>
      <c r="Q1906" t="e">
        <f t="shared" si="193"/>
        <v>#N/A</v>
      </c>
      <c r="U1906">
        <f>C1906/Navio!$J$4</f>
        <v>20.149203977046007</v>
      </c>
    </row>
    <row r="1907" spans="1:21" x14ac:dyDescent="0.3">
      <c r="A1907">
        <v>1905</v>
      </c>
      <c r="B1907" s="47">
        <v>706.25546932405155</v>
      </c>
      <c r="C1907" s="46">
        <v>374.70030452736438</v>
      </c>
      <c r="D1907" s="1">
        <v>67</v>
      </c>
      <c r="E1907" s="1">
        <v>65</v>
      </c>
      <c r="F1907" s="1">
        <v>64</v>
      </c>
      <c r="G1907" s="1" t="s">
        <v>50</v>
      </c>
      <c r="H1907" s="1" t="s">
        <v>50</v>
      </c>
      <c r="I1907" s="1" t="s">
        <v>50</v>
      </c>
      <c r="J1907" s="1" t="s">
        <v>50</v>
      </c>
      <c r="K1907" s="1" t="s">
        <v>50</v>
      </c>
      <c r="L1907">
        <f t="shared" si="189"/>
        <v>233.24923275704379</v>
      </c>
      <c r="M1907">
        <f t="shared" si="188"/>
        <v>473.00623656700782</v>
      </c>
      <c r="N1907">
        <f t="shared" si="190"/>
        <v>473.00623656700782</v>
      </c>
      <c r="O1907" t="e">
        <f t="shared" si="191"/>
        <v>#N/A</v>
      </c>
      <c r="P1907" t="e">
        <f t="shared" si="192"/>
        <v>#N/A</v>
      </c>
      <c r="Q1907" t="e">
        <f t="shared" si="193"/>
        <v>#N/A</v>
      </c>
      <c r="U1907">
        <f>C1907/Navio!$J$4</f>
        <v>20.232215347883905</v>
      </c>
    </row>
    <row r="1908" spans="1:21" x14ac:dyDescent="0.3">
      <c r="A1908">
        <v>1906</v>
      </c>
      <c r="B1908" s="47">
        <v>827.65951809556896</v>
      </c>
      <c r="C1908" s="46">
        <v>374.44297093464263</v>
      </c>
      <c r="D1908" s="1">
        <v>68</v>
      </c>
      <c r="E1908" s="1">
        <v>65</v>
      </c>
      <c r="F1908" s="1">
        <v>64</v>
      </c>
      <c r="G1908" s="1" t="s">
        <v>50</v>
      </c>
      <c r="H1908" s="1" t="s">
        <v>50</v>
      </c>
      <c r="I1908" s="1" t="s">
        <v>50</v>
      </c>
      <c r="J1908" s="1" t="s">
        <v>50</v>
      </c>
      <c r="K1908" s="1" t="s">
        <v>50</v>
      </c>
      <c r="L1908">
        <f t="shared" si="189"/>
        <v>354.65328152856114</v>
      </c>
      <c r="M1908">
        <f t="shared" si="188"/>
        <v>473.00623656700782</v>
      </c>
      <c r="N1908">
        <f t="shared" si="190"/>
        <v>473.00623656700782</v>
      </c>
      <c r="O1908" t="e">
        <f t="shared" si="191"/>
        <v>#N/A</v>
      </c>
      <c r="P1908" t="e">
        <f t="shared" si="192"/>
        <v>#N/A</v>
      </c>
      <c r="Q1908" t="e">
        <f t="shared" si="193"/>
        <v>#N/A</v>
      </c>
      <c r="U1908">
        <f>C1908/Navio!$J$4</f>
        <v>20.218320433464879</v>
      </c>
    </row>
    <row r="1909" spans="1:21" x14ac:dyDescent="0.3">
      <c r="A1909">
        <v>1907</v>
      </c>
      <c r="B1909" s="47">
        <v>797.9829202195483</v>
      </c>
      <c r="C1909" s="46">
        <v>385.4682979650097</v>
      </c>
      <c r="D1909" s="1">
        <v>69</v>
      </c>
      <c r="E1909" s="1">
        <v>65</v>
      </c>
      <c r="F1909" s="1">
        <v>64</v>
      </c>
      <c r="G1909" s="1" t="s">
        <v>50</v>
      </c>
      <c r="H1909" s="1" t="s">
        <v>50</v>
      </c>
      <c r="I1909" s="1" t="s">
        <v>50</v>
      </c>
      <c r="J1909" s="1" t="s">
        <v>50</v>
      </c>
      <c r="K1909" s="1" t="s">
        <v>50</v>
      </c>
      <c r="L1909">
        <f t="shared" si="189"/>
        <v>324.97668365254049</v>
      </c>
      <c r="M1909">
        <f t="shared" si="188"/>
        <v>473.00623656700782</v>
      </c>
      <c r="N1909">
        <f t="shared" si="190"/>
        <v>473.00623656700782</v>
      </c>
      <c r="O1909" t="e">
        <f t="shared" si="191"/>
        <v>#N/A</v>
      </c>
      <c r="P1909" t="e">
        <f t="shared" si="192"/>
        <v>#N/A</v>
      </c>
      <c r="Q1909" t="e">
        <f t="shared" si="193"/>
        <v>#N/A</v>
      </c>
      <c r="U1909">
        <f>C1909/Navio!$J$4</f>
        <v>20.813640981817784</v>
      </c>
    </row>
    <row r="1910" spans="1:21" x14ac:dyDescent="0.3">
      <c r="A1910">
        <v>1908</v>
      </c>
      <c r="B1910" s="47">
        <v>709.50935485051173</v>
      </c>
      <c r="C1910" s="46">
        <v>384.96995330884033</v>
      </c>
      <c r="D1910" s="1">
        <v>70</v>
      </c>
      <c r="E1910" s="1">
        <v>65</v>
      </c>
      <c r="F1910" s="1">
        <v>64</v>
      </c>
      <c r="G1910" s="1" t="s">
        <v>50</v>
      </c>
      <c r="H1910" s="1" t="s">
        <v>50</v>
      </c>
      <c r="I1910" s="1" t="s">
        <v>50</v>
      </c>
      <c r="J1910" s="1" t="s">
        <v>50</v>
      </c>
      <c r="K1910" s="1" t="s">
        <v>50</v>
      </c>
      <c r="L1910">
        <f t="shared" si="189"/>
        <v>473.00623656700782</v>
      </c>
      <c r="M1910">
        <f t="shared" si="188"/>
        <v>473.00623656700782</v>
      </c>
      <c r="N1910">
        <f t="shared" si="190"/>
        <v>473.00623656700782</v>
      </c>
      <c r="O1910" t="e">
        <f t="shared" si="191"/>
        <v>#N/A</v>
      </c>
      <c r="P1910" t="e">
        <f t="shared" si="192"/>
        <v>#N/A</v>
      </c>
      <c r="Q1910" t="e">
        <f t="shared" si="193"/>
        <v>#N/A</v>
      </c>
      <c r="U1910">
        <f>C1910/Navio!$J$4</f>
        <v>20.786732499814271</v>
      </c>
    </row>
    <row r="1911" spans="1:21" x14ac:dyDescent="0.3">
      <c r="A1911">
        <v>1909</v>
      </c>
      <c r="B1911" s="47">
        <v>709.50935485051173</v>
      </c>
      <c r="C1911" s="46">
        <v>388.34892033334393</v>
      </c>
      <c r="D1911" s="1">
        <v>71</v>
      </c>
      <c r="E1911" s="1">
        <v>65</v>
      </c>
      <c r="F1911" s="1">
        <v>64</v>
      </c>
      <c r="G1911" s="1" t="s">
        <v>50</v>
      </c>
      <c r="H1911" s="1" t="s">
        <v>50</v>
      </c>
      <c r="I1911" s="1" t="s">
        <v>50</v>
      </c>
      <c r="J1911" s="1" t="s">
        <v>50</v>
      </c>
      <c r="K1911" s="1" t="s">
        <v>50</v>
      </c>
      <c r="L1911">
        <f t="shared" si="189"/>
        <v>473.00623656700782</v>
      </c>
      <c r="M1911">
        <f t="shared" si="188"/>
        <v>473.00623656700782</v>
      </c>
      <c r="N1911">
        <f t="shared" si="190"/>
        <v>473.00623656700782</v>
      </c>
      <c r="O1911" t="e">
        <f t="shared" si="191"/>
        <v>#N/A</v>
      </c>
      <c r="P1911" t="e">
        <f t="shared" si="192"/>
        <v>#N/A</v>
      </c>
      <c r="Q1911" t="e">
        <f t="shared" si="193"/>
        <v>#N/A</v>
      </c>
      <c r="U1911">
        <f>C1911/Navio!$J$4</f>
        <v>20.9691822807916</v>
      </c>
    </row>
    <row r="1912" spans="1:21" x14ac:dyDescent="0.3">
      <c r="A1912">
        <v>1910</v>
      </c>
      <c r="B1912" s="47">
        <v>782.70348652625057</v>
      </c>
      <c r="C1912" s="46">
        <v>373.71741533751617</v>
      </c>
      <c r="D1912" s="1">
        <v>67</v>
      </c>
      <c r="E1912" s="1">
        <v>66</v>
      </c>
      <c r="F1912" s="1">
        <v>64</v>
      </c>
      <c r="G1912" s="1" t="s">
        <v>50</v>
      </c>
      <c r="H1912" s="1" t="s">
        <v>50</v>
      </c>
      <c r="I1912" s="1" t="s">
        <v>50</v>
      </c>
      <c r="J1912" s="1" t="s">
        <v>50</v>
      </c>
      <c r="K1912" s="1" t="s">
        <v>50</v>
      </c>
      <c r="L1912">
        <f t="shared" si="189"/>
        <v>233.24923275704379</v>
      </c>
      <c r="M1912">
        <f t="shared" si="188"/>
        <v>312.95113548570282</v>
      </c>
      <c r="N1912">
        <f t="shared" si="190"/>
        <v>473.00623656700782</v>
      </c>
      <c r="O1912" t="e">
        <f t="shared" si="191"/>
        <v>#N/A</v>
      </c>
      <c r="P1912" t="e">
        <f t="shared" si="192"/>
        <v>#N/A</v>
      </c>
      <c r="Q1912" t="e">
        <f t="shared" si="193"/>
        <v>#N/A</v>
      </c>
      <c r="U1912">
        <f>C1912/Navio!$J$4</f>
        <v>20.179143531523362</v>
      </c>
    </row>
    <row r="1913" spans="1:21" x14ac:dyDescent="0.3">
      <c r="A1913">
        <v>1911</v>
      </c>
      <c r="B1913" s="47">
        <v>874.43093742174722</v>
      </c>
      <c r="C1913" s="46">
        <v>385.1739219798518</v>
      </c>
      <c r="D1913" s="1">
        <v>66</v>
      </c>
      <c r="E1913" s="1">
        <v>69</v>
      </c>
      <c r="F1913" s="1">
        <v>64</v>
      </c>
      <c r="G1913" s="1" t="s">
        <v>50</v>
      </c>
      <c r="H1913" s="1" t="s">
        <v>50</v>
      </c>
      <c r="I1913" s="1" t="s">
        <v>50</v>
      </c>
      <c r="J1913" s="1" t="s">
        <v>50</v>
      </c>
      <c r="K1913" s="1" t="s">
        <v>50</v>
      </c>
      <c r="L1913">
        <f t="shared" si="189"/>
        <v>312.95113548570282</v>
      </c>
      <c r="M1913">
        <f t="shared" si="188"/>
        <v>324.97668365254049</v>
      </c>
      <c r="N1913">
        <f t="shared" si="190"/>
        <v>473.00623656700782</v>
      </c>
      <c r="O1913" t="e">
        <f t="shared" si="191"/>
        <v>#N/A</v>
      </c>
      <c r="P1913" t="e">
        <f t="shared" si="192"/>
        <v>#N/A</v>
      </c>
      <c r="Q1913" t="e">
        <f t="shared" si="193"/>
        <v>#N/A</v>
      </c>
      <c r="U1913">
        <f>C1913/Navio!$J$4</f>
        <v>20.797745936489566</v>
      </c>
    </row>
    <row r="1914" spans="1:21" x14ac:dyDescent="0.3">
      <c r="A1914">
        <v>1912</v>
      </c>
      <c r="B1914" s="47">
        <v>785.95737205271064</v>
      </c>
      <c r="C1914" s="46">
        <v>385.69414642346493</v>
      </c>
      <c r="D1914" s="1">
        <v>66</v>
      </c>
      <c r="E1914" s="1">
        <v>70</v>
      </c>
      <c r="F1914" s="1">
        <v>64</v>
      </c>
      <c r="G1914" s="1" t="s">
        <v>50</v>
      </c>
      <c r="H1914" s="1" t="s">
        <v>50</v>
      </c>
      <c r="I1914" s="1" t="s">
        <v>50</v>
      </c>
      <c r="J1914" s="1" t="s">
        <v>50</v>
      </c>
      <c r="K1914" s="1" t="s">
        <v>50</v>
      </c>
      <c r="L1914">
        <f t="shared" si="189"/>
        <v>312.95113548570282</v>
      </c>
      <c r="M1914">
        <f t="shared" si="188"/>
        <v>473.00623656700782</v>
      </c>
      <c r="N1914">
        <f t="shared" si="190"/>
        <v>473.00623656700782</v>
      </c>
      <c r="O1914" t="e">
        <f t="shared" si="191"/>
        <v>#N/A</v>
      </c>
      <c r="P1914" t="e">
        <f t="shared" si="192"/>
        <v>#N/A</v>
      </c>
      <c r="Q1914" t="e">
        <f t="shared" si="193"/>
        <v>#N/A</v>
      </c>
      <c r="U1914">
        <f>C1914/Navio!$J$4</f>
        <v>20.825835833522582</v>
      </c>
    </row>
    <row r="1915" spans="1:21" x14ac:dyDescent="0.3">
      <c r="A1915">
        <v>1913</v>
      </c>
      <c r="B1915" s="47">
        <v>785.95737205271064</v>
      </c>
      <c r="C1915" s="46">
        <v>388.35761184872894</v>
      </c>
      <c r="D1915" s="1">
        <v>66</v>
      </c>
      <c r="E1915" s="1">
        <v>71</v>
      </c>
      <c r="F1915" s="1">
        <v>64</v>
      </c>
      <c r="G1915" s="1" t="s">
        <v>50</v>
      </c>
      <c r="H1915" s="1" t="s">
        <v>50</v>
      </c>
      <c r="I1915" s="1" t="s">
        <v>50</v>
      </c>
      <c r="J1915" s="1" t="s">
        <v>50</v>
      </c>
      <c r="K1915" s="1" t="s">
        <v>50</v>
      </c>
      <c r="L1915">
        <f t="shared" si="189"/>
        <v>312.95113548570282</v>
      </c>
      <c r="M1915">
        <f t="shared" si="188"/>
        <v>473.00623656700782</v>
      </c>
      <c r="N1915">
        <f t="shared" si="190"/>
        <v>473.00623656700782</v>
      </c>
      <c r="O1915" t="e">
        <f t="shared" si="191"/>
        <v>#N/A</v>
      </c>
      <c r="P1915" t="e">
        <f t="shared" si="192"/>
        <v>#N/A</v>
      </c>
      <c r="Q1915" t="e">
        <f t="shared" si="193"/>
        <v>#N/A</v>
      </c>
      <c r="U1915">
        <f>C1915/Navio!$J$4</f>
        <v>20.969651585483494</v>
      </c>
    </row>
    <row r="1916" spans="1:21" x14ac:dyDescent="0.3">
      <c r="A1916">
        <v>1914</v>
      </c>
      <c r="B1916" s="47">
        <v>824.40563256910877</v>
      </c>
      <c r="C1916" s="46">
        <v>389.19180317094623</v>
      </c>
      <c r="D1916" s="1">
        <v>67</v>
      </c>
      <c r="E1916" s="1">
        <v>68</v>
      </c>
      <c r="F1916" s="1">
        <v>64</v>
      </c>
      <c r="G1916" s="1" t="s">
        <v>50</v>
      </c>
      <c r="H1916" s="1" t="s">
        <v>50</v>
      </c>
      <c r="I1916" s="1" t="s">
        <v>50</v>
      </c>
      <c r="J1916" s="1" t="s">
        <v>50</v>
      </c>
      <c r="K1916" s="1" t="s">
        <v>50</v>
      </c>
      <c r="L1916">
        <f t="shared" si="189"/>
        <v>233.24923275704379</v>
      </c>
      <c r="M1916">
        <f t="shared" si="188"/>
        <v>354.65328152856114</v>
      </c>
      <c r="N1916">
        <f t="shared" si="190"/>
        <v>473.00623656700782</v>
      </c>
      <c r="O1916" t="e">
        <f t="shared" si="191"/>
        <v>#N/A</v>
      </c>
      <c r="P1916" t="e">
        <f t="shared" si="192"/>
        <v>#N/A</v>
      </c>
      <c r="Q1916" t="e">
        <f t="shared" si="193"/>
        <v>#N/A</v>
      </c>
      <c r="U1916">
        <f>C1916/Navio!$J$4</f>
        <v>21.014694352378825</v>
      </c>
    </row>
    <row r="1917" spans="1:21" x14ac:dyDescent="0.3">
      <c r="A1917">
        <v>1915</v>
      </c>
      <c r="B1917" s="47">
        <v>794.72903469308812</v>
      </c>
      <c r="C1917" s="46">
        <v>385.2503655808863</v>
      </c>
      <c r="D1917" s="1">
        <v>67</v>
      </c>
      <c r="E1917" s="1">
        <v>69</v>
      </c>
      <c r="F1917" s="1">
        <v>64</v>
      </c>
      <c r="G1917" s="1" t="s">
        <v>50</v>
      </c>
      <c r="H1917" s="1" t="s">
        <v>50</v>
      </c>
      <c r="I1917" s="1" t="s">
        <v>50</v>
      </c>
      <c r="J1917" s="1" t="s">
        <v>50</v>
      </c>
      <c r="K1917" s="1" t="s">
        <v>50</v>
      </c>
      <c r="L1917">
        <f t="shared" si="189"/>
        <v>233.24923275704379</v>
      </c>
      <c r="M1917">
        <f t="shared" si="188"/>
        <v>324.97668365254049</v>
      </c>
      <c r="N1917">
        <f t="shared" si="190"/>
        <v>473.00623656700782</v>
      </c>
      <c r="O1917" t="e">
        <f t="shared" si="191"/>
        <v>#N/A</v>
      </c>
      <c r="P1917" t="e">
        <f t="shared" si="192"/>
        <v>#N/A</v>
      </c>
      <c r="Q1917" t="e">
        <f t="shared" si="193"/>
        <v>#N/A</v>
      </c>
      <c r="U1917">
        <f>C1917/Navio!$J$4</f>
        <v>20.801873564301474</v>
      </c>
    </row>
    <row r="1918" spans="1:21" x14ac:dyDescent="0.3">
      <c r="A1918">
        <v>1916</v>
      </c>
      <c r="B1918" s="47">
        <v>706.25546932405155</v>
      </c>
      <c r="C1918" s="46">
        <v>386.29364469924428</v>
      </c>
      <c r="D1918" s="1">
        <v>67</v>
      </c>
      <c r="E1918" s="1">
        <v>70</v>
      </c>
      <c r="F1918" s="1">
        <v>64</v>
      </c>
      <c r="G1918" s="1" t="s">
        <v>50</v>
      </c>
      <c r="H1918" s="1" t="s">
        <v>50</v>
      </c>
      <c r="I1918" s="1" t="s">
        <v>50</v>
      </c>
      <c r="J1918" s="1" t="s">
        <v>50</v>
      </c>
      <c r="K1918" s="1" t="s">
        <v>50</v>
      </c>
      <c r="L1918">
        <f t="shared" si="189"/>
        <v>233.24923275704379</v>
      </c>
      <c r="M1918">
        <f t="shared" si="188"/>
        <v>473.00623656700782</v>
      </c>
      <c r="N1918">
        <f t="shared" si="190"/>
        <v>473.00623656700782</v>
      </c>
      <c r="O1918" t="e">
        <f t="shared" si="191"/>
        <v>#N/A</v>
      </c>
      <c r="P1918" t="e">
        <f t="shared" si="192"/>
        <v>#N/A</v>
      </c>
      <c r="Q1918" t="e">
        <f t="shared" si="193"/>
        <v>#N/A</v>
      </c>
      <c r="U1918">
        <f>C1918/Navio!$J$4</f>
        <v>20.858206178755029</v>
      </c>
    </row>
    <row r="1919" spans="1:21" x14ac:dyDescent="0.3">
      <c r="A1919">
        <v>1917</v>
      </c>
      <c r="B1919" s="47">
        <v>706.25546932405155</v>
      </c>
      <c r="C1919" s="46">
        <v>388.65957302056574</v>
      </c>
      <c r="D1919" s="1">
        <v>67</v>
      </c>
      <c r="E1919" s="1">
        <v>71</v>
      </c>
      <c r="F1919" s="1">
        <v>64</v>
      </c>
      <c r="G1919" s="1" t="s">
        <v>50</v>
      </c>
      <c r="H1919" s="1" t="s">
        <v>50</v>
      </c>
      <c r="I1919" s="1" t="s">
        <v>50</v>
      </c>
      <c r="J1919" s="1" t="s">
        <v>50</v>
      </c>
      <c r="K1919" s="1" t="s">
        <v>50</v>
      </c>
      <c r="L1919">
        <f t="shared" si="189"/>
        <v>233.24923275704379</v>
      </c>
      <c r="M1919">
        <f t="shared" si="188"/>
        <v>473.00623656700782</v>
      </c>
      <c r="N1919">
        <f t="shared" si="190"/>
        <v>473.00623656700782</v>
      </c>
      <c r="O1919" t="e">
        <f t="shared" si="191"/>
        <v>#N/A</v>
      </c>
      <c r="P1919" t="e">
        <f t="shared" si="192"/>
        <v>#N/A</v>
      </c>
      <c r="Q1919" t="e">
        <f t="shared" si="193"/>
        <v>#N/A</v>
      </c>
      <c r="U1919">
        <f>C1919/Navio!$J$4</f>
        <v>20.985956198480824</v>
      </c>
    </row>
    <row r="1920" spans="1:21" x14ac:dyDescent="0.3">
      <c r="A1920">
        <v>1918</v>
      </c>
      <c r="B1920" s="47">
        <v>827.65951809556896</v>
      </c>
      <c r="C1920" s="46">
        <v>394.66385704855566</v>
      </c>
      <c r="D1920" s="1">
        <v>70</v>
      </c>
      <c r="E1920" s="1">
        <v>68</v>
      </c>
      <c r="F1920" s="1">
        <v>64</v>
      </c>
      <c r="G1920" s="1" t="s">
        <v>50</v>
      </c>
      <c r="H1920" s="1" t="s">
        <v>50</v>
      </c>
      <c r="I1920" s="1" t="s">
        <v>50</v>
      </c>
      <c r="J1920" s="1" t="s">
        <v>50</v>
      </c>
      <c r="K1920" s="1" t="s">
        <v>50</v>
      </c>
      <c r="L1920">
        <f t="shared" si="189"/>
        <v>473.00623656700782</v>
      </c>
      <c r="M1920">
        <f t="shared" si="188"/>
        <v>354.65328152856114</v>
      </c>
      <c r="N1920">
        <f t="shared" si="190"/>
        <v>473.00623656700782</v>
      </c>
      <c r="O1920" t="e">
        <f t="shared" si="191"/>
        <v>#N/A</v>
      </c>
      <c r="P1920" t="e">
        <f t="shared" si="192"/>
        <v>#N/A</v>
      </c>
      <c r="Q1920" t="e">
        <f t="shared" si="193"/>
        <v>#N/A</v>
      </c>
      <c r="U1920">
        <f>C1920/Navio!$J$4</f>
        <v>21.310161879651496</v>
      </c>
    </row>
    <row r="1921" spans="1:21" x14ac:dyDescent="0.3">
      <c r="A1921">
        <v>1919</v>
      </c>
      <c r="B1921" s="47">
        <v>827.65951809556896</v>
      </c>
      <c r="C1921" s="46">
        <v>398.31436608304705</v>
      </c>
      <c r="D1921" s="1">
        <v>71</v>
      </c>
      <c r="E1921" s="1">
        <v>68</v>
      </c>
      <c r="F1921" s="1">
        <v>64</v>
      </c>
      <c r="G1921" s="1" t="s">
        <v>50</v>
      </c>
      <c r="H1921" s="1" t="s">
        <v>50</v>
      </c>
      <c r="I1921" s="1" t="s">
        <v>50</v>
      </c>
      <c r="J1921" s="1" t="s">
        <v>50</v>
      </c>
      <c r="K1921" s="1" t="s">
        <v>50</v>
      </c>
      <c r="L1921">
        <f t="shared" si="189"/>
        <v>473.00623656700782</v>
      </c>
      <c r="M1921">
        <f t="shared" si="188"/>
        <v>354.65328152856114</v>
      </c>
      <c r="N1921">
        <f t="shared" si="190"/>
        <v>473.00623656700782</v>
      </c>
      <c r="O1921" t="e">
        <f t="shared" si="191"/>
        <v>#N/A</v>
      </c>
      <c r="P1921" t="e">
        <f t="shared" si="192"/>
        <v>#N/A</v>
      </c>
      <c r="Q1921" t="e">
        <f t="shared" si="193"/>
        <v>#N/A</v>
      </c>
      <c r="U1921">
        <f>C1921/Navio!$J$4</f>
        <v>21.507273768867567</v>
      </c>
    </row>
    <row r="1922" spans="1:21" x14ac:dyDescent="0.3">
      <c r="A1922">
        <v>1920</v>
      </c>
      <c r="B1922" s="47">
        <v>797.9829202195483</v>
      </c>
      <c r="C1922" s="46">
        <v>388.04892033138907</v>
      </c>
      <c r="D1922" s="1">
        <v>69</v>
      </c>
      <c r="E1922" s="1">
        <v>70</v>
      </c>
      <c r="F1922" s="1">
        <v>64</v>
      </c>
      <c r="G1922" s="1" t="s">
        <v>50</v>
      </c>
      <c r="H1922" s="1" t="s">
        <v>50</v>
      </c>
      <c r="I1922" s="1" t="s">
        <v>50</v>
      </c>
      <c r="J1922" s="1" t="s">
        <v>50</v>
      </c>
      <c r="K1922" s="1" t="s">
        <v>50</v>
      </c>
      <c r="L1922">
        <f t="shared" si="189"/>
        <v>324.97668365254049</v>
      </c>
      <c r="M1922">
        <f t="shared" si="188"/>
        <v>473.00623656700782</v>
      </c>
      <c r="N1922">
        <f t="shared" si="190"/>
        <v>473.00623656700782</v>
      </c>
      <c r="O1922" t="e">
        <f t="shared" si="191"/>
        <v>#N/A</v>
      </c>
      <c r="P1922" t="e">
        <f t="shared" si="192"/>
        <v>#N/A</v>
      </c>
      <c r="Q1922" t="e">
        <f t="shared" si="193"/>
        <v>#N/A</v>
      </c>
      <c r="U1922">
        <f>C1922/Navio!$J$4</f>
        <v>20.9529835625878</v>
      </c>
    </row>
    <row r="1923" spans="1:21" x14ac:dyDescent="0.3">
      <c r="A1923">
        <v>1921</v>
      </c>
      <c r="B1923" s="47">
        <v>797.9829202195483</v>
      </c>
      <c r="C1923" s="46">
        <v>388.94204734327661</v>
      </c>
      <c r="D1923" s="1">
        <v>69</v>
      </c>
      <c r="E1923" s="1">
        <v>71</v>
      </c>
      <c r="F1923" s="1">
        <v>64</v>
      </c>
      <c r="G1923" s="1" t="s">
        <v>50</v>
      </c>
      <c r="H1923" s="1" t="s">
        <v>50</v>
      </c>
      <c r="I1923" s="1" t="s">
        <v>50</v>
      </c>
      <c r="J1923" s="1" t="s">
        <v>50</v>
      </c>
      <c r="K1923" s="1" t="s">
        <v>50</v>
      </c>
      <c r="L1923">
        <f t="shared" si="189"/>
        <v>324.97668365254049</v>
      </c>
      <c r="M1923">
        <f t="shared" ref="M1923:M1986" si="194">VLOOKUP(E1923,$Y$2:$Z$80,2)</f>
        <v>473.00623656700782</v>
      </c>
      <c r="N1923">
        <f t="shared" si="190"/>
        <v>473.00623656700782</v>
      </c>
      <c r="O1923" t="e">
        <f t="shared" si="191"/>
        <v>#N/A</v>
      </c>
      <c r="P1923" t="e">
        <f t="shared" si="192"/>
        <v>#N/A</v>
      </c>
      <c r="Q1923" t="e">
        <f t="shared" si="193"/>
        <v>#N/A</v>
      </c>
      <c r="U1923">
        <f>C1923/Navio!$J$4</f>
        <v>21.001208604892778</v>
      </c>
    </row>
    <row r="1924" spans="1:21" x14ac:dyDescent="0.3">
      <c r="A1924">
        <v>1922</v>
      </c>
      <c r="B1924" s="47">
        <v>709.50935485051173</v>
      </c>
      <c r="C1924" s="46">
        <v>388.52847193237176</v>
      </c>
      <c r="D1924" s="1">
        <v>71</v>
      </c>
      <c r="E1924" s="1">
        <v>70</v>
      </c>
      <c r="F1924" s="1">
        <v>64</v>
      </c>
      <c r="G1924" s="1" t="s">
        <v>50</v>
      </c>
      <c r="H1924" s="1" t="s">
        <v>50</v>
      </c>
      <c r="I1924" s="1" t="s">
        <v>50</v>
      </c>
      <c r="J1924" s="1" t="s">
        <v>50</v>
      </c>
      <c r="K1924" s="1" t="s">
        <v>50</v>
      </c>
      <c r="L1924">
        <f t="shared" si="189"/>
        <v>473.00623656700782</v>
      </c>
      <c r="M1924">
        <f t="shared" si="194"/>
        <v>473.00623656700782</v>
      </c>
      <c r="N1924">
        <f t="shared" si="190"/>
        <v>473.00623656700782</v>
      </c>
      <c r="O1924" t="e">
        <f t="shared" si="191"/>
        <v>#N/A</v>
      </c>
      <c r="P1924" t="e">
        <f t="shared" si="192"/>
        <v>#N/A</v>
      </c>
      <c r="Q1924" t="e">
        <f t="shared" si="193"/>
        <v>#N/A</v>
      </c>
      <c r="U1924">
        <f>C1924/Navio!$J$4</f>
        <v>20.978877299914068</v>
      </c>
    </row>
    <row r="1925" spans="1:21" x14ac:dyDescent="0.3">
      <c r="A1925">
        <v>1923</v>
      </c>
      <c r="B1925" s="47">
        <v>782.70348652625057</v>
      </c>
      <c r="C1925" s="46">
        <v>374.55792743653143</v>
      </c>
      <c r="D1925" s="1">
        <v>67</v>
      </c>
      <c r="E1925" s="1">
        <v>66</v>
      </c>
      <c r="F1925" s="1">
        <v>65</v>
      </c>
      <c r="G1925" s="1" t="s">
        <v>50</v>
      </c>
      <c r="H1925" s="1" t="s">
        <v>50</v>
      </c>
      <c r="I1925" s="1" t="s">
        <v>50</v>
      </c>
      <c r="J1925" s="1" t="s">
        <v>50</v>
      </c>
      <c r="K1925" s="1" t="s">
        <v>50</v>
      </c>
      <c r="L1925">
        <f t="shared" si="189"/>
        <v>233.24923275704379</v>
      </c>
      <c r="M1925">
        <f t="shared" si="194"/>
        <v>312.95113548570282</v>
      </c>
      <c r="N1925">
        <f t="shared" si="190"/>
        <v>473.00623656700782</v>
      </c>
      <c r="O1925" t="e">
        <f t="shared" si="191"/>
        <v>#N/A</v>
      </c>
      <c r="P1925" t="e">
        <f t="shared" si="192"/>
        <v>#N/A</v>
      </c>
      <c r="Q1925" t="e">
        <f t="shared" si="193"/>
        <v>#N/A</v>
      </c>
      <c r="U1925">
        <f>C1925/Navio!$J$4</f>
        <v>20.224527593357067</v>
      </c>
    </row>
    <row r="1926" spans="1:21" x14ac:dyDescent="0.3">
      <c r="A1926">
        <v>1924</v>
      </c>
      <c r="B1926" s="47">
        <v>874.43093742174722</v>
      </c>
      <c r="C1926" s="46">
        <v>385.31494884694615</v>
      </c>
      <c r="D1926" s="1">
        <v>66</v>
      </c>
      <c r="E1926" s="1">
        <v>69</v>
      </c>
      <c r="F1926" s="1">
        <v>65</v>
      </c>
      <c r="G1926" s="1" t="s">
        <v>50</v>
      </c>
      <c r="H1926" s="1" t="s">
        <v>50</v>
      </c>
      <c r="I1926" s="1" t="s">
        <v>50</v>
      </c>
      <c r="J1926" s="1" t="s">
        <v>50</v>
      </c>
      <c r="K1926" s="1" t="s">
        <v>50</v>
      </c>
      <c r="L1926">
        <f t="shared" si="189"/>
        <v>312.95113548570282</v>
      </c>
      <c r="M1926">
        <f t="shared" si="194"/>
        <v>324.97668365254049</v>
      </c>
      <c r="N1926">
        <f t="shared" si="190"/>
        <v>473.00623656700782</v>
      </c>
      <c r="O1926" t="e">
        <f t="shared" si="191"/>
        <v>#N/A</v>
      </c>
      <c r="P1926" t="e">
        <f t="shared" si="192"/>
        <v>#N/A</v>
      </c>
      <c r="Q1926" t="e">
        <f t="shared" si="193"/>
        <v>#N/A</v>
      </c>
      <c r="U1926">
        <f>C1926/Navio!$J$4</f>
        <v>20.805360784704032</v>
      </c>
    </row>
    <row r="1927" spans="1:21" x14ac:dyDescent="0.3">
      <c r="A1927">
        <v>1925</v>
      </c>
      <c r="B1927" s="47">
        <v>785.95737205271064</v>
      </c>
      <c r="C1927" s="46">
        <v>385.63171832811742</v>
      </c>
      <c r="D1927" s="1">
        <v>66</v>
      </c>
      <c r="E1927" s="1">
        <v>70</v>
      </c>
      <c r="F1927" s="1">
        <v>65</v>
      </c>
      <c r="G1927" s="1" t="s">
        <v>50</v>
      </c>
      <c r="H1927" s="1" t="s">
        <v>50</v>
      </c>
      <c r="I1927" s="1" t="s">
        <v>50</v>
      </c>
      <c r="J1927" s="1" t="s">
        <v>50</v>
      </c>
      <c r="K1927" s="1" t="s">
        <v>50</v>
      </c>
      <c r="L1927">
        <f t="shared" si="189"/>
        <v>312.95113548570282</v>
      </c>
      <c r="M1927">
        <f t="shared" si="194"/>
        <v>473.00623656700782</v>
      </c>
      <c r="N1927">
        <f t="shared" si="190"/>
        <v>473.00623656700782</v>
      </c>
      <c r="O1927" t="e">
        <f t="shared" si="191"/>
        <v>#N/A</v>
      </c>
      <c r="P1927" t="e">
        <f t="shared" si="192"/>
        <v>#N/A</v>
      </c>
      <c r="Q1927" t="e">
        <f t="shared" si="193"/>
        <v>#N/A</v>
      </c>
      <c r="U1927">
        <f>C1927/Navio!$J$4</f>
        <v>20.822464983129436</v>
      </c>
    </row>
    <row r="1928" spans="1:21" x14ac:dyDescent="0.3">
      <c r="A1928">
        <v>1926</v>
      </c>
      <c r="B1928" s="47">
        <v>785.95737205271064</v>
      </c>
      <c r="C1928" s="46">
        <v>388.33942620773382</v>
      </c>
      <c r="D1928" s="1">
        <v>66</v>
      </c>
      <c r="E1928" s="1">
        <v>71</v>
      </c>
      <c r="F1928" s="1">
        <v>65</v>
      </c>
      <c r="G1928" s="1" t="s">
        <v>50</v>
      </c>
      <c r="H1928" s="1" t="s">
        <v>50</v>
      </c>
      <c r="I1928" s="1" t="s">
        <v>50</v>
      </c>
      <c r="J1928" s="1" t="s">
        <v>50</v>
      </c>
      <c r="K1928" s="1" t="s">
        <v>50</v>
      </c>
      <c r="L1928">
        <f t="shared" si="189"/>
        <v>312.95113548570282</v>
      </c>
      <c r="M1928">
        <f t="shared" si="194"/>
        <v>473.00623656700782</v>
      </c>
      <c r="N1928">
        <f t="shared" si="190"/>
        <v>473.00623656700782</v>
      </c>
      <c r="O1928" t="e">
        <f t="shared" si="191"/>
        <v>#N/A</v>
      </c>
      <c r="P1928" t="e">
        <f t="shared" si="192"/>
        <v>#N/A</v>
      </c>
      <c r="Q1928" t="e">
        <f t="shared" si="193"/>
        <v>#N/A</v>
      </c>
      <c r="U1928">
        <f>C1928/Navio!$J$4</f>
        <v>20.968669638577108</v>
      </c>
    </row>
    <row r="1929" spans="1:21" x14ac:dyDescent="0.3">
      <c r="A1929">
        <v>1927</v>
      </c>
      <c r="B1929" s="47">
        <v>824.40563256910877</v>
      </c>
      <c r="C1929" s="46">
        <v>389.03236615083233</v>
      </c>
      <c r="D1929" s="1">
        <v>68</v>
      </c>
      <c r="E1929" s="1">
        <v>65</v>
      </c>
      <c r="F1929" s="1">
        <v>67</v>
      </c>
      <c r="G1929" s="1" t="s">
        <v>50</v>
      </c>
      <c r="H1929" s="1" t="s">
        <v>50</v>
      </c>
      <c r="I1929" s="1" t="s">
        <v>50</v>
      </c>
      <c r="J1929" s="1" t="s">
        <v>50</v>
      </c>
      <c r="K1929" s="1" t="s">
        <v>50</v>
      </c>
      <c r="L1929">
        <f t="shared" si="189"/>
        <v>354.65328152856114</v>
      </c>
      <c r="M1929">
        <f t="shared" si="194"/>
        <v>473.00623656700782</v>
      </c>
      <c r="N1929">
        <f t="shared" si="190"/>
        <v>233.24923275704379</v>
      </c>
      <c r="O1929" t="e">
        <f t="shared" si="191"/>
        <v>#N/A</v>
      </c>
      <c r="P1929" t="e">
        <f t="shared" si="192"/>
        <v>#N/A</v>
      </c>
      <c r="Q1929" t="e">
        <f t="shared" si="193"/>
        <v>#N/A</v>
      </c>
      <c r="U1929">
        <f>C1929/Navio!$J$4</f>
        <v>21.006085434567996</v>
      </c>
    </row>
    <row r="1930" spans="1:21" x14ac:dyDescent="0.3">
      <c r="A1930">
        <v>1928</v>
      </c>
      <c r="B1930" s="47">
        <v>794.72903469308812</v>
      </c>
      <c r="C1930" s="46">
        <v>385.39139244798071</v>
      </c>
      <c r="D1930" s="1">
        <v>67</v>
      </c>
      <c r="E1930" s="1">
        <v>69</v>
      </c>
      <c r="F1930" s="1">
        <v>65</v>
      </c>
      <c r="G1930" s="1" t="s">
        <v>50</v>
      </c>
      <c r="H1930" s="1" t="s">
        <v>50</v>
      </c>
      <c r="I1930" s="1" t="s">
        <v>50</v>
      </c>
      <c r="J1930" s="1" t="s">
        <v>50</v>
      </c>
      <c r="K1930" s="1" t="s">
        <v>50</v>
      </c>
      <c r="L1930">
        <f t="shared" si="189"/>
        <v>233.24923275704379</v>
      </c>
      <c r="M1930">
        <f t="shared" si="194"/>
        <v>324.97668365254049</v>
      </c>
      <c r="N1930">
        <f t="shared" si="190"/>
        <v>473.00623656700782</v>
      </c>
      <c r="O1930" t="e">
        <f t="shared" si="191"/>
        <v>#N/A</v>
      </c>
      <c r="P1930" t="e">
        <f t="shared" si="192"/>
        <v>#N/A</v>
      </c>
      <c r="Q1930" t="e">
        <f t="shared" si="193"/>
        <v>#N/A</v>
      </c>
      <c r="U1930">
        <f>C1930/Navio!$J$4</f>
        <v>20.809488412515943</v>
      </c>
    </row>
    <row r="1931" spans="1:21" x14ac:dyDescent="0.3">
      <c r="A1931">
        <v>1929</v>
      </c>
      <c r="B1931" s="47">
        <v>706.25546932405155</v>
      </c>
      <c r="C1931" s="46">
        <v>386.23121660389677</v>
      </c>
      <c r="D1931" s="1">
        <v>67</v>
      </c>
      <c r="E1931" s="1">
        <v>70</v>
      </c>
      <c r="F1931" s="1">
        <v>65</v>
      </c>
      <c r="G1931" s="1" t="s">
        <v>50</v>
      </c>
      <c r="H1931" s="1" t="s">
        <v>50</v>
      </c>
      <c r="I1931" s="1" t="s">
        <v>50</v>
      </c>
      <c r="J1931" s="1" t="s">
        <v>50</v>
      </c>
      <c r="K1931" s="1" t="s">
        <v>50</v>
      </c>
      <c r="L1931">
        <f t="shared" si="189"/>
        <v>233.24923275704379</v>
      </c>
      <c r="M1931">
        <f t="shared" si="194"/>
        <v>473.00623656700782</v>
      </c>
      <c r="N1931">
        <f t="shared" si="190"/>
        <v>473.00623656700782</v>
      </c>
      <c r="O1931" t="e">
        <f t="shared" si="191"/>
        <v>#N/A</v>
      </c>
      <c r="P1931" t="e">
        <f t="shared" si="192"/>
        <v>#N/A</v>
      </c>
      <c r="Q1931" t="e">
        <f t="shared" si="193"/>
        <v>#N/A</v>
      </c>
      <c r="U1931">
        <f>C1931/Navio!$J$4</f>
        <v>20.854835328361879</v>
      </c>
    </row>
    <row r="1932" spans="1:21" x14ac:dyDescent="0.3">
      <c r="A1932">
        <v>1930</v>
      </c>
      <c r="B1932" s="47">
        <v>706.25546932405155</v>
      </c>
      <c r="C1932" s="46">
        <v>388.64138737957063</v>
      </c>
      <c r="D1932" s="1">
        <v>67</v>
      </c>
      <c r="E1932" s="1">
        <v>71</v>
      </c>
      <c r="F1932" s="1">
        <v>65</v>
      </c>
      <c r="G1932" s="1" t="s">
        <v>50</v>
      </c>
      <c r="H1932" s="1" t="s">
        <v>50</v>
      </c>
      <c r="I1932" s="1" t="s">
        <v>50</v>
      </c>
      <c r="J1932" s="1" t="s">
        <v>50</v>
      </c>
      <c r="K1932" s="1" t="s">
        <v>50</v>
      </c>
      <c r="L1932">
        <f t="shared" si="189"/>
        <v>233.24923275704379</v>
      </c>
      <c r="M1932">
        <f t="shared" si="194"/>
        <v>473.00623656700782</v>
      </c>
      <c r="N1932">
        <f t="shared" si="190"/>
        <v>473.00623656700782</v>
      </c>
      <c r="O1932" t="e">
        <f t="shared" si="191"/>
        <v>#N/A</v>
      </c>
      <c r="P1932" t="e">
        <f t="shared" si="192"/>
        <v>#N/A</v>
      </c>
      <c r="Q1932" t="e">
        <f t="shared" si="193"/>
        <v>#N/A</v>
      </c>
      <c r="U1932">
        <f>C1932/Navio!$J$4</f>
        <v>20.984974251574439</v>
      </c>
    </row>
    <row r="1933" spans="1:21" x14ac:dyDescent="0.3">
      <c r="A1933">
        <v>1931</v>
      </c>
      <c r="B1933" s="47">
        <v>827.65951809556896</v>
      </c>
      <c r="C1933" s="46">
        <v>395.41240060567026</v>
      </c>
      <c r="D1933" s="1">
        <v>70</v>
      </c>
      <c r="E1933" s="1">
        <v>68</v>
      </c>
      <c r="F1933" s="1">
        <v>65</v>
      </c>
      <c r="G1933" s="1" t="s">
        <v>50</v>
      </c>
      <c r="H1933" s="1" t="s">
        <v>50</v>
      </c>
      <c r="I1933" s="1" t="s">
        <v>50</v>
      </c>
      <c r="J1933" s="1" t="s">
        <v>50</v>
      </c>
      <c r="K1933" s="1" t="s">
        <v>50</v>
      </c>
      <c r="L1933">
        <f t="shared" ref="L1933:L1996" si="195">VLOOKUP(D1933,$Y$2:$Z$80,2)</f>
        <v>473.00623656700782</v>
      </c>
      <c r="M1933">
        <f t="shared" si="194"/>
        <v>354.65328152856114</v>
      </c>
      <c r="N1933">
        <f t="shared" ref="N1933:N1996" si="196">VLOOKUP(F1933,$Y$2:$Z$80,2)</f>
        <v>473.00623656700782</v>
      </c>
      <c r="O1933" t="e">
        <f t="shared" ref="O1933:O1996" si="197">VLOOKUP(G1933,$Y$2:$Z$80,2)</f>
        <v>#N/A</v>
      </c>
      <c r="P1933" t="e">
        <f t="shared" ref="P1933:P1996" si="198">VLOOKUP(H1933,$Y$2:$Z$80,2)</f>
        <v>#N/A</v>
      </c>
      <c r="Q1933" t="e">
        <f t="shared" ref="Q1933:Q1996" si="199">VLOOKUP(I1933,$Y$2:$Z$80,2)</f>
        <v>#N/A</v>
      </c>
      <c r="U1933">
        <f>C1933/Navio!$J$4</f>
        <v>21.350580033204686</v>
      </c>
    </row>
    <row r="1934" spans="1:21" x14ac:dyDescent="0.3">
      <c r="A1934">
        <v>1932</v>
      </c>
      <c r="B1934" s="47">
        <v>827.65951809556896</v>
      </c>
      <c r="C1934" s="46">
        <v>399.06290964016171</v>
      </c>
      <c r="D1934" s="1">
        <v>71</v>
      </c>
      <c r="E1934" s="1">
        <v>68</v>
      </c>
      <c r="F1934" s="1">
        <v>65</v>
      </c>
      <c r="G1934" s="1" t="s">
        <v>50</v>
      </c>
      <c r="H1934" s="1" t="s">
        <v>50</v>
      </c>
      <c r="I1934" s="1" t="s">
        <v>50</v>
      </c>
      <c r="J1934" s="1" t="s">
        <v>50</v>
      </c>
      <c r="K1934" s="1" t="s">
        <v>50</v>
      </c>
      <c r="L1934">
        <f t="shared" si="195"/>
        <v>473.00623656700782</v>
      </c>
      <c r="M1934">
        <f t="shared" si="194"/>
        <v>354.65328152856114</v>
      </c>
      <c r="N1934">
        <f t="shared" si="196"/>
        <v>473.00623656700782</v>
      </c>
      <c r="O1934" t="e">
        <f t="shared" si="197"/>
        <v>#N/A</v>
      </c>
      <c r="P1934" t="e">
        <f t="shared" si="198"/>
        <v>#N/A</v>
      </c>
      <c r="Q1934" t="e">
        <f t="shared" si="199"/>
        <v>#N/A</v>
      </c>
      <c r="U1934">
        <f>C1934/Navio!$J$4</f>
        <v>21.547691922420757</v>
      </c>
    </row>
    <row r="1935" spans="1:21" x14ac:dyDescent="0.3">
      <c r="A1935">
        <v>1933</v>
      </c>
      <c r="B1935" s="47">
        <v>797.9829202195483</v>
      </c>
      <c r="C1935" s="46">
        <v>387.9864922360415</v>
      </c>
      <c r="D1935" s="1">
        <v>69</v>
      </c>
      <c r="E1935" s="1">
        <v>70</v>
      </c>
      <c r="F1935" s="1">
        <v>65</v>
      </c>
      <c r="G1935" s="1" t="s">
        <v>50</v>
      </c>
      <c r="H1935" s="1" t="s">
        <v>50</v>
      </c>
      <c r="I1935" s="1" t="s">
        <v>50</v>
      </c>
      <c r="J1935" s="1" t="s">
        <v>50</v>
      </c>
      <c r="K1935" s="1" t="s">
        <v>50</v>
      </c>
      <c r="L1935">
        <f t="shared" si="195"/>
        <v>324.97668365254049</v>
      </c>
      <c r="M1935">
        <f t="shared" si="194"/>
        <v>473.00623656700782</v>
      </c>
      <c r="N1935">
        <f t="shared" si="196"/>
        <v>473.00623656700782</v>
      </c>
      <c r="O1935" t="e">
        <f t="shared" si="197"/>
        <v>#N/A</v>
      </c>
      <c r="P1935" t="e">
        <f t="shared" si="198"/>
        <v>#N/A</v>
      </c>
      <c r="Q1935" t="e">
        <f t="shared" si="199"/>
        <v>#N/A</v>
      </c>
      <c r="U1935">
        <f>C1935/Navio!$J$4</f>
        <v>20.949612712194646</v>
      </c>
    </row>
    <row r="1936" spans="1:21" x14ac:dyDescent="0.3">
      <c r="A1936">
        <v>1934</v>
      </c>
      <c r="B1936" s="47">
        <v>797.9829202195483</v>
      </c>
      <c r="C1936" s="46">
        <v>388.92386170228144</v>
      </c>
      <c r="D1936" s="1">
        <v>69</v>
      </c>
      <c r="E1936" s="1">
        <v>71</v>
      </c>
      <c r="F1936" s="1">
        <v>65</v>
      </c>
      <c r="G1936" s="1" t="s">
        <v>50</v>
      </c>
      <c r="H1936" s="1" t="s">
        <v>50</v>
      </c>
      <c r="I1936" s="1" t="s">
        <v>50</v>
      </c>
      <c r="J1936" s="1" t="s">
        <v>50</v>
      </c>
      <c r="K1936" s="1" t="s">
        <v>50</v>
      </c>
      <c r="L1936">
        <f t="shared" si="195"/>
        <v>324.97668365254049</v>
      </c>
      <c r="M1936">
        <f t="shared" si="194"/>
        <v>473.00623656700782</v>
      </c>
      <c r="N1936">
        <f t="shared" si="196"/>
        <v>473.00623656700782</v>
      </c>
      <c r="O1936" t="e">
        <f t="shared" si="197"/>
        <v>#N/A</v>
      </c>
      <c r="P1936" t="e">
        <f t="shared" si="198"/>
        <v>#N/A</v>
      </c>
      <c r="Q1936" t="e">
        <f t="shared" si="199"/>
        <v>#N/A</v>
      </c>
      <c r="U1936">
        <f>C1936/Navio!$J$4</f>
        <v>21.000226657986392</v>
      </c>
    </row>
    <row r="1937" spans="1:21" x14ac:dyDescent="0.3">
      <c r="A1937">
        <v>1935</v>
      </c>
      <c r="B1937" s="47">
        <v>709.50935485051173</v>
      </c>
      <c r="C1937" s="46">
        <v>388.46604383702424</v>
      </c>
      <c r="D1937" s="1">
        <v>71</v>
      </c>
      <c r="E1937" s="1">
        <v>70</v>
      </c>
      <c r="F1937" s="1">
        <v>65</v>
      </c>
      <c r="G1937" s="1" t="s">
        <v>50</v>
      </c>
      <c r="H1937" s="1" t="s">
        <v>50</v>
      </c>
      <c r="I1937" s="1" t="s">
        <v>50</v>
      </c>
      <c r="J1937" s="1" t="s">
        <v>50</v>
      </c>
      <c r="K1937" s="1" t="s">
        <v>50</v>
      </c>
      <c r="L1937">
        <f t="shared" si="195"/>
        <v>473.00623656700782</v>
      </c>
      <c r="M1937">
        <f t="shared" si="194"/>
        <v>473.00623656700782</v>
      </c>
      <c r="N1937">
        <f t="shared" si="196"/>
        <v>473.00623656700782</v>
      </c>
      <c r="O1937" t="e">
        <f t="shared" si="197"/>
        <v>#N/A</v>
      </c>
      <c r="P1937" t="e">
        <f t="shared" si="198"/>
        <v>#N/A</v>
      </c>
      <c r="Q1937" t="e">
        <f t="shared" si="199"/>
        <v>#N/A</v>
      </c>
      <c r="U1937">
        <f>C1937/Navio!$J$4</f>
        <v>20.975506449520918</v>
      </c>
    </row>
    <row r="1938" spans="1:21" x14ac:dyDescent="0.3">
      <c r="A1938">
        <v>1936</v>
      </c>
      <c r="B1938" s="47">
        <v>871.17705189528715</v>
      </c>
      <c r="C1938" s="46">
        <v>376.80334969416526</v>
      </c>
      <c r="D1938" s="1">
        <v>67</v>
      </c>
      <c r="E1938" s="1">
        <v>69</v>
      </c>
      <c r="F1938" s="1">
        <v>66</v>
      </c>
      <c r="G1938" s="1" t="s">
        <v>50</v>
      </c>
      <c r="H1938" s="1" t="s">
        <v>50</v>
      </c>
      <c r="I1938" s="1" t="s">
        <v>50</v>
      </c>
      <c r="J1938" s="1" t="s">
        <v>50</v>
      </c>
      <c r="K1938" s="1" t="s">
        <v>50</v>
      </c>
      <c r="L1938">
        <f t="shared" si="195"/>
        <v>233.24923275704379</v>
      </c>
      <c r="M1938">
        <f t="shared" si="194"/>
        <v>324.97668365254049</v>
      </c>
      <c r="N1938">
        <f t="shared" si="196"/>
        <v>312.95113548570282</v>
      </c>
      <c r="O1938" t="e">
        <f t="shared" si="197"/>
        <v>#N/A</v>
      </c>
      <c r="P1938" t="e">
        <f t="shared" si="198"/>
        <v>#N/A</v>
      </c>
      <c r="Q1938" t="e">
        <f t="shared" si="199"/>
        <v>#N/A</v>
      </c>
      <c r="U1938">
        <f>C1938/Navio!$J$4</f>
        <v>20.34577080056685</v>
      </c>
    </row>
    <row r="1939" spans="1:21" x14ac:dyDescent="0.3">
      <c r="A1939">
        <v>1937</v>
      </c>
      <c r="B1939" s="47">
        <v>782.70348652625057</v>
      </c>
      <c r="C1939" s="46">
        <v>382.84092600975066</v>
      </c>
      <c r="D1939" s="1">
        <v>67</v>
      </c>
      <c r="E1939" s="1">
        <v>70</v>
      </c>
      <c r="F1939" s="1">
        <v>66</v>
      </c>
      <c r="G1939" s="1" t="s">
        <v>50</v>
      </c>
      <c r="H1939" s="1" t="s">
        <v>50</v>
      </c>
      <c r="I1939" s="1" t="s">
        <v>50</v>
      </c>
      <c r="J1939" s="1" t="s">
        <v>50</v>
      </c>
      <c r="K1939" s="1" t="s">
        <v>50</v>
      </c>
      <c r="L1939">
        <f t="shared" si="195"/>
        <v>233.24923275704379</v>
      </c>
      <c r="M1939">
        <f t="shared" si="194"/>
        <v>473.00623656700782</v>
      </c>
      <c r="N1939">
        <f t="shared" si="196"/>
        <v>312.95113548570282</v>
      </c>
      <c r="O1939" t="e">
        <f t="shared" si="197"/>
        <v>#N/A</v>
      </c>
      <c r="P1939" t="e">
        <f t="shared" si="198"/>
        <v>#N/A</v>
      </c>
      <c r="Q1939" t="e">
        <f t="shared" si="199"/>
        <v>#N/A</v>
      </c>
      <c r="U1939">
        <f>C1939/Navio!$J$4</f>
        <v>20.671774123009538</v>
      </c>
    </row>
    <row r="1940" spans="1:21" x14ac:dyDescent="0.3">
      <c r="A1940">
        <v>1938</v>
      </c>
      <c r="B1940" s="47">
        <v>782.70348652625057</v>
      </c>
      <c r="C1940" s="46">
        <v>383.01815091323374</v>
      </c>
      <c r="D1940" s="1">
        <v>67</v>
      </c>
      <c r="E1940" s="1">
        <v>71</v>
      </c>
      <c r="F1940" s="1">
        <v>66</v>
      </c>
      <c r="G1940" s="1" t="s">
        <v>50</v>
      </c>
      <c r="H1940" s="1" t="s">
        <v>50</v>
      </c>
      <c r="I1940" s="1" t="s">
        <v>50</v>
      </c>
      <c r="J1940" s="1" t="s">
        <v>50</v>
      </c>
      <c r="K1940" s="1" t="s">
        <v>50</v>
      </c>
      <c r="L1940">
        <f t="shared" si="195"/>
        <v>233.24923275704379</v>
      </c>
      <c r="M1940">
        <f t="shared" si="194"/>
        <v>473.00623656700782</v>
      </c>
      <c r="N1940">
        <f t="shared" si="196"/>
        <v>312.95113548570282</v>
      </c>
      <c r="O1940" t="e">
        <f t="shared" si="197"/>
        <v>#N/A</v>
      </c>
      <c r="P1940" t="e">
        <f t="shared" si="198"/>
        <v>#N/A</v>
      </c>
      <c r="Q1940" t="e">
        <f t="shared" si="199"/>
        <v>#N/A</v>
      </c>
      <c r="U1940">
        <f>C1940/Navio!$J$4</f>
        <v>20.681343510514573</v>
      </c>
    </row>
    <row r="1941" spans="1:21" x14ac:dyDescent="0.3">
      <c r="A1941">
        <v>1939</v>
      </c>
      <c r="B1941" s="47">
        <v>874.43093742174722</v>
      </c>
      <c r="C1941" s="46">
        <v>383.78108750455476</v>
      </c>
      <c r="D1941" s="1">
        <v>70</v>
      </c>
      <c r="E1941" s="1">
        <v>69</v>
      </c>
      <c r="F1941" s="1">
        <v>66</v>
      </c>
      <c r="G1941" s="1" t="s">
        <v>50</v>
      </c>
      <c r="H1941" s="1" t="s">
        <v>50</v>
      </c>
      <c r="I1941" s="1" t="s">
        <v>50</v>
      </c>
      <c r="J1941" s="1" t="s">
        <v>50</v>
      </c>
      <c r="K1941" s="1" t="s">
        <v>50</v>
      </c>
      <c r="L1941">
        <f t="shared" si="195"/>
        <v>473.00623656700782</v>
      </c>
      <c r="M1941">
        <f t="shared" si="194"/>
        <v>324.97668365254049</v>
      </c>
      <c r="N1941">
        <f t="shared" si="196"/>
        <v>312.95113548570282</v>
      </c>
      <c r="O1941" t="e">
        <f t="shared" si="197"/>
        <v>#N/A</v>
      </c>
      <c r="P1941" t="e">
        <f t="shared" si="198"/>
        <v>#N/A</v>
      </c>
      <c r="Q1941" t="e">
        <f t="shared" si="199"/>
        <v>#N/A</v>
      </c>
      <c r="U1941">
        <f>C1941/Navio!$J$4</f>
        <v>20.722538826413388</v>
      </c>
    </row>
    <row r="1942" spans="1:21" x14ac:dyDescent="0.3">
      <c r="A1942">
        <v>1940</v>
      </c>
      <c r="B1942" s="47">
        <v>874.43093742174722</v>
      </c>
      <c r="C1942" s="46">
        <v>383.15677024349122</v>
      </c>
      <c r="D1942" s="1">
        <v>71</v>
      </c>
      <c r="E1942" s="1">
        <v>69</v>
      </c>
      <c r="F1942" s="1">
        <v>66</v>
      </c>
      <c r="G1942" s="1" t="s">
        <v>50</v>
      </c>
      <c r="H1942" s="1" t="s">
        <v>50</v>
      </c>
      <c r="I1942" s="1" t="s">
        <v>50</v>
      </c>
      <c r="J1942" s="1" t="s">
        <v>50</v>
      </c>
      <c r="K1942" s="1" t="s">
        <v>50</v>
      </c>
      <c r="L1942">
        <f t="shared" si="195"/>
        <v>473.00623656700782</v>
      </c>
      <c r="M1942">
        <f t="shared" si="194"/>
        <v>324.97668365254049</v>
      </c>
      <c r="N1942">
        <f t="shared" si="196"/>
        <v>312.95113548570282</v>
      </c>
      <c r="O1942" t="e">
        <f t="shared" si="197"/>
        <v>#N/A</v>
      </c>
      <c r="P1942" t="e">
        <f t="shared" si="198"/>
        <v>#N/A</v>
      </c>
      <c r="Q1942" t="e">
        <f t="shared" si="199"/>
        <v>#N/A</v>
      </c>
      <c r="U1942">
        <f>C1942/Navio!$J$4</f>
        <v>20.688828362027266</v>
      </c>
    </row>
    <row r="1943" spans="1:21" x14ac:dyDescent="0.3">
      <c r="A1943">
        <v>1941</v>
      </c>
      <c r="B1943" s="47">
        <v>785.95737205271064</v>
      </c>
      <c r="C1943" s="46">
        <v>384.40449409799083</v>
      </c>
      <c r="D1943" s="1">
        <v>70</v>
      </c>
      <c r="E1943" s="1">
        <v>71</v>
      </c>
      <c r="F1943" s="1">
        <v>66</v>
      </c>
      <c r="G1943" s="1" t="s">
        <v>50</v>
      </c>
      <c r="H1943" s="1" t="s">
        <v>50</v>
      </c>
      <c r="I1943" s="1" t="s">
        <v>50</v>
      </c>
      <c r="J1943" s="1" t="s">
        <v>50</v>
      </c>
      <c r="K1943" s="1" t="s">
        <v>50</v>
      </c>
      <c r="L1943">
        <f t="shared" si="195"/>
        <v>473.00623656700782</v>
      </c>
      <c r="M1943">
        <f t="shared" si="194"/>
        <v>473.00623656700782</v>
      </c>
      <c r="N1943">
        <f t="shared" si="196"/>
        <v>312.95113548570282</v>
      </c>
      <c r="O1943" t="e">
        <f t="shared" si="197"/>
        <v>#N/A</v>
      </c>
      <c r="P1943" t="e">
        <f t="shared" si="198"/>
        <v>#N/A</v>
      </c>
      <c r="Q1943" t="e">
        <f t="shared" si="199"/>
        <v>#N/A</v>
      </c>
      <c r="U1943">
        <f>C1943/Navio!$J$4</f>
        <v>20.756200118638915</v>
      </c>
    </row>
    <row r="1944" spans="1:21" x14ac:dyDescent="0.3">
      <c r="A1944">
        <v>1942</v>
      </c>
      <c r="B1944" s="47">
        <v>824.40563256910877</v>
      </c>
      <c r="C1944" s="46">
        <v>394.58681411139372</v>
      </c>
      <c r="D1944" s="1">
        <v>68</v>
      </c>
      <c r="E1944" s="1">
        <v>70</v>
      </c>
      <c r="F1944" s="1">
        <v>67</v>
      </c>
      <c r="G1944" s="1" t="s">
        <v>50</v>
      </c>
      <c r="H1944" s="1" t="s">
        <v>50</v>
      </c>
      <c r="I1944" s="1" t="s">
        <v>50</v>
      </c>
      <c r="J1944" s="1" t="s">
        <v>50</v>
      </c>
      <c r="K1944" s="1" t="s">
        <v>50</v>
      </c>
      <c r="L1944">
        <f t="shared" si="195"/>
        <v>354.65328152856114</v>
      </c>
      <c r="M1944">
        <f t="shared" si="194"/>
        <v>473.00623656700782</v>
      </c>
      <c r="N1944">
        <f t="shared" si="196"/>
        <v>233.24923275704379</v>
      </c>
      <c r="O1944" t="e">
        <f t="shared" si="197"/>
        <v>#N/A</v>
      </c>
      <c r="P1944" t="e">
        <f t="shared" si="198"/>
        <v>#N/A</v>
      </c>
      <c r="Q1944" t="e">
        <f t="shared" si="199"/>
        <v>#N/A</v>
      </c>
      <c r="U1944">
        <f>C1944/Navio!$J$4</f>
        <v>21.306001890249672</v>
      </c>
    </row>
    <row r="1945" spans="1:21" x14ac:dyDescent="0.3">
      <c r="A1945">
        <v>1943</v>
      </c>
      <c r="B1945" s="47">
        <v>824.40563256910877</v>
      </c>
      <c r="C1945" s="46">
        <v>397.26852689705538</v>
      </c>
      <c r="D1945" s="1">
        <v>68</v>
      </c>
      <c r="E1945" s="1">
        <v>71</v>
      </c>
      <c r="F1945" s="1">
        <v>67</v>
      </c>
      <c r="G1945" s="1" t="s">
        <v>50</v>
      </c>
      <c r="H1945" s="1" t="s">
        <v>50</v>
      </c>
      <c r="I1945" s="1" t="s">
        <v>50</v>
      </c>
      <c r="J1945" s="1" t="s">
        <v>50</v>
      </c>
      <c r="K1945" s="1" t="s">
        <v>50</v>
      </c>
      <c r="L1945">
        <f t="shared" si="195"/>
        <v>354.65328152856114</v>
      </c>
      <c r="M1945">
        <f t="shared" si="194"/>
        <v>473.00623656700782</v>
      </c>
      <c r="N1945">
        <f t="shared" si="196"/>
        <v>233.24923275704379</v>
      </c>
      <c r="O1945" t="e">
        <f t="shared" si="197"/>
        <v>#N/A</v>
      </c>
      <c r="P1945" t="e">
        <f t="shared" si="198"/>
        <v>#N/A</v>
      </c>
      <c r="Q1945" t="e">
        <f t="shared" si="199"/>
        <v>#N/A</v>
      </c>
      <c r="U1945">
        <f>C1945/Navio!$J$4</f>
        <v>21.450802921700976</v>
      </c>
    </row>
    <row r="1946" spans="1:21" x14ac:dyDescent="0.3">
      <c r="A1946">
        <v>1944</v>
      </c>
      <c r="B1946" s="47">
        <v>794.72903469308812</v>
      </c>
      <c r="C1946" s="46">
        <v>383.85753110558926</v>
      </c>
      <c r="D1946" s="1">
        <v>70</v>
      </c>
      <c r="E1946" s="1">
        <v>69</v>
      </c>
      <c r="F1946" s="1">
        <v>67</v>
      </c>
      <c r="G1946" s="1" t="s">
        <v>50</v>
      </c>
      <c r="H1946" s="1" t="s">
        <v>50</v>
      </c>
      <c r="I1946" s="1" t="s">
        <v>50</v>
      </c>
      <c r="J1946" s="1" t="s">
        <v>50</v>
      </c>
      <c r="K1946" s="1" t="s">
        <v>50</v>
      </c>
      <c r="L1946">
        <f t="shared" si="195"/>
        <v>473.00623656700782</v>
      </c>
      <c r="M1946">
        <f t="shared" si="194"/>
        <v>324.97668365254049</v>
      </c>
      <c r="N1946">
        <f t="shared" si="196"/>
        <v>233.24923275704379</v>
      </c>
      <c r="O1946" t="e">
        <f t="shared" si="197"/>
        <v>#N/A</v>
      </c>
      <c r="P1946" t="e">
        <f t="shared" si="198"/>
        <v>#N/A</v>
      </c>
      <c r="Q1946" t="e">
        <f t="shared" si="199"/>
        <v>#N/A</v>
      </c>
      <c r="U1946">
        <f>C1946/Navio!$J$4</f>
        <v>20.726666454225299</v>
      </c>
    </row>
    <row r="1947" spans="1:21" x14ac:dyDescent="0.3">
      <c r="A1947">
        <v>1945</v>
      </c>
      <c r="B1947" s="47">
        <v>794.72903469308812</v>
      </c>
      <c r="C1947" s="46">
        <v>383.23321384452572</v>
      </c>
      <c r="D1947" s="1">
        <v>71</v>
      </c>
      <c r="E1947" s="1">
        <v>69</v>
      </c>
      <c r="F1947" s="1">
        <v>67</v>
      </c>
      <c r="G1947" s="1" t="s">
        <v>50</v>
      </c>
      <c r="H1947" s="1" t="s">
        <v>50</v>
      </c>
      <c r="I1947" s="1" t="s">
        <v>50</v>
      </c>
      <c r="J1947" s="1" t="s">
        <v>50</v>
      </c>
      <c r="K1947" s="1" t="s">
        <v>50</v>
      </c>
      <c r="L1947">
        <f t="shared" si="195"/>
        <v>473.00623656700782</v>
      </c>
      <c r="M1947">
        <f t="shared" si="194"/>
        <v>324.97668365254049</v>
      </c>
      <c r="N1947">
        <f t="shared" si="196"/>
        <v>233.24923275704379</v>
      </c>
      <c r="O1947" t="e">
        <f t="shared" si="197"/>
        <v>#N/A</v>
      </c>
      <c r="P1947" t="e">
        <f t="shared" si="198"/>
        <v>#N/A</v>
      </c>
      <c r="Q1947" t="e">
        <f t="shared" si="199"/>
        <v>#N/A</v>
      </c>
      <c r="U1947">
        <f>C1947/Navio!$J$4</f>
        <v>20.692955989839177</v>
      </c>
    </row>
    <row r="1948" spans="1:21" x14ac:dyDescent="0.3">
      <c r="A1948">
        <v>1946</v>
      </c>
      <c r="B1948" s="47">
        <v>706.25546932405155</v>
      </c>
      <c r="C1948" s="46">
        <v>384.70645526982764</v>
      </c>
      <c r="D1948" s="1">
        <v>70</v>
      </c>
      <c r="E1948" s="1">
        <v>71</v>
      </c>
      <c r="F1948" s="1">
        <v>67</v>
      </c>
      <c r="G1948" s="1" t="s">
        <v>50</v>
      </c>
      <c r="H1948" s="1" t="s">
        <v>50</v>
      </c>
      <c r="I1948" s="1" t="s">
        <v>50</v>
      </c>
      <c r="J1948" s="1" t="s">
        <v>50</v>
      </c>
      <c r="K1948" s="1" t="s">
        <v>50</v>
      </c>
      <c r="L1948">
        <f t="shared" si="195"/>
        <v>473.00623656700782</v>
      </c>
      <c r="M1948">
        <f t="shared" si="194"/>
        <v>473.00623656700782</v>
      </c>
      <c r="N1948">
        <f t="shared" si="196"/>
        <v>233.24923275704379</v>
      </c>
      <c r="O1948" t="e">
        <f t="shared" si="197"/>
        <v>#N/A</v>
      </c>
      <c r="P1948" t="e">
        <f t="shared" si="198"/>
        <v>#N/A</v>
      </c>
      <c r="Q1948" t="e">
        <f t="shared" si="199"/>
        <v>#N/A</v>
      </c>
      <c r="U1948">
        <f>C1948/Navio!$J$4</f>
        <v>20.77250473163625</v>
      </c>
    </row>
    <row r="1949" spans="1:21" x14ac:dyDescent="0.3">
      <c r="A1949">
        <v>1947</v>
      </c>
      <c r="B1949" s="47">
        <v>827.65951809556896</v>
      </c>
      <c r="C1949" s="46">
        <v>396.82164134452114</v>
      </c>
      <c r="D1949" s="1">
        <v>71</v>
      </c>
      <c r="E1949" s="1">
        <v>70</v>
      </c>
      <c r="F1949" s="1">
        <v>68</v>
      </c>
      <c r="G1949" s="1" t="s">
        <v>50</v>
      </c>
      <c r="H1949" s="1" t="s">
        <v>50</v>
      </c>
      <c r="I1949" s="1" t="s">
        <v>50</v>
      </c>
      <c r="J1949" s="1" t="s">
        <v>50</v>
      </c>
      <c r="K1949" s="1" t="s">
        <v>50</v>
      </c>
      <c r="L1949">
        <f t="shared" si="195"/>
        <v>473.00623656700782</v>
      </c>
      <c r="M1949">
        <f t="shared" si="194"/>
        <v>473.00623656700782</v>
      </c>
      <c r="N1949">
        <f t="shared" si="196"/>
        <v>354.65328152856114</v>
      </c>
      <c r="O1949" t="e">
        <f t="shared" si="197"/>
        <v>#N/A</v>
      </c>
      <c r="P1949" t="e">
        <f t="shared" si="198"/>
        <v>#N/A</v>
      </c>
      <c r="Q1949" t="e">
        <f t="shared" si="199"/>
        <v>#N/A</v>
      </c>
      <c r="U1949">
        <f>C1949/Navio!$J$4</f>
        <v>21.42667301140871</v>
      </c>
    </row>
    <row r="1950" spans="1:21" x14ac:dyDescent="0.3">
      <c r="A1950">
        <v>1948</v>
      </c>
      <c r="B1950" s="47">
        <v>797.9829202195483</v>
      </c>
      <c r="C1950" s="46">
        <v>384.98892959253851</v>
      </c>
      <c r="D1950" s="1">
        <v>70</v>
      </c>
      <c r="E1950" s="1">
        <v>71</v>
      </c>
      <c r="F1950" s="1">
        <v>69</v>
      </c>
      <c r="G1950" s="1" t="s">
        <v>50</v>
      </c>
      <c r="H1950" s="1" t="s">
        <v>50</v>
      </c>
      <c r="I1950" s="1" t="s">
        <v>50</v>
      </c>
      <c r="J1950" s="1" t="s">
        <v>50</v>
      </c>
      <c r="K1950" s="1" t="s">
        <v>50</v>
      </c>
      <c r="L1950">
        <f t="shared" si="195"/>
        <v>473.00623656700782</v>
      </c>
      <c r="M1950">
        <f t="shared" si="194"/>
        <v>473.00623656700782</v>
      </c>
      <c r="N1950">
        <f t="shared" si="196"/>
        <v>324.97668365254049</v>
      </c>
      <c r="O1950" t="e">
        <f t="shared" si="197"/>
        <v>#N/A</v>
      </c>
      <c r="P1950" t="e">
        <f t="shared" si="198"/>
        <v>#N/A</v>
      </c>
      <c r="Q1950" t="e">
        <f t="shared" si="199"/>
        <v>#N/A</v>
      </c>
      <c r="U1950">
        <f>C1950/Navio!$J$4</f>
        <v>20.787757138048203</v>
      </c>
    </row>
    <row r="1951" spans="1:21" x14ac:dyDescent="0.3">
      <c r="A1951">
        <v>1949</v>
      </c>
      <c r="B1951" s="47">
        <v>765.79233898892448</v>
      </c>
      <c r="C1951" s="46">
        <v>365.73310792554003</v>
      </c>
      <c r="D1951" s="1">
        <v>64</v>
      </c>
      <c r="E1951" s="1">
        <v>65</v>
      </c>
      <c r="F1951" s="1">
        <v>63</v>
      </c>
      <c r="G1951" s="1">
        <v>60</v>
      </c>
      <c r="H1951" s="1" t="s">
        <v>50</v>
      </c>
      <c r="I1951" s="1" t="s">
        <v>50</v>
      </c>
      <c r="J1951" s="1" t="s">
        <v>50</v>
      </c>
      <c r="K1951" s="1" t="s">
        <v>50</v>
      </c>
      <c r="L1951">
        <f t="shared" si="195"/>
        <v>473.00623656700782</v>
      </c>
      <c r="M1951">
        <f t="shared" si="194"/>
        <v>473.00623656700782</v>
      </c>
      <c r="N1951">
        <f t="shared" si="196"/>
        <v>473.00623656700782</v>
      </c>
      <c r="O1951">
        <f t="shared" si="197"/>
        <v>56.282984138412765</v>
      </c>
      <c r="P1951" t="e">
        <f t="shared" si="198"/>
        <v>#N/A</v>
      </c>
      <c r="Q1951" t="e">
        <f t="shared" si="199"/>
        <v>#N/A</v>
      </c>
      <c r="U1951">
        <f>C1951/Navio!$J$4</f>
        <v>19.748025048268939</v>
      </c>
    </row>
    <row r="1952" spans="1:21" x14ac:dyDescent="0.3">
      <c r="A1952">
        <v>1950</v>
      </c>
      <c r="B1952" s="47">
        <v>842.2403561911234</v>
      </c>
      <c r="C1952" s="46">
        <v>373.33919249043959</v>
      </c>
      <c r="D1952" s="1">
        <v>64</v>
      </c>
      <c r="E1952" s="1">
        <v>63</v>
      </c>
      <c r="F1952" s="1">
        <v>66</v>
      </c>
      <c r="G1952" s="1">
        <v>60</v>
      </c>
      <c r="H1952" s="1" t="s">
        <v>50</v>
      </c>
      <c r="I1952" s="1" t="s">
        <v>50</v>
      </c>
      <c r="J1952" s="1" t="s">
        <v>50</v>
      </c>
      <c r="K1952" s="1" t="s">
        <v>50</v>
      </c>
      <c r="L1952">
        <f t="shared" si="195"/>
        <v>473.00623656700782</v>
      </c>
      <c r="M1952">
        <f t="shared" si="194"/>
        <v>473.00623656700782</v>
      </c>
      <c r="N1952">
        <f t="shared" si="196"/>
        <v>312.95113548570282</v>
      </c>
      <c r="O1952">
        <f t="shared" si="197"/>
        <v>56.282984138412765</v>
      </c>
      <c r="P1952" t="e">
        <f t="shared" si="198"/>
        <v>#N/A</v>
      </c>
      <c r="Q1952" t="e">
        <f t="shared" si="199"/>
        <v>#N/A</v>
      </c>
      <c r="U1952">
        <f>C1952/Navio!$J$4</f>
        <v>20.158721113929666</v>
      </c>
    </row>
    <row r="1953" spans="1:21" x14ac:dyDescent="0.3">
      <c r="A1953">
        <v>1951</v>
      </c>
      <c r="B1953" s="47">
        <v>762.53845346246442</v>
      </c>
      <c r="C1953" s="46">
        <v>375.28667627218687</v>
      </c>
      <c r="D1953" s="1">
        <v>64</v>
      </c>
      <c r="E1953" s="1">
        <v>63</v>
      </c>
      <c r="F1953" s="1">
        <v>67</v>
      </c>
      <c r="G1953" s="1">
        <v>60</v>
      </c>
      <c r="H1953" s="1" t="s">
        <v>50</v>
      </c>
      <c r="I1953" s="1" t="s">
        <v>50</v>
      </c>
      <c r="J1953" s="1" t="s">
        <v>50</v>
      </c>
      <c r="K1953" s="1" t="s">
        <v>50</v>
      </c>
      <c r="L1953">
        <f t="shared" si="195"/>
        <v>473.00623656700782</v>
      </c>
      <c r="M1953">
        <f t="shared" si="194"/>
        <v>473.00623656700782</v>
      </c>
      <c r="N1953">
        <f t="shared" si="196"/>
        <v>233.24923275704379</v>
      </c>
      <c r="O1953">
        <f t="shared" si="197"/>
        <v>56.282984138412765</v>
      </c>
      <c r="P1953" t="e">
        <f t="shared" si="198"/>
        <v>#N/A</v>
      </c>
      <c r="Q1953" t="e">
        <f t="shared" si="199"/>
        <v>#N/A</v>
      </c>
      <c r="U1953">
        <f>C1953/Navio!$J$4</f>
        <v>20.263876916534421</v>
      </c>
    </row>
    <row r="1954" spans="1:21" x14ac:dyDescent="0.3">
      <c r="A1954">
        <v>1952</v>
      </c>
      <c r="B1954" s="47">
        <v>883.94250223398171</v>
      </c>
      <c r="C1954" s="46">
        <v>380.90024315627994</v>
      </c>
      <c r="D1954" s="1">
        <v>68</v>
      </c>
      <c r="E1954" s="1">
        <v>64</v>
      </c>
      <c r="F1954" s="1">
        <v>63</v>
      </c>
      <c r="G1954" s="1">
        <v>60</v>
      </c>
      <c r="H1954" s="1" t="s">
        <v>50</v>
      </c>
      <c r="I1954" s="1" t="s">
        <v>50</v>
      </c>
      <c r="J1954" s="1" t="s">
        <v>50</v>
      </c>
      <c r="K1954" s="1" t="s">
        <v>50</v>
      </c>
      <c r="L1954">
        <f t="shared" si="195"/>
        <v>354.65328152856114</v>
      </c>
      <c r="M1954">
        <f t="shared" si="194"/>
        <v>473.00623656700782</v>
      </c>
      <c r="N1954">
        <f t="shared" si="196"/>
        <v>473.00623656700782</v>
      </c>
      <c r="O1954">
        <f t="shared" si="197"/>
        <v>56.282984138412765</v>
      </c>
      <c r="P1954" t="e">
        <f t="shared" si="198"/>
        <v>#N/A</v>
      </c>
      <c r="Q1954" t="e">
        <f t="shared" si="199"/>
        <v>#N/A</v>
      </c>
      <c r="U1954">
        <f>C1954/Navio!$J$4</f>
        <v>20.566985541471308</v>
      </c>
    </row>
    <row r="1955" spans="1:21" x14ac:dyDescent="0.3">
      <c r="A1955">
        <v>1953</v>
      </c>
      <c r="B1955" s="47">
        <v>854.26590435796106</v>
      </c>
      <c r="C1955" s="46">
        <v>387.08185887023325</v>
      </c>
      <c r="D1955" s="1">
        <v>64</v>
      </c>
      <c r="E1955" s="1">
        <v>69</v>
      </c>
      <c r="F1955" s="1">
        <v>63</v>
      </c>
      <c r="G1955" s="1">
        <v>60</v>
      </c>
      <c r="H1955" s="1" t="s">
        <v>50</v>
      </c>
      <c r="I1955" s="1" t="s">
        <v>50</v>
      </c>
      <c r="J1955" s="1" t="s">
        <v>50</v>
      </c>
      <c r="K1955" s="1" t="s">
        <v>50</v>
      </c>
      <c r="L1955">
        <f t="shared" si="195"/>
        <v>473.00623656700782</v>
      </c>
      <c r="M1955">
        <f t="shared" si="194"/>
        <v>324.97668365254049</v>
      </c>
      <c r="N1955">
        <f t="shared" si="196"/>
        <v>473.00623656700782</v>
      </c>
      <c r="O1955">
        <f t="shared" si="197"/>
        <v>56.282984138412765</v>
      </c>
      <c r="P1955" t="e">
        <f t="shared" si="198"/>
        <v>#N/A</v>
      </c>
      <c r="Q1955" t="e">
        <f t="shared" si="199"/>
        <v>#N/A</v>
      </c>
      <c r="U1955">
        <f>C1955/Navio!$J$4</f>
        <v>20.900766375944666</v>
      </c>
    </row>
    <row r="1956" spans="1:21" x14ac:dyDescent="0.3">
      <c r="A1956">
        <v>1954</v>
      </c>
      <c r="B1956" s="47">
        <v>765.79233898892448</v>
      </c>
      <c r="C1956" s="46">
        <v>385.37515037588935</v>
      </c>
      <c r="D1956" s="1">
        <v>64</v>
      </c>
      <c r="E1956" s="1">
        <v>70</v>
      </c>
      <c r="F1956" s="1">
        <v>63</v>
      </c>
      <c r="G1956" s="1">
        <v>60</v>
      </c>
      <c r="H1956" s="1" t="s">
        <v>50</v>
      </c>
      <c r="I1956" s="1" t="s">
        <v>50</v>
      </c>
      <c r="J1956" s="1" t="s">
        <v>50</v>
      </c>
      <c r="K1956" s="1" t="s">
        <v>50</v>
      </c>
      <c r="L1956">
        <f t="shared" si="195"/>
        <v>473.00623656700782</v>
      </c>
      <c r="M1956">
        <f t="shared" si="194"/>
        <v>473.00623656700782</v>
      </c>
      <c r="N1956">
        <f t="shared" si="196"/>
        <v>473.00623656700782</v>
      </c>
      <c r="O1956">
        <f t="shared" si="197"/>
        <v>56.282984138412765</v>
      </c>
      <c r="P1956" t="e">
        <f t="shared" si="198"/>
        <v>#N/A</v>
      </c>
      <c r="Q1956" t="e">
        <f t="shared" si="199"/>
        <v>#N/A</v>
      </c>
      <c r="U1956">
        <f>C1956/Navio!$J$4</f>
        <v>20.808611410025481</v>
      </c>
    </row>
    <row r="1957" spans="1:21" x14ac:dyDescent="0.3">
      <c r="A1957">
        <v>1955</v>
      </c>
      <c r="B1957" s="47">
        <v>765.79233898892448</v>
      </c>
      <c r="C1957" s="46">
        <v>389.18337237983917</v>
      </c>
      <c r="D1957" s="1">
        <v>64</v>
      </c>
      <c r="E1957" s="1">
        <v>71</v>
      </c>
      <c r="F1957" s="1">
        <v>63</v>
      </c>
      <c r="G1957" s="1">
        <v>60</v>
      </c>
      <c r="H1957" s="1" t="s">
        <v>50</v>
      </c>
      <c r="I1957" s="1" t="s">
        <v>50</v>
      </c>
      <c r="J1957" s="1" t="s">
        <v>50</v>
      </c>
      <c r="K1957" s="1" t="s">
        <v>50</v>
      </c>
      <c r="L1957">
        <f t="shared" si="195"/>
        <v>473.00623656700782</v>
      </c>
      <c r="M1957">
        <f t="shared" si="194"/>
        <v>473.00623656700782</v>
      </c>
      <c r="N1957">
        <f t="shared" si="196"/>
        <v>473.00623656700782</v>
      </c>
      <c r="O1957">
        <f t="shared" si="197"/>
        <v>56.282984138412765</v>
      </c>
      <c r="P1957" t="e">
        <f t="shared" si="198"/>
        <v>#N/A</v>
      </c>
      <c r="Q1957" t="e">
        <f t="shared" si="199"/>
        <v>#N/A</v>
      </c>
      <c r="U1957">
        <f>C1957/Navio!$J$4</f>
        <v>21.014239125683865</v>
      </c>
    </row>
    <row r="1958" spans="1:21" x14ac:dyDescent="0.3">
      <c r="A1958">
        <v>1956</v>
      </c>
      <c r="B1958" s="47">
        <v>842.2403561911234</v>
      </c>
      <c r="C1958" s="46">
        <v>374.61952997300727</v>
      </c>
      <c r="D1958" s="1">
        <v>65</v>
      </c>
      <c r="E1958" s="1">
        <v>63</v>
      </c>
      <c r="F1958" s="1">
        <v>66</v>
      </c>
      <c r="G1958" s="1">
        <v>60</v>
      </c>
      <c r="H1958" s="1" t="s">
        <v>50</v>
      </c>
      <c r="I1958" s="1" t="s">
        <v>50</v>
      </c>
      <c r="J1958" s="1" t="s">
        <v>50</v>
      </c>
      <c r="K1958" s="1" t="s">
        <v>50</v>
      </c>
      <c r="L1958">
        <f t="shared" si="195"/>
        <v>473.00623656700782</v>
      </c>
      <c r="M1958">
        <f t="shared" si="194"/>
        <v>473.00623656700782</v>
      </c>
      <c r="N1958">
        <f t="shared" si="196"/>
        <v>312.95113548570282</v>
      </c>
      <c r="O1958">
        <f t="shared" si="197"/>
        <v>56.282984138412765</v>
      </c>
      <c r="P1958" t="e">
        <f t="shared" si="198"/>
        <v>#N/A</v>
      </c>
      <c r="Q1958" t="e">
        <f t="shared" si="199"/>
        <v>#N/A</v>
      </c>
      <c r="U1958">
        <f>C1958/Navio!$J$4</f>
        <v>20.227853867098766</v>
      </c>
    </row>
    <row r="1959" spans="1:21" x14ac:dyDescent="0.3">
      <c r="A1959">
        <v>1957</v>
      </c>
      <c r="B1959" s="47">
        <v>762.53845346246442</v>
      </c>
      <c r="C1959" s="46">
        <v>376.56701375475461</v>
      </c>
      <c r="D1959" s="1">
        <v>65</v>
      </c>
      <c r="E1959" s="1">
        <v>63</v>
      </c>
      <c r="F1959" s="1">
        <v>67</v>
      </c>
      <c r="G1959" s="1">
        <v>60</v>
      </c>
      <c r="H1959" s="1" t="s">
        <v>50</v>
      </c>
      <c r="I1959" s="1" t="s">
        <v>50</v>
      </c>
      <c r="J1959" s="1" t="s">
        <v>50</v>
      </c>
      <c r="K1959" s="1" t="s">
        <v>50</v>
      </c>
      <c r="L1959">
        <f t="shared" si="195"/>
        <v>473.00623656700782</v>
      </c>
      <c r="M1959">
        <f t="shared" si="194"/>
        <v>473.00623656700782</v>
      </c>
      <c r="N1959">
        <f t="shared" si="196"/>
        <v>233.24923275704379</v>
      </c>
      <c r="O1959">
        <f t="shared" si="197"/>
        <v>56.282984138412765</v>
      </c>
      <c r="P1959" t="e">
        <f t="shared" si="198"/>
        <v>#N/A</v>
      </c>
      <c r="Q1959" t="e">
        <f t="shared" si="199"/>
        <v>#N/A</v>
      </c>
      <c r="U1959">
        <f>C1959/Navio!$J$4</f>
        <v>20.333009669703525</v>
      </c>
    </row>
    <row r="1960" spans="1:21" x14ac:dyDescent="0.3">
      <c r="A1960">
        <v>1958</v>
      </c>
      <c r="B1960" s="47">
        <v>883.94250223398171</v>
      </c>
      <c r="C1960" s="46">
        <v>380.06516954900803</v>
      </c>
      <c r="D1960" s="1">
        <v>68</v>
      </c>
      <c r="E1960" s="1">
        <v>65</v>
      </c>
      <c r="F1960" s="1">
        <v>63</v>
      </c>
      <c r="G1960" s="1">
        <v>60</v>
      </c>
      <c r="H1960" s="1" t="s">
        <v>50</v>
      </c>
      <c r="I1960" s="1" t="s">
        <v>50</v>
      </c>
      <c r="J1960" s="1" t="s">
        <v>50</v>
      </c>
      <c r="K1960" s="1" t="s">
        <v>50</v>
      </c>
      <c r="L1960">
        <f t="shared" si="195"/>
        <v>354.65328152856114</v>
      </c>
      <c r="M1960">
        <f t="shared" si="194"/>
        <v>473.00623656700782</v>
      </c>
      <c r="N1960">
        <f t="shared" si="196"/>
        <v>473.00623656700782</v>
      </c>
      <c r="O1960">
        <f t="shared" si="197"/>
        <v>56.282984138412765</v>
      </c>
      <c r="P1960" t="e">
        <f t="shared" si="198"/>
        <v>#N/A</v>
      </c>
      <c r="Q1960" t="e">
        <f t="shared" si="199"/>
        <v>#N/A</v>
      </c>
      <c r="U1960">
        <f>C1960/Navio!$J$4</f>
        <v>20.521895134953034</v>
      </c>
    </row>
    <row r="1961" spans="1:21" x14ac:dyDescent="0.3">
      <c r="A1961">
        <v>1959</v>
      </c>
      <c r="B1961" s="47">
        <v>854.26590435796106</v>
      </c>
      <c r="C1961" s="46">
        <v>387.2228857373276</v>
      </c>
      <c r="D1961" s="1">
        <v>65</v>
      </c>
      <c r="E1961" s="1">
        <v>69</v>
      </c>
      <c r="F1961" s="1">
        <v>63</v>
      </c>
      <c r="G1961" s="1">
        <v>60</v>
      </c>
      <c r="H1961" s="1" t="s">
        <v>50</v>
      </c>
      <c r="I1961" s="1" t="s">
        <v>50</v>
      </c>
      <c r="J1961" s="1" t="s">
        <v>50</v>
      </c>
      <c r="K1961" s="1" t="s">
        <v>50</v>
      </c>
      <c r="L1961">
        <f t="shared" si="195"/>
        <v>473.00623656700782</v>
      </c>
      <c r="M1961">
        <f t="shared" si="194"/>
        <v>324.97668365254049</v>
      </c>
      <c r="N1961">
        <f t="shared" si="196"/>
        <v>473.00623656700782</v>
      </c>
      <c r="O1961">
        <f t="shared" si="197"/>
        <v>56.282984138412765</v>
      </c>
      <c r="P1961" t="e">
        <f t="shared" si="198"/>
        <v>#N/A</v>
      </c>
      <c r="Q1961" t="e">
        <f t="shared" si="199"/>
        <v>#N/A</v>
      </c>
      <c r="U1961">
        <f>C1961/Navio!$J$4</f>
        <v>20.908381224159136</v>
      </c>
    </row>
    <row r="1962" spans="1:21" x14ac:dyDescent="0.3">
      <c r="A1962">
        <v>1960</v>
      </c>
      <c r="B1962" s="47">
        <v>765.79233898892448</v>
      </c>
      <c r="C1962" s="46">
        <v>385.31272228054183</v>
      </c>
      <c r="D1962" s="1">
        <v>65</v>
      </c>
      <c r="E1962" s="1">
        <v>70</v>
      </c>
      <c r="F1962" s="1">
        <v>63</v>
      </c>
      <c r="G1962" s="1">
        <v>60</v>
      </c>
      <c r="H1962" s="1" t="s">
        <v>50</v>
      </c>
      <c r="I1962" s="1" t="s">
        <v>50</v>
      </c>
      <c r="J1962" s="1" t="s">
        <v>50</v>
      </c>
      <c r="K1962" s="1" t="s">
        <v>50</v>
      </c>
      <c r="L1962">
        <f t="shared" si="195"/>
        <v>473.00623656700782</v>
      </c>
      <c r="M1962">
        <f t="shared" si="194"/>
        <v>473.00623656700782</v>
      </c>
      <c r="N1962">
        <f t="shared" si="196"/>
        <v>473.00623656700782</v>
      </c>
      <c r="O1962">
        <f t="shared" si="197"/>
        <v>56.282984138412765</v>
      </c>
      <c r="P1962" t="e">
        <f t="shared" si="198"/>
        <v>#N/A</v>
      </c>
      <c r="Q1962" t="e">
        <f t="shared" si="199"/>
        <v>#N/A</v>
      </c>
      <c r="U1962">
        <f>C1962/Navio!$J$4</f>
        <v>20.805240559632331</v>
      </c>
    </row>
    <row r="1963" spans="1:21" x14ac:dyDescent="0.3">
      <c r="A1963">
        <v>1961</v>
      </c>
      <c r="B1963" s="47">
        <v>765.79233898892448</v>
      </c>
      <c r="C1963" s="46">
        <v>389.16518673884406</v>
      </c>
      <c r="D1963" s="1">
        <v>65</v>
      </c>
      <c r="E1963" s="1">
        <v>71</v>
      </c>
      <c r="F1963" s="1">
        <v>63</v>
      </c>
      <c r="G1963" s="1">
        <v>60</v>
      </c>
      <c r="H1963" s="1" t="s">
        <v>50</v>
      </c>
      <c r="I1963" s="1" t="s">
        <v>50</v>
      </c>
      <c r="J1963" s="1" t="s">
        <v>50</v>
      </c>
      <c r="K1963" s="1" t="s">
        <v>50</v>
      </c>
      <c r="L1963">
        <f t="shared" si="195"/>
        <v>473.00623656700782</v>
      </c>
      <c r="M1963">
        <f t="shared" si="194"/>
        <v>473.00623656700782</v>
      </c>
      <c r="N1963">
        <f t="shared" si="196"/>
        <v>473.00623656700782</v>
      </c>
      <c r="O1963">
        <f t="shared" si="197"/>
        <v>56.282984138412765</v>
      </c>
      <c r="P1963" t="e">
        <f t="shared" si="198"/>
        <v>#N/A</v>
      </c>
      <c r="Q1963" t="e">
        <f t="shared" si="199"/>
        <v>#N/A</v>
      </c>
      <c r="U1963">
        <f>C1963/Navio!$J$4</f>
        <v>21.013257178777479</v>
      </c>
    </row>
    <row r="1964" spans="1:21" x14ac:dyDescent="0.3">
      <c r="A1964">
        <v>1962</v>
      </c>
      <c r="B1964" s="47">
        <v>838.98647066466333</v>
      </c>
      <c r="C1964" s="46">
        <v>363.48286592722093</v>
      </c>
      <c r="D1964" s="1">
        <v>67</v>
      </c>
      <c r="E1964" s="1">
        <v>66</v>
      </c>
      <c r="F1964" s="1">
        <v>63</v>
      </c>
      <c r="G1964" s="1">
        <v>60</v>
      </c>
      <c r="H1964" s="1" t="s">
        <v>50</v>
      </c>
      <c r="I1964" s="1" t="s">
        <v>50</v>
      </c>
      <c r="J1964" s="1" t="s">
        <v>50</v>
      </c>
      <c r="K1964" s="1" t="s">
        <v>50</v>
      </c>
      <c r="L1964">
        <f t="shared" si="195"/>
        <v>233.24923275704379</v>
      </c>
      <c r="M1964">
        <f t="shared" si="194"/>
        <v>312.95113548570282</v>
      </c>
      <c r="N1964">
        <f t="shared" si="196"/>
        <v>473.00623656700782</v>
      </c>
      <c r="O1964">
        <f t="shared" si="197"/>
        <v>56.282984138412765</v>
      </c>
      <c r="P1964" t="e">
        <f t="shared" si="198"/>
        <v>#N/A</v>
      </c>
      <c r="Q1964" t="e">
        <f t="shared" si="199"/>
        <v>#N/A</v>
      </c>
      <c r="U1964">
        <f>C1964/Navio!$J$4</f>
        <v>19.626521595656936</v>
      </c>
    </row>
    <row r="1965" spans="1:21" x14ac:dyDescent="0.3">
      <c r="A1965">
        <v>1963</v>
      </c>
      <c r="B1965" s="47">
        <v>842.2403561911234</v>
      </c>
      <c r="C1965" s="46">
        <v>381.92243168639573</v>
      </c>
      <c r="D1965" s="1">
        <v>66</v>
      </c>
      <c r="E1965" s="1">
        <v>70</v>
      </c>
      <c r="F1965" s="1">
        <v>63</v>
      </c>
      <c r="G1965" s="1">
        <v>60</v>
      </c>
      <c r="H1965" s="1" t="s">
        <v>50</v>
      </c>
      <c r="I1965" s="1" t="s">
        <v>50</v>
      </c>
      <c r="J1965" s="1" t="s">
        <v>50</v>
      </c>
      <c r="K1965" s="1" t="s">
        <v>50</v>
      </c>
      <c r="L1965">
        <f t="shared" si="195"/>
        <v>312.95113548570282</v>
      </c>
      <c r="M1965">
        <f t="shared" si="194"/>
        <v>473.00623656700782</v>
      </c>
      <c r="N1965">
        <f t="shared" si="196"/>
        <v>473.00623656700782</v>
      </c>
      <c r="O1965">
        <f t="shared" si="197"/>
        <v>56.282984138412765</v>
      </c>
      <c r="P1965" t="e">
        <f t="shared" si="198"/>
        <v>#N/A</v>
      </c>
      <c r="Q1965" t="e">
        <f t="shared" si="199"/>
        <v>#N/A</v>
      </c>
      <c r="U1965">
        <f>C1965/Navio!$J$4</f>
        <v>20.622179354279989</v>
      </c>
    </row>
    <row r="1966" spans="1:21" x14ac:dyDescent="0.3">
      <c r="A1966">
        <v>1964</v>
      </c>
      <c r="B1966" s="47">
        <v>842.2403561911234</v>
      </c>
      <c r="C1966" s="46">
        <v>383.54195027250717</v>
      </c>
      <c r="D1966" s="1">
        <v>66</v>
      </c>
      <c r="E1966" s="1">
        <v>71</v>
      </c>
      <c r="F1966" s="1">
        <v>63</v>
      </c>
      <c r="G1966" s="1">
        <v>60</v>
      </c>
      <c r="H1966" s="1" t="s">
        <v>50</v>
      </c>
      <c r="I1966" s="1" t="s">
        <v>50</v>
      </c>
      <c r="J1966" s="1" t="s">
        <v>50</v>
      </c>
      <c r="K1966" s="1" t="s">
        <v>50</v>
      </c>
      <c r="L1966">
        <f t="shared" si="195"/>
        <v>312.95113548570282</v>
      </c>
      <c r="M1966">
        <f t="shared" si="194"/>
        <v>473.00623656700782</v>
      </c>
      <c r="N1966">
        <f t="shared" si="196"/>
        <v>473.00623656700782</v>
      </c>
      <c r="O1966">
        <f t="shared" si="197"/>
        <v>56.282984138412765</v>
      </c>
      <c r="P1966" t="e">
        <f t="shared" si="198"/>
        <v>#N/A</v>
      </c>
      <c r="Q1966" t="e">
        <f t="shared" si="199"/>
        <v>#N/A</v>
      </c>
      <c r="U1966">
        <f>C1966/Navio!$J$4</f>
        <v>20.70962643771761</v>
      </c>
    </row>
    <row r="1967" spans="1:21" x14ac:dyDescent="0.3">
      <c r="A1967">
        <v>1965</v>
      </c>
      <c r="B1967" s="47">
        <v>880.68861670752165</v>
      </c>
      <c r="C1967" s="46">
        <v>390.76032012199607</v>
      </c>
      <c r="D1967" s="1">
        <v>68</v>
      </c>
      <c r="E1967" s="1">
        <v>63</v>
      </c>
      <c r="F1967" s="1">
        <v>67</v>
      </c>
      <c r="G1967" s="1">
        <v>60</v>
      </c>
      <c r="H1967" s="1" t="s">
        <v>50</v>
      </c>
      <c r="I1967" s="1" t="s">
        <v>50</v>
      </c>
      <c r="J1967" s="1" t="s">
        <v>50</v>
      </c>
      <c r="K1967" s="1" t="s">
        <v>50</v>
      </c>
      <c r="L1967">
        <f t="shared" si="195"/>
        <v>354.65328152856114</v>
      </c>
      <c r="M1967">
        <f t="shared" si="194"/>
        <v>473.00623656700782</v>
      </c>
      <c r="N1967">
        <f t="shared" si="196"/>
        <v>233.24923275704379</v>
      </c>
      <c r="O1967">
        <f t="shared" si="197"/>
        <v>56.282984138412765</v>
      </c>
      <c r="P1967" t="e">
        <f t="shared" si="198"/>
        <v>#N/A</v>
      </c>
      <c r="Q1967" t="e">
        <f t="shared" si="199"/>
        <v>#N/A</v>
      </c>
      <c r="U1967">
        <f>C1967/Navio!$J$4</f>
        <v>21.099387565453409</v>
      </c>
    </row>
    <row r="1968" spans="1:21" x14ac:dyDescent="0.3">
      <c r="A1968">
        <v>1966</v>
      </c>
      <c r="B1968" s="47">
        <v>851.012018831501</v>
      </c>
      <c r="C1968" s="46">
        <v>378.71128658454666</v>
      </c>
      <c r="D1968" s="1">
        <v>67</v>
      </c>
      <c r="E1968" s="1">
        <v>69</v>
      </c>
      <c r="F1968" s="1">
        <v>63</v>
      </c>
      <c r="G1968" s="1">
        <v>60</v>
      </c>
      <c r="H1968" s="1" t="s">
        <v>50</v>
      </c>
      <c r="I1968" s="1" t="s">
        <v>50</v>
      </c>
      <c r="J1968" s="1" t="s">
        <v>50</v>
      </c>
      <c r="K1968" s="1" t="s">
        <v>50</v>
      </c>
      <c r="L1968">
        <f t="shared" si="195"/>
        <v>233.24923275704379</v>
      </c>
      <c r="M1968">
        <f t="shared" si="194"/>
        <v>324.97668365254049</v>
      </c>
      <c r="N1968">
        <f t="shared" si="196"/>
        <v>473.00623656700782</v>
      </c>
      <c r="O1968">
        <f t="shared" si="197"/>
        <v>56.282984138412765</v>
      </c>
      <c r="P1968" t="e">
        <f t="shared" si="198"/>
        <v>#N/A</v>
      </c>
      <c r="Q1968" t="e">
        <f t="shared" si="199"/>
        <v>#N/A</v>
      </c>
      <c r="U1968">
        <f>C1968/Navio!$J$4</f>
        <v>20.448791240021947</v>
      </c>
    </row>
    <row r="1969" spans="1:21" x14ac:dyDescent="0.3">
      <c r="A1969">
        <v>1967</v>
      </c>
      <c r="B1969" s="47">
        <v>762.53845346246442</v>
      </c>
      <c r="C1969" s="46">
        <v>382.52192996217502</v>
      </c>
      <c r="D1969" s="1">
        <v>67</v>
      </c>
      <c r="E1969" s="1">
        <v>70</v>
      </c>
      <c r="F1969" s="1">
        <v>63</v>
      </c>
      <c r="G1969" s="1">
        <v>60</v>
      </c>
      <c r="H1969" s="1" t="s">
        <v>50</v>
      </c>
      <c r="I1969" s="1" t="s">
        <v>50</v>
      </c>
      <c r="J1969" s="1" t="s">
        <v>50</v>
      </c>
      <c r="K1969" s="1" t="s">
        <v>50</v>
      </c>
      <c r="L1969">
        <f t="shared" si="195"/>
        <v>233.24923275704379</v>
      </c>
      <c r="M1969">
        <f t="shared" si="194"/>
        <v>473.00623656700782</v>
      </c>
      <c r="N1969">
        <f t="shared" si="196"/>
        <v>473.00623656700782</v>
      </c>
      <c r="O1969">
        <f t="shared" si="197"/>
        <v>56.282984138412765</v>
      </c>
      <c r="P1969" t="e">
        <f t="shared" si="198"/>
        <v>#N/A</v>
      </c>
      <c r="Q1969" t="e">
        <f t="shared" si="199"/>
        <v>#N/A</v>
      </c>
      <c r="U1969">
        <f>C1969/Navio!$J$4</f>
        <v>20.65454969951243</v>
      </c>
    </row>
    <row r="1970" spans="1:21" x14ac:dyDescent="0.3">
      <c r="A1970">
        <v>1968</v>
      </c>
      <c r="B1970" s="47">
        <v>762.53845346246442</v>
      </c>
      <c r="C1970" s="46">
        <v>383.84391144434403</v>
      </c>
      <c r="D1970" s="1">
        <v>67</v>
      </c>
      <c r="E1970" s="1">
        <v>71</v>
      </c>
      <c r="F1970" s="1">
        <v>63</v>
      </c>
      <c r="G1970" s="1">
        <v>60</v>
      </c>
      <c r="H1970" s="1" t="s">
        <v>50</v>
      </c>
      <c r="I1970" s="1" t="s">
        <v>50</v>
      </c>
      <c r="J1970" s="1" t="s">
        <v>50</v>
      </c>
      <c r="K1970" s="1" t="s">
        <v>50</v>
      </c>
      <c r="L1970">
        <f t="shared" si="195"/>
        <v>233.24923275704379</v>
      </c>
      <c r="M1970">
        <f t="shared" si="194"/>
        <v>473.00623656700782</v>
      </c>
      <c r="N1970">
        <f t="shared" si="196"/>
        <v>473.00623656700782</v>
      </c>
      <c r="O1970">
        <f t="shared" si="197"/>
        <v>56.282984138412765</v>
      </c>
      <c r="P1970" t="e">
        <f t="shared" si="198"/>
        <v>#N/A</v>
      </c>
      <c r="Q1970" t="e">
        <f t="shared" si="199"/>
        <v>#N/A</v>
      </c>
      <c r="U1970">
        <f>C1970/Navio!$J$4</f>
        <v>20.725931050714948</v>
      </c>
    </row>
    <row r="1971" spans="1:21" x14ac:dyDescent="0.3">
      <c r="A1971">
        <v>1969</v>
      </c>
      <c r="B1971" s="47">
        <v>883.94250223398171</v>
      </c>
      <c r="C1971" s="46">
        <v>393.66831978803873</v>
      </c>
      <c r="D1971" s="1">
        <v>68</v>
      </c>
      <c r="E1971" s="1">
        <v>70</v>
      </c>
      <c r="F1971" s="1">
        <v>63</v>
      </c>
      <c r="G1971" s="1">
        <v>60</v>
      </c>
      <c r="H1971" s="1" t="s">
        <v>50</v>
      </c>
      <c r="I1971" s="1" t="s">
        <v>50</v>
      </c>
      <c r="J1971" s="1" t="s">
        <v>50</v>
      </c>
      <c r="K1971" s="1" t="s">
        <v>50</v>
      </c>
      <c r="L1971">
        <f t="shared" si="195"/>
        <v>354.65328152856114</v>
      </c>
      <c r="M1971">
        <f t="shared" si="194"/>
        <v>473.00623656700782</v>
      </c>
      <c r="N1971">
        <f t="shared" si="196"/>
        <v>473.00623656700782</v>
      </c>
      <c r="O1971">
        <f t="shared" si="197"/>
        <v>56.282984138412765</v>
      </c>
      <c r="P1971" t="e">
        <f t="shared" si="198"/>
        <v>#N/A</v>
      </c>
      <c r="Q1971" t="e">
        <f t="shared" si="199"/>
        <v>#N/A</v>
      </c>
      <c r="U1971">
        <f>C1971/Navio!$J$4</f>
        <v>21.256407121520123</v>
      </c>
    </row>
    <row r="1972" spans="1:21" x14ac:dyDescent="0.3">
      <c r="A1972">
        <v>1970</v>
      </c>
      <c r="B1972" s="47">
        <v>883.94250223398171</v>
      </c>
      <c r="C1972" s="46">
        <v>397.79232625632881</v>
      </c>
      <c r="D1972" s="1">
        <v>68</v>
      </c>
      <c r="E1972" s="1">
        <v>71</v>
      </c>
      <c r="F1972" s="1">
        <v>63</v>
      </c>
      <c r="G1972" s="1">
        <v>60</v>
      </c>
      <c r="H1972" s="1" t="s">
        <v>50</v>
      </c>
      <c r="I1972" s="1" t="s">
        <v>50</v>
      </c>
      <c r="J1972" s="1" t="s">
        <v>50</v>
      </c>
      <c r="K1972" s="1" t="s">
        <v>50</v>
      </c>
      <c r="L1972">
        <f t="shared" si="195"/>
        <v>354.65328152856114</v>
      </c>
      <c r="M1972">
        <f t="shared" si="194"/>
        <v>473.00623656700782</v>
      </c>
      <c r="N1972">
        <f t="shared" si="196"/>
        <v>473.00623656700782</v>
      </c>
      <c r="O1972">
        <f t="shared" si="197"/>
        <v>56.282984138412765</v>
      </c>
      <c r="P1972" t="e">
        <f t="shared" si="198"/>
        <v>#N/A</v>
      </c>
      <c r="Q1972" t="e">
        <f t="shared" si="199"/>
        <v>#N/A</v>
      </c>
      <c r="U1972">
        <f>C1972/Navio!$J$4</f>
        <v>21.479085848904017</v>
      </c>
    </row>
    <row r="1973" spans="1:21" x14ac:dyDescent="0.3">
      <c r="A1973">
        <v>1971</v>
      </c>
      <c r="B1973" s="47">
        <v>854.26590435796106</v>
      </c>
      <c r="C1973" s="46">
        <v>384.18071494714206</v>
      </c>
      <c r="D1973" s="1">
        <v>63</v>
      </c>
      <c r="E1973" s="1">
        <v>70</v>
      </c>
      <c r="F1973" s="1">
        <v>69</v>
      </c>
      <c r="G1973" s="1">
        <v>60</v>
      </c>
      <c r="H1973" s="1" t="s">
        <v>50</v>
      </c>
      <c r="I1973" s="1" t="s">
        <v>50</v>
      </c>
      <c r="J1973" s="1" t="s">
        <v>50</v>
      </c>
      <c r="K1973" s="1" t="s">
        <v>50</v>
      </c>
      <c r="L1973">
        <f t="shared" si="195"/>
        <v>473.00623656700782</v>
      </c>
      <c r="M1973">
        <f t="shared" si="194"/>
        <v>473.00623656700782</v>
      </c>
      <c r="N1973">
        <f t="shared" si="196"/>
        <v>324.97668365254049</v>
      </c>
      <c r="O1973">
        <f t="shared" si="197"/>
        <v>56.282984138412765</v>
      </c>
      <c r="P1973" t="e">
        <f t="shared" si="198"/>
        <v>#N/A</v>
      </c>
      <c r="Q1973" t="e">
        <f t="shared" si="199"/>
        <v>#N/A</v>
      </c>
      <c r="U1973">
        <f>C1973/Navio!$J$4</f>
        <v>20.744117000702701</v>
      </c>
    </row>
    <row r="1974" spans="1:21" x14ac:dyDescent="0.3">
      <c r="A1974">
        <v>1972</v>
      </c>
      <c r="B1974" s="47">
        <v>854.26590435796106</v>
      </c>
      <c r="C1974" s="46">
        <v>384.0298951198771</v>
      </c>
      <c r="D1974" s="1">
        <v>63</v>
      </c>
      <c r="E1974" s="1">
        <v>71</v>
      </c>
      <c r="F1974" s="1">
        <v>69</v>
      </c>
      <c r="G1974" s="1">
        <v>60</v>
      </c>
      <c r="H1974" s="1" t="s">
        <v>50</v>
      </c>
      <c r="I1974" s="1" t="s">
        <v>50</v>
      </c>
      <c r="J1974" s="1" t="s">
        <v>50</v>
      </c>
      <c r="K1974" s="1" t="s">
        <v>50</v>
      </c>
      <c r="L1974">
        <f t="shared" si="195"/>
        <v>473.00623656700782</v>
      </c>
      <c r="M1974">
        <f t="shared" si="194"/>
        <v>473.00623656700782</v>
      </c>
      <c r="N1974">
        <f t="shared" si="196"/>
        <v>324.97668365254049</v>
      </c>
      <c r="O1974">
        <f t="shared" si="197"/>
        <v>56.282984138412765</v>
      </c>
      <c r="P1974" t="e">
        <f t="shared" si="198"/>
        <v>#N/A</v>
      </c>
      <c r="Q1974" t="e">
        <f t="shared" si="199"/>
        <v>#N/A</v>
      </c>
      <c r="U1974">
        <f>C1974/Navio!$J$4</f>
        <v>20.735973374484399</v>
      </c>
    </row>
    <row r="1975" spans="1:21" x14ac:dyDescent="0.3">
      <c r="A1975">
        <v>1973</v>
      </c>
      <c r="B1975" s="47">
        <v>765.79233898892448</v>
      </c>
      <c r="C1975" s="46">
        <v>384.40570965775066</v>
      </c>
      <c r="D1975" s="1">
        <v>63</v>
      </c>
      <c r="E1975" s="1">
        <v>70</v>
      </c>
      <c r="F1975" s="1">
        <v>71</v>
      </c>
      <c r="G1975" s="1">
        <v>60</v>
      </c>
      <c r="H1975" s="1" t="s">
        <v>50</v>
      </c>
      <c r="I1975" s="1" t="s">
        <v>50</v>
      </c>
      <c r="J1975" s="1" t="s">
        <v>50</v>
      </c>
      <c r="K1975" s="1" t="s">
        <v>50</v>
      </c>
      <c r="L1975">
        <f t="shared" si="195"/>
        <v>473.00623656700782</v>
      </c>
      <c r="M1975">
        <f t="shared" si="194"/>
        <v>473.00623656700782</v>
      </c>
      <c r="N1975">
        <f t="shared" si="196"/>
        <v>473.00623656700782</v>
      </c>
      <c r="O1975">
        <f t="shared" si="197"/>
        <v>56.282984138412765</v>
      </c>
      <c r="P1975" t="e">
        <f t="shared" si="198"/>
        <v>#N/A</v>
      </c>
      <c r="Q1975" t="e">
        <f t="shared" si="199"/>
        <v>#N/A</v>
      </c>
      <c r="U1975">
        <f>C1975/Navio!$J$4</f>
        <v>20.756265753671851</v>
      </c>
    </row>
    <row r="1976" spans="1:21" x14ac:dyDescent="0.3">
      <c r="A1976">
        <v>1974</v>
      </c>
      <c r="B1976" s="47">
        <v>842.2403561911234</v>
      </c>
      <c r="C1976" s="46">
        <v>373.6417546541893</v>
      </c>
      <c r="D1976" s="1">
        <v>64</v>
      </c>
      <c r="E1976" s="1">
        <v>65</v>
      </c>
      <c r="F1976" s="1">
        <v>66</v>
      </c>
      <c r="G1976" s="1">
        <v>60</v>
      </c>
      <c r="H1976" s="1" t="s">
        <v>50</v>
      </c>
      <c r="I1976" s="1" t="s">
        <v>50</v>
      </c>
      <c r="J1976" s="1" t="s">
        <v>50</v>
      </c>
      <c r="K1976" s="1" t="s">
        <v>50</v>
      </c>
      <c r="L1976">
        <f t="shared" si="195"/>
        <v>473.00623656700782</v>
      </c>
      <c r="M1976">
        <f t="shared" si="194"/>
        <v>473.00623656700782</v>
      </c>
      <c r="N1976">
        <f t="shared" si="196"/>
        <v>312.95113548570282</v>
      </c>
      <c r="O1976">
        <f t="shared" si="197"/>
        <v>56.282984138412765</v>
      </c>
      <c r="P1976" t="e">
        <f t="shared" si="198"/>
        <v>#N/A</v>
      </c>
      <c r="Q1976" t="e">
        <f t="shared" si="199"/>
        <v>#N/A</v>
      </c>
      <c r="U1976">
        <f>C1976/Navio!$J$4</f>
        <v>20.175058177922253</v>
      </c>
    </row>
    <row r="1977" spans="1:21" x14ac:dyDescent="0.3">
      <c r="A1977">
        <v>1975</v>
      </c>
      <c r="B1977" s="47">
        <v>762.53845346246442</v>
      </c>
      <c r="C1977" s="46">
        <v>375.63334082770257</v>
      </c>
      <c r="D1977" s="1">
        <v>64</v>
      </c>
      <c r="E1977" s="1">
        <v>65</v>
      </c>
      <c r="F1977" s="1">
        <v>67</v>
      </c>
      <c r="G1977" s="1">
        <v>60</v>
      </c>
      <c r="H1977" s="1" t="s">
        <v>50</v>
      </c>
      <c r="I1977" s="1" t="s">
        <v>50</v>
      </c>
      <c r="J1977" s="1" t="s">
        <v>50</v>
      </c>
      <c r="K1977" s="1" t="s">
        <v>50</v>
      </c>
      <c r="L1977">
        <f t="shared" si="195"/>
        <v>473.00623656700782</v>
      </c>
      <c r="M1977">
        <f t="shared" si="194"/>
        <v>473.00623656700782</v>
      </c>
      <c r="N1977">
        <f t="shared" si="196"/>
        <v>233.24923275704379</v>
      </c>
      <c r="O1977">
        <f t="shared" si="197"/>
        <v>56.282984138412765</v>
      </c>
      <c r="P1977" t="e">
        <f t="shared" si="198"/>
        <v>#N/A</v>
      </c>
      <c r="Q1977" t="e">
        <f t="shared" si="199"/>
        <v>#N/A</v>
      </c>
      <c r="U1977">
        <f>C1977/Navio!$J$4</f>
        <v>20.282595321232595</v>
      </c>
    </row>
    <row r="1978" spans="1:21" x14ac:dyDescent="0.3">
      <c r="A1978">
        <v>1976</v>
      </c>
      <c r="B1978" s="47">
        <v>883.94250223398171</v>
      </c>
      <c r="C1978" s="46">
        <v>379.46431475621489</v>
      </c>
      <c r="D1978" s="1">
        <v>68</v>
      </c>
      <c r="E1978" s="1">
        <v>65</v>
      </c>
      <c r="F1978" s="1">
        <v>64</v>
      </c>
      <c r="G1978" s="1">
        <v>60</v>
      </c>
      <c r="H1978" s="1" t="s">
        <v>50</v>
      </c>
      <c r="I1978" s="1" t="s">
        <v>50</v>
      </c>
      <c r="J1978" s="1" t="s">
        <v>50</v>
      </c>
      <c r="K1978" s="1" t="s">
        <v>50</v>
      </c>
      <c r="L1978">
        <f t="shared" si="195"/>
        <v>354.65328152856114</v>
      </c>
      <c r="M1978">
        <f t="shared" si="194"/>
        <v>473.00623656700782</v>
      </c>
      <c r="N1978">
        <f t="shared" si="196"/>
        <v>473.00623656700782</v>
      </c>
      <c r="O1978">
        <f t="shared" si="197"/>
        <v>56.282984138412765</v>
      </c>
      <c r="P1978" t="e">
        <f t="shared" si="198"/>
        <v>#N/A</v>
      </c>
      <c r="Q1978" t="e">
        <f t="shared" si="199"/>
        <v>#N/A</v>
      </c>
      <c r="U1978">
        <f>C1978/Navio!$J$4</f>
        <v>20.48945154359825</v>
      </c>
    </row>
    <row r="1979" spans="1:21" x14ac:dyDescent="0.3">
      <c r="A1979">
        <v>1977</v>
      </c>
      <c r="B1979" s="47">
        <v>854.26590435796106</v>
      </c>
      <c r="C1979" s="46">
        <v>385.76908814201045</v>
      </c>
      <c r="D1979" s="1">
        <v>64</v>
      </c>
      <c r="E1979" s="1">
        <v>65</v>
      </c>
      <c r="F1979" s="1">
        <v>69</v>
      </c>
      <c r="G1979" s="1">
        <v>60</v>
      </c>
      <c r="H1979" s="1" t="s">
        <v>50</v>
      </c>
      <c r="I1979" s="1" t="s">
        <v>50</v>
      </c>
      <c r="J1979" s="1" t="s">
        <v>50</v>
      </c>
      <c r="K1979" s="1" t="s">
        <v>50</v>
      </c>
      <c r="L1979">
        <f t="shared" si="195"/>
        <v>473.00623656700782</v>
      </c>
      <c r="M1979">
        <f t="shared" si="194"/>
        <v>473.00623656700782</v>
      </c>
      <c r="N1979">
        <f t="shared" si="196"/>
        <v>324.97668365254049</v>
      </c>
      <c r="O1979">
        <f t="shared" si="197"/>
        <v>56.282984138412765</v>
      </c>
      <c r="P1979" t="e">
        <f t="shared" si="198"/>
        <v>#N/A</v>
      </c>
      <c r="Q1979" t="e">
        <f t="shared" si="199"/>
        <v>#N/A</v>
      </c>
      <c r="U1979">
        <f>C1979/Navio!$J$4</f>
        <v>20.829882366097639</v>
      </c>
    </row>
    <row r="1980" spans="1:21" x14ac:dyDescent="0.3">
      <c r="A1980">
        <v>1978</v>
      </c>
      <c r="B1980" s="47">
        <v>765.79233898892448</v>
      </c>
      <c r="C1980" s="46">
        <v>384.99191827732943</v>
      </c>
      <c r="D1980" s="1">
        <v>64</v>
      </c>
      <c r="E1980" s="1">
        <v>65</v>
      </c>
      <c r="F1980" s="1">
        <v>70</v>
      </c>
      <c r="G1980" s="1">
        <v>60</v>
      </c>
      <c r="H1980" s="1" t="s">
        <v>50</v>
      </c>
      <c r="I1980" s="1" t="s">
        <v>50</v>
      </c>
      <c r="J1980" s="1" t="s">
        <v>50</v>
      </c>
      <c r="K1980" s="1" t="s">
        <v>50</v>
      </c>
      <c r="L1980">
        <f t="shared" si="195"/>
        <v>473.00623656700782</v>
      </c>
      <c r="M1980">
        <f t="shared" si="194"/>
        <v>473.00623656700782</v>
      </c>
      <c r="N1980">
        <f t="shared" si="196"/>
        <v>473.00623656700782</v>
      </c>
      <c r="O1980">
        <f t="shared" si="197"/>
        <v>56.282984138412765</v>
      </c>
      <c r="P1980" t="e">
        <f t="shared" si="198"/>
        <v>#N/A</v>
      </c>
      <c r="Q1980" t="e">
        <f t="shared" si="199"/>
        <v>#N/A</v>
      </c>
      <c r="U1980">
        <f>C1980/Navio!$J$4</f>
        <v>20.787918514256244</v>
      </c>
    </row>
    <row r="1981" spans="1:21" x14ac:dyDescent="0.3">
      <c r="A1981">
        <v>1979</v>
      </c>
      <c r="B1981" s="47">
        <v>765.79233898892448</v>
      </c>
      <c r="C1981" s="46">
        <v>388.3951536199707</v>
      </c>
      <c r="D1981" s="1">
        <v>64</v>
      </c>
      <c r="E1981" s="1">
        <v>65</v>
      </c>
      <c r="F1981" s="1">
        <v>71</v>
      </c>
      <c r="G1981" s="1">
        <v>60</v>
      </c>
      <c r="H1981" s="1" t="s">
        <v>50</v>
      </c>
      <c r="I1981" s="1" t="s">
        <v>50</v>
      </c>
      <c r="J1981" s="1" t="s">
        <v>50</v>
      </c>
      <c r="K1981" s="1" t="s">
        <v>50</v>
      </c>
      <c r="L1981">
        <f t="shared" si="195"/>
        <v>473.00623656700782</v>
      </c>
      <c r="M1981">
        <f t="shared" si="194"/>
        <v>473.00623656700782</v>
      </c>
      <c r="N1981">
        <f t="shared" si="196"/>
        <v>473.00623656700782</v>
      </c>
      <c r="O1981">
        <f t="shared" si="197"/>
        <v>56.282984138412765</v>
      </c>
      <c r="P1981" t="e">
        <f t="shared" si="198"/>
        <v>#N/A</v>
      </c>
      <c r="Q1981" t="e">
        <f t="shared" si="199"/>
        <v>#N/A</v>
      </c>
      <c r="U1981">
        <f>C1981/Navio!$J$4</f>
        <v>20.971678680714341</v>
      </c>
    </row>
    <row r="1982" spans="1:21" x14ac:dyDescent="0.3">
      <c r="A1982">
        <v>1980</v>
      </c>
      <c r="B1982" s="47">
        <v>838.98647066466333</v>
      </c>
      <c r="C1982" s="46">
        <v>374.65045163785436</v>
      </c>
      <c r="D1982" s="1">
        <v>64</v>
      </c>
      <c r="E1982" s="1">
        <v>66</v>
      </c>
      <c r="F1982" s="1">
        <v>67</v>
      </c>
      <c r="G1982" s="1">
        <v>60</v>
      </c>
      <c r="H1982" s="1" t="s">
        <v>50</v>
      </c>
      <c r="I1982" s="1" t="s">
        <v>50</v>
      </c>
      <c r="J1982" s="1" t="s">
        <v>50</v>
      </c>
      <c r="K1982" s="1" t="s">
        <v>50</v>
      </c>
      <c r="L1982">
        <f t="shared" si="195"/>
        <v>473.00623656700782</v>
      </c>
      <c r="M1982">
        <f t="shared" si="194"/>
        <v>312.95113548570282</v>
      </c>
      <c r="N1982">
        <f t="shared" si="196"/>
        <v>233.24923275704379</v>
      </c>
      <c r="O1982">
        <f t="shared" si="197"/>
        <v>56.282984138412765</v>
      </c>
      <c r="P1982" t="e">
        <f t="shared" si="198"/>
        <v>#N/A</v>
      </c>
      <c r="Q1982" t="e">
        <f t="shared" si="199"/>
        <v>#N/A</v>
      </c>
      <c r="U1982">
        <f>C1982/Navio!$J$4</f>
        <v>20.229523504872052</v>
      </c>
    </row>
    <row r="1983" spans="1:21" x14ac:dyDescent="0.3">
      <c r="A1983">
        <v>1981</v>
      </c>
      <c r="B1983" s="47">
        <v>842.2403561911234</v>
      </c>
      <c r="C1983" s="46">
        <v>386.17296581002586</v>
      </c>
      <c r="D1983" s="1">
        <v>64</v>
      </c>
      <c r="E1983" s="1">
        <v>70</v>
      </c>
      <c r="F1983" s="1">
        <v>66</v>
      </c>
      <c r="G1983" s="1">
        <v>60</v>
      </c>
      <c r="H1983" s="1" t="s">
        <v>50</v>
      </c>
      <c r="I1983" s="1" t="s">
        <v>50</v>
      </c>
      <c r="J1983" s="1" t="s">
        <v>50</v>
      </c>
      <c r="K1983" s="1" t="s">
        <v>50</v>
      </c>
      <c r="L1983">
        <f t="shared" si="195"/>
        <v>473.00623656700782</v>
      </c>
      <c r="M1983">
        <f t="shared" si="194"/>
        <v>473.00623656700782</v>
      </c>
      <c r="N1983">
        <f t="shared" si="196"/>
        <v>312.95113548570282</v>
      </c>
      <c r="O1983">
        <f t="shared" si="197"/>
        <v>56.282984138412765</v>
      </c>
      <c r="P1983" t="e">
        <f t="shared" si="198"/>
        <v>#N/A</v>
      </c>
      <c r="Q1983" t="e">
        <f t="shared" si="199"/>
        <v>#N/A</v>
      </c>
      <c r="U1983">
        <f>C1983/Navio!$J$4</f>
        <v>20.851690034398832</v>
      </c>
    </row>
    <row r="1984" spans="1:21" x14ac:dyDescent="0.3">
      <c r="A1984">
        <v>1982</v>
      </c>
      <c r="B1984" s="47">
        <v>842.2403561911234</v>
      </c>
      <c r="C1984" s="46">
        <v>388.83643123528981</v>
      </c>
      <c r="D1984" s="1">
        <v>64</v>
      </c>
      <c r="E1984" s="1">
        <v>71</v>
      </c>
      <c r="F1984" s="1">
        <v>66</v>
      </c>
      <c r="G1984" s="1">
        <v>60</v>
      </c>
      <c r="H1984" s="1" t="s">
        <v>50</v>
      </c>
      <c r="I1984" s="1" t="s">
        <v>50</v>
      </c>
      <c r="J1984" s="1" t="s">
        <v>50</v>
      </c>
      <c r="K1984" s="1" t="s">
        <v>50</v>
      </c>
      <c r="L1984">
        <f t="shared" si="195"/>
        <v>473.00623656700782</v>
      </c>
      <c r="M1984">
        <f t="shared" si="194"/>
        <v>473.00623656700782</v>
      </c>
      <c r="N1984">
        <f t="shared" si="196"/>
        <v>312.95113548570282</v>
      </c>
      <c r="O1984">
        <f t="shared" si="197"/>
        <v>56.282984138412765</v>
      </c>
      <c r="P1984" t="e">
        <f t="shared" si="198"/>
        <v>#N/A</v>
      </c>
      <c r="Q1984" t="e">
        <f t="shared" si="199"/>
        <v>#N/A</v>
      </c>
      <c r="U1984">
        <f>C1984/Navio!$J$4</f>
        <v>20.99550578635974</v>
      </c>
    </row>
    <row r="1985" spans="1:21" x14ac:dyDescent="0.3">
      <c r="A1985">
        <v>1983</v>
      </c>
      <c r="B1985" s="47">
        <v>880.68861670752165</v>
      </c>
      <c r="C1985" s="46">
        <v>390.12483947128442</v>
      </c>
      <c r="D1985" s="1">
        <v>64</v>
      </c>
      <c r="E1985" s="1">
        <v>68</v>
      </c>
      <c r="F1985" s="1">
        <v>67</v>
      </c>
      <c r="G1985" s="1">
        <v>60</v>
      </c>
      <c r="H1985" s="1" t="s">
        <v>50</v>
      </c>
      <c r="I1985" s="1" t="s">
        <v>50</v>
      </c>
      <c r="J1985" s="1" t="s">
        <v>50</v>
      </c>
      <c r="K1985" s="1" t="s">
        <v>50</v>
      </c>
      <c r="L1985">
        <f t="shared" si="195"/>
        <v>473.00623656700782</v>
      </c>
      <c r="M1985">
        <f t="shared" si="194"/>
        <v>354.65328152856114</v>
      </c>
      <c r="N1985">
        <f t="shared" si="196"/>
        <v>233.24923275704379</v>
      </c>
      <c r="O1985">
        <f t="shared" si="197"/>
        <v>56.282984138412765</v>
      </c>
      <c r="P1985" t="e">
        <f t="shared" si="198"/>
        <v>#N/A</v>
      </c>
      <c r="Q1985" t="e">
        <f t="shared" si="199"/>
        <v>#N/A</v>
      </c>
      <c r="U1985">
        <f>C1985/Navio!$J$4</f>
        <v>21.065074325727515</v>
      </c>
    </row>
    <row r="1986" spans="1:21" x14ac:dyDescent="0.3">
      <c r="A1986">
        <v>1984</v>
      </c>
      <c r="B1986" s="47">
        <v>851.012018831501</v>
      </c>
      <c r="C1986" s="46">
        <v>386.18340188122454</v>
      </c>
      <c r="D1986" s="1">
        <v>64</v>
      </c>
      <c r="E1986" s="1">
        <v>69</v>
      </c>
      <c r="F1986" s="1">
        <v>67</v>
      </c>
      <c r="G1986" s="1">
        <v>60</v>
      </c>
      <c r="H1986" s="1" t="s">
        <v>50</v>
      </c>
      <c r="I1986" s="1" t="s">
        <v>50</v>
      </c>
      <c r="J1986" s="1" t="s">
        <v>50</v>
      </c>
      <c r="K1986" s="1" t="s">
        <v>50</v>
      </c>
      <c r="L1986">
        <f t="shared" si="195"/>
        <v>473.00623656700782</v>
      </c>
      <c r="M1986">
        <f t="shared" si="194"/>
        <v>324.97668365254049</v>
      </c>
      <c r="N1986">
        <f t="shared" si="196"/>
        <v>233.24923275704379</v>
      </c>
      <c r="O1986">
        <f t="shared" si="197"/>
        <v>56.282984138412765</v>
      </c>
      <c r="P1986" t="e">
        <f t="shared" si="198"/>
        <v>#N/A</v>
      </c>
      <c r="Q1986" t="e">
        <f t="shared" si="199"/>
        <v>#N/A</v>
      </c>
      <c r="U1986">
        <f>C1986/Navio!$J$4</f>
        <v>20.852253537650167</v>
      </c>
    </row>
    <row r="1987" spans="1:21" x14ac:dyDescent="0.3">
      <c r="A1987">
        <v>1985</v>
      </c>
      <c r="B1987" s="47">
        <v>762.53845346246442</v>
      </c>
      <c r="C1987" s="46">
        <v>387.22668099958253</v>
      </c>
      <c r="D1987" s="1">
        <v>64</v>
      </c>
      <c r="E1987" s="1">
        <v>70</v>
      </c>
      <c r="F1987" s="1">
        <v>67</v>
      </c>
      <c r="G1987" s="1">
        <v>60</v>
      </c>
      <c r="H1987" s="1" t="s">
        <v>50</v>
      </c>
      <c r="I1987" s="1" t="s">
        <v>50</v>
      </c>
      <c r="J1987" s="1" t="s">
        <v>50</v>
      </c>
      <c r="K1987" s="1" t="s">
        <v>50</v>
      </c>
      <c r="L1987">
        <f t="shared" si="195"/>
        <v>473.00623656700782</v>
      </c>
      <c r="M1987">
        <f t="shared" ref="M1987:M2050" si="200">VLOOKUP(E1987,$Y$2:$Z$80,2)</f>
        <v>473.00623656700782</v>
      </c>
      <c r="N1987">
        <f t="shared" si="196"/>
        <v>233.24923275704379</v>
      </c>
      <c r="O1987">
        <f t="shared" si="197"/>
        <v>56.282984138412765</v>
      </c>
      <c r="P1987" t="e">
        <f t="shared" si="198"/>
        <v>#N/A</v>
      </c>
      <c r="Q1987" t="e">
        <f t="shared" si="199"/>
        <v>#N/A</v>
      </c>
      <c r="U1987">
        <f>C1987/Navio!$J$4</f>
        <v>20.908586152103723</v>
      </c>
    </row>
    <row r="1988" spans="1:21" x14ac:dyDescent="0.3">
      <c r="A1988">
        <v>1986</v>
      </c>
      <c r="B1988" s="47">
        <v>762.53845346246442</v>
      </c>
      <c r="C1988" s="46">
        <v>389.59260932090399</v>
      </c>
      <c r="D1988" s="1">
        <v>64</v>
      </c>
      <c r="E1988" s="1">
        <v>71</v>
      </c>
      <c r="F1988" s="1">
        <v>67</v>
      </c>
      <c r="G1988" s="1">
        <v>60</v>
      </c>
      <c r="H1988" s="1" t="s">
        <v>50</v>
      </c>
      <c r="I1988" s="1" t="s">
        <v>50</v>
      </c>
      <c r="J1988" s="1" t="s">
        <v>50</v>
      </c>
      <c r="K1988" s="1" t="s">
        <v>50</v>
      </c>
      <c r="L1988">
        <f t="shared" si="195"/>
        <v>473.00623656700782</v>
      </c>
      <c r="M1988">
        <f t="shared" si="200"/>
        <v>473.00623656700782</v>
      </c>
      <c r="N1988">
        <f t="shared" si="196"/>
        <v>233.24923275704379</v>
      </c>
      <c r="O1988">
        <f t="shared" si="197"/>
        <v>56.282984138412765</v>
      </c>
      <c r="P1988" t="e">
        <f t="shared" si="198"/>
        <v>#N/A</v>
      </c>
      <c r="Q1988" t="e">
        <f t="shared" si="199"/>
        <v>#N/A</v>
      </c>
      <c r="U1988">
        <f>C1988/Navio!$J$4</f>
        <v>21.036336171829522</v>
      </c>
    </row>
    <row r="1989" spans="1:21" x14ac:dyDescent="0.3">
      <c r="A1989">
        <v>1987</v>
      </c>
      <c r="B1989" s="47">
        <v>883.94250223398171</v>
      </c>
      <c r="C1989" s="46">
        <v>394.68582201704476</v>
      </c>
      <c r="D1989" s="1">
        <v>64</v>
      </c>
      <c r="E1989" s="1">
        <v>68</v>
      </c>
      <c r="F1989" s="1">
        <v>70</v>
      </c>
      <c r="G1989" s="1">
        <v>60</v>
      </c>
      <c r="H1989" s="1" t="s">
        <v>50</v>
      </c>
      <c r="I1989" s="1" t="s">
        <v>50</v>
      </c>
      <c r="J1989" s="1" t="s">
        <v>50</v>
      </c>
      <c r="K1989" s="1" t="s">
        <v>50</v>
      </c>
      <c r="L1989">
        <f t="shared" si="195"/>
        <v>473.00623656700782</v>
      </c>
      <c r="M1989">
        <f t="shared" si="200"/>
        <v>354.65328152856114</v>
      </c>
      <c r="N1989">
        <f t="shared" si="196"/>
        <v>473.00623656700782</v>
      </c>
      <c r="O1989">
        <f t="shared" si="197"/>
        <v>56.282984138412765</v>
      </c>
      <c r="P1989" t="e">
        <f t="shared" si="198"/>
        <v>#N/A</v>
      </c>
      <c r="Q1989" t="e">
        <f t="shared" si="199"/>
        <v>#N/A</v>
      </c>
      <c r="U1989">
        <f>C1989/Navio!$J$4</f>
        <v>21.311347894093469</v>
      </c>
    </row>
    <row r="1990" spans="1:21" x14ac:dyDescent="0.3">
      <c r="A1990">
        <v>1988</v>
      </c>
      <c r="B1990" s="47">
        <v>883.94250223398171</v>
      </c>
      <c r="C1990" s="46">
        <v>398.36059936967382</v>
      </c>
      <c r="D1990" s="1">
        <v>64</v>
      </c>
      <c r="E1990" s="1">
        <v>68</v>
      </c>
      <c r="F1990" s="1">
        <v>71</v>
      </c>
      <c r="G1990" s="1">
        <v>60</v>
      </c>
      <c r="H1990" s="1" t="s">
        <v>50</v>
      </c>
      <c r="I1990" s="1" t="s">
        <v>50</v>
      </c>
      <c r="J1990" s="1" t="s">
        <v>50</v>
      </c>
      <c r="K1990" s="1" t="s">
        <v>50</v>
      </c>
      <c r="L1990">
        <f t="shared" si="195"/>
        <v>473.00623656700782</v>
      </c>
      <c r="M1990">
        <f t="shared" si="200"/>
        <v>354.65328152856114</v>
      </c>
      <c r="N1990">
        <f t="shared" si="196"/>
        <v>473.00623656700782</v>
      </c>
      <c r="O1990">
        <f t="shared" si="197"/>
        <v>56.282984138412765</v>
      </c>
      <c r="P1990" t="e">
        <f t="shared" si="198"/>
        <v>#N/A</v>
      </c>
      <c r="Q1990" t="e">
        <f t="shared" si="199"/>
        <v>#N/A</v>
      </c>
      <c r="U1990">
        <f>C1990/Navio!$J$4</f>
        <v>21.509770168790308</v>
      </c>
    </row>
    <row r="1991" spans="1:21" x14ac:dyDescent="0.3">
      <c r="A1991">
        <v>1989</v>
      </c>
      <c r="B1991" s="47">
        <v>854.26590435796106</v>
      </c>
      <c r="C1991" s="46">
        <v>388.34971050838988</v>
      </c>
      <c r="D1991" s="1">
        <v>64</v>
      </c>
      <c r="E1991" s="1">
        <v>70</v>
      </c>
      <c r="F1991" s="1">
        <v>69</v>
      </c>
      <c r="G1991" s="1">
        <v>60</v>
      </c>
      <c r="H1991" s="1" t="s">
        <v>50</v>
      </c>
      <c r="I1991" s="1" t="s">
        <v>50</v>
      </c>
      <c r="J1991" s="1" t="s">
        <v>50</v>
      </c>
      <c r="K1991" s="1" t="s">
        <v>50</v>
      </c>
      <c r="L1991">
        <f t="shared" si="195"/>
        <v>473.00623656700782</v>
      </c>
      <c r="M1991">
        <f t="shared" si="200"/>
        <v>473.00623656700782</v>
      </c>
      <c r="N1991">
        <f t="shared" si="196"/>
        <v>324.97668365254049</v>
      </c>
      <c r="O1991">
        <f t="shared" si="197"/>
        <v>56.282984138412765</v>
      </c>
      <c r="P1991" t="e">
        <f t="shared" si="198"/>
        <v>#N/A</v>
      </c>
      <c r="Q1991" t="e">
        <f t="shared" si="199"/>
        <v>#N/A</v>
      </c>
      <c r="U1991">
        <f>C1991/Navio!$J$4</f>
        <v>20.969224946867659</v>
      </c>
    </row>
    <row r="1992" spans="1:21" x14ac:dyDescent="0.3">
      <c r="A1992">
        <v>1990</v>
      </c>
      <c r="B1992" s="47">
        <v>854.26590435796106</v>
      </c>
      <c r="C1992" s="46">
        <v>389.24283752027736</v>
      </c>
      <c r="D1992" s="1">
        <v>64</v>
      </c>
      <c r="E1992" s="1">
        <v>71</v>
      </c>
      <c r="F1992" s="1">
        <v>69</v>
      </c>
      <c r="G1992" s="1">
        <v>60</v>
      </c>
      <c r="H1992" s="1" t="s">
        <v>50</v>
      </c>
      <c r="I1992" s="1" t="s">
        <v>50</v>
      </c>
      <c r="J1992" s="1" t="s">
        <v>50</v>
      </c>
      <c r="K1992" s="1" t="s">
        <v>50</v>
      </c>
      <c r="L1992">
        <f t="shared" si="195"/>
        <v>473.00623656700782</v>
      </c>
      <c r="M1992">
        <f t="shared" si="200"/>
        <v>473.00623656700782</v>
      </c>
      <c r="N1992">
        <f t="shared" si="196"/>
        <v>324.97668365254049</v>
      </c>
      <c r="O1992">
        <f t="shared" si="197"/>
        <v>56.282984138412765</v>
      </c>
      <c r="P1992" t="e">
        <f t="shared" si="198"/>
        <v>#N/A</v>
      </c>
      <c r="Q1992" t="e">
        <f t="shared" si="199"/>
        <v>#N/A</v>
      </c>
      <c r="U1992">
        <f>C1992/Navio!$J$4</f>
        <v>21.017449989172633</v>
      </c>
    </row>
    <row r="1993" spans="1:21" x14ac:dyDescent="0.3">
      <c r="A1993">
        <v>1991</v>
      </c>
      <c r="B1993" s="47">
        <v>765.79233898892448</v>
      </c>
      <c r="C1993" s="46">
        <v>388.57470521899847</v>
      </c>
      <c r="D1993" s="1">
        <v>64</v>
      </c>
      <c r="E1993" s="1">
        <v>70</v>
      </c>
      <c r="F1993" s="1">
        <v>71</v>
      </c>
      <c r="G1993" s="1">
        <v>60</v>
      </c>
      <c r="H1993" s="1" t="s">
        <v>50</v>
      </c>
      <c r="I1993" s="1" t="s">
        <v>50</v>
      </c>
      <c r="J1993" s="1" t="s">
        <v>50</v>
      </c>
      <c r="K1993" s="1" t="s">
        <v>50</v>
      </c>
      <c r="L1993">
        <f t="shared" si="195"/>
        <v>473.00623656700782</v>
      </c>
      <c r="M1993">
        <f t="shared" si="200"/>
        <v>473.00623656700782</v>
      </c>
      <c r="N1993">
        <f t="shared" si="196"/>
        <v>473.00623656700782</v>
      </c>
      <c r="O1993">
        <f t="shared" si="197"/>
        <v>56.282984138412765</v>
      </c>
      <c r="P1993" t="e">
        <f t="shared" si="198"/>
        <v>#N/A</v>
      </c>
      <c r="Q1993" t="e">
        <f t="shared" si="199"/>
        <v>#N/A</v>
      </c>
      <c r="U1993">
        <f>C1993/Navio!$J$4</f>
        <v>20.981373699836805</v>
      </c>
    </row>
    <row r="1994" spans="1:21" x14ac:dyDescent="0.3">
      <c r="A1994">
        <v>1992</v>
      </c>
      <c r="B1994" s="47">
        <v>838.98647066466333</v>
      </c>
      <c r="C1994" s="46">
        <v>375.49096373686962</v>
      </c>
      <c r="D1994" s="1">
        <v>65</v>
      </c>
      <c r="E1994" s="1">
        <v>66</v>
      </c>
      <c r="F1994" s="1">
        <v>67</v>
      </c>
      <c r="G1994" s="1">
        <v>60</v>
      </c>
      <c r="H1994" s="1" t="s">
        <v>50</v>
      </c>
      <c r="I1994" s="1" t="s">
        <v>50</v>
      </c>
      <c r="J1994" s="1" t="s">
        <v>50</v>
      </c>
      <c r="K1994" s="1" t="s">
        <v>50</v>
      </c>
      <c r="L1994">
        <f t="shared" si="195"/>
        <v>473.00623656700782</v>
      </c>
      <c r="M1994">
        <f t="shared" si="200"/>
        <v>312.95113548570282</v>
      </c>
      <c r="N1994">
        <f t="shared" si="196"/>
        <v>233.24923275704379</v>
      </c>
      <c r="O1994">
        <f t="shared" si="197"/>
        <v>56.282984138412765</v>
      </c>
      <c r="P1994" t="e">
        <f t="shared" si="198"/>
        <v>#N/A</v>
      </c>
      <c r="Q1994" t="e">
        <f t="shared" si="199"/>
        <v>#N/A</v>
      </c>
      <c r="U1994">
        <f>C1994/Navio!$J$4</f>
        <v>20.27490756670576</v>
      </c>
    </row>
    <row r="1995" spans="1:21" x14ac:dyDescent="0.3">
      <c r="A1995">
        <v>1993</v>
      </c>
      <c r="B1995" s="47">
        <v>842.2403561911234</v>
      </c>
      <c r="C1995" s="46">
        <v>386.11053771467829</v>
      </c>
      <c r="D1995" s="1">
        <v>65</v>
      </c>
      <c r="E1995" s="1">
        <v>70</v>
      </c>
      <c r="F1995" s="1">
        <v>66</v>
      </c>
      <c r="G1995" s="1">
        <v>60</v>
      </c>
      <c r="H1995" s="1" t="s">
        <v>50</v>
      </c>
      <c r="I1995" s="1" t="s">
        <v>50</v>
      </c>
      <c r="J1995" s="1" t="s">
        <v>50</v>
      </c>
      <c r="K1995" s="1" t="s">
        <v>50</v>
      </c>
      <c r="L1995">
        <f t="shared" si="195"/>
        <v>473.00623656700782</v>
      </c>
      <c r="M1995">
        <f t="shared" si="200"/>
        <v>473.00623656700782</v>
      </c>
      <c r="N1995">
        <f t="shared" si="196"/>
        <v>312.95113548570282</v>
      </c>
      <c r="O1995">
        <f t="shared" si="197"/>
        <v>56.282984138412765</v>
      </c>
      <c r="P1995" t="e">
        <f t="shared" si="198"/>
        <v>#N/A</v>
      </c>
      <c r="Q1995" t="e">
        <f t="shared" si="199"/>
        <v>#N/A</v>
      </c>
      <c r="U1995">
        <f>C1995/Navio!$J$4</f>
        <v>20.848319184005682</v>
      </c>
    </row>
    <row r="1996" spans="1:21" x14ac:dyDescent="0.3">
      <c r="A1996">
        <v>1994</v>
      </c>
      <c r="B1996" s="47">
        <v>842.2403561911234</v>
      </c>
      <c r="C1996" s="46">
        <v>388.81824559429469</v>
      </c>
      <c r="D1996" s="1">
        <v>65</v>
      </c>
      <c r="E1996" s="1">
        <v>71</v>
      </c>
      <c r="F1996" s="1">
        <v>66</v>
      </c>
      <c r="G1996" s="1">
        <v>60</v>
      </c>
      <c r="H1996" s="1" t="s">
        <v>50</v>
      </c>
      <c r="I1996" s="1" t="s">
        <v>50</v>
      </c>
      <c r="J1996" s="1" t="s">
        <v>50</v>
      </c>
      <c r="K1996" s="1" t="s">
        <v>50</v>
      </c>
      <c r="L1996">
        <f t="shared" si="195"/>
        <v>473.00623656700782</v>
      </c>
      <c r="M1996">
        <f t="shared" si="200"/>
        <v>473.00623656700782</v>
      </c>
      <c r="N1996">
        <f t="shared" si="196"/>
        <v>312.95113548570282</v>
      </c>
      <c r="O1996">
        <f t="shared" si="197"/>
        <v>56.282984138412765</v>
      </c>
      <c r="P1996" t="e">
        <f t="shared" si="198"/>
        <v>#N/A</v>
      </c>
      <c r="Q1996" t="e">
        <f t="shared" si="199"/>
        <v>#N/A</v>
      </c>
      <c r="U1996">
        <f>C1996/Navio!$J$4</f>
        <v>20.994523839453354</v>
      </c>
    </row>
    <row r="1997" spans="1:21" x14ac:dyDescent="0.3">
      <c r="A1997">
        <v>1995</v>
      </c>
      <c r="B1997" s="47">
        <v>880.68861670752165</v>
      </c>
      <c r="C1997" s="46">
        <v>389.96540245117058</v>
      </c>
      <c r="D1997" s="1">
        <v>68</v>
      </c>
      <c r="E1997" s="1">
        <v>65</v>
      </c>
      <c r="F1997" s="1">
        <v>67</v>
      </c>
      <c r="G1997" s="1">
        <v>60</v>
      </c>
      <c r="H1997" s="1" t="s">
        <v>50</v>
      </c>
      <c r="I1997" s="1" t="s">
        <v>50</v>
      </c>
      <c r="J1997" s="1" t="s">
        <v>50</v>
      </c>
      <c r="K1997" s="1" t="s">
        <v>50</v>
      </c>
      <c r="L1997">
        <f t="shared" ref="L1997:L2060" si="201">VLOOKUP(D1997,$Y$2:$Z$80,2)</f>
        <v>354.65328152856114</v>
      </c>
      <c r="M1997">
        <f t="shared" si="200"/>
        <v>473.00623656700782</v>
      </c>
      <c r="N1997">
        <f t="shared" ref="N1997:N2060" si="202">VLOOKUP(F1997,$Y$2:$Z$80,2)</f>
        <v>233.24923275704379</v>
      </c>
      <c r="O1997">
        <f t="shared" ref="O1997:O2060" si="203">VLOOKUP(G1997,$Y$2:$Z$80,2)</f>
        <v>56.282984138412765</v>
      </c>
      <c r="P1997" t="e">
        <f t="shared" ref="P1997:P2060" si="204">VLOOKUP(H1997,$Y$2:$Z$80,2)</f>
        <v>#N/A</v>
      </c>
      <c r="Q1997" t="e">
        <f t="shared" ref="Q1997:Q2060" si="205">VLOOKUP(I1997,$Y$2:$Z$80,2)</f>
        <v>#N/A</v>
      </c>
      <c r="U1997">
        <f>C1997/Navio!$J$4</f>
        <v>21.05646540791669</v>
      </c>
    </row>
    <row r="1998" spans="1:21" x14ac:dyDescent="0.3">
      <c r="A1998">
        <v>1996</v>
      </c>
      <c r="B1998" s="47">
        <v>851.012018831501</v>
      </c>
      <c r="C1998" s="46">
        <v>386.32442874831889</v>
      </c>
      <c r="D1998" s="1">
        <v>65</v>
      </c>
      <c r="E1998" s="1">
        <v>69</v>
      </c>
      <c r="F1998" s="1">
        <v>67</v>
      </c>
      <c r="G1998" s="1">
        <v>60</v>
      </c>
      <c r="H1998" s="1" t="s">
        <v>50</v>
      </c>
      <c r="I1998" s="1" t="s">
        <v>50</v>
      </c>
      <c r="J1998" s="1" t="s">
        <v>50</v>
      </c>
      <c r="K1998" s="1" t="s">
        <v>50</v>
      </c>
      <c r="L1998">
        <f t="shared" si="201"/>
        <v>473.00623656700782</v>
      </c>
      <c r="M1998">
        <f t="shared" si="200"/>
        <v>324.97668365254049</v>
      </c>
      <c r="N1998">
        <f t="shared" si="202"/>
        <v>233.24923275704379</v>
      </c>
      <c r="O1998">
        <f t="shared" si="203"/>
        <v>56.282984138412765</v>
      </c>
      <c r="P1998" t="e">
        <f t="shared" si="204"/>
        <v>#N/A</v>
      </c>
      <c r="Q1998" t="e">
        <f t="shared" si="205"/>
        <v>#N/A</v>
      </c>
      <c r="U1998">
        <f>C1998/Navio!$J$4</f>
        <v>20.859868385864637</v>
      </c>
    </row>
    <row r="1999" spans="1:21" x14ac:dyDescent="0.3">
      <c r="A1999">
        <v>1997</v>
      </c>
      <c r="B1999" s="47">
        <v>762.53845346246442</v>
      </c>
      <c r="C1999" s="46">
        <v>387.16425290423501</v>
      </c>
      <c r="D1999" s="1">
        <v>65</v>
      </c>
      <c r="E1999" s="1">
        <v>70</v>
      </c>
      <c r="F1999" s="1">
        <v>67</v>
      </c>
      <c r="G1999" s="1">
        <v>60</v>
      </c>
      <c r="H1999" s="1" t="s">
        <v>50</v>
      </c>
      <c r="I1999" s="1" t="s">
        <v>50</v>
      </c>
      <c r="J1999" s="1" t="s">
        <v>50</v>
      </c>
      <c r="K1999" s="1" t="s">
        <v>50</v>
      </c>
      <c r="L1999">
        <f t="shared" si="201"/>
        <v>473.00623656700782</v>
      </c>
      <c r="M1999">
        <f t="shared" si="200"/>
        <v>473.00623656700782</v>
      </c>
      <c r="N1999">
        <f t="shared" si="202"/>
        <v>233.24923275704379</v>
      </c>
      <c r="O1999">
        <f t="shared" si="203"/>
        <v>56.282984138412765</v>
      </c>
      <c r="P1999" t="e">
        <f t="shared" si="204"/>
        <v>#N/A</v>
      </c>
      <c r="Q1999" t="e">
        <f t="shared" si="205"/>
        <v>#N/A</v>
      </c>
      <c r="U1999">
        <f>C1999/Navio!$J$4</f>
        <v>20.905215301710573</v>
      </c>
    </row>
    <row r="2000" spans="1:21" x14ac:dyDescent="0.3">
      <c r="A2000">
        <v>1998</v>
      </c>
      <c r="B2000" s="47">
        <v>762.53845346246442</v>
      </c>
      <c r="C2000" s="46">
        <v>389.57442367990882</v>
      </c>
      <c r="D2000" s="1">
        <v>65</v>
      </c>
      <c r="E2000" s="1">
        <v>71</v>
      </c>
      <c r="F2000" s="1">
        <v>67</v>
      </c>
      <c r="G2000" s="1">
        <v>60</v>
      </c>
      <c r="H2000" s="1" t="s">
        <v>50</v>
      </c>
      <c r="I2000" s="1" t="s">
        <v>50</v>
      </c>
      <c r="J2000" s="1" t="s">
        <v>50</v>
      </c>
      <c r="K2000" s="1" t="s">
        <v>50</v>
      </c>
      <c r="L2000">
        <f t="shared" si="201"/>
        <v>473.00623656700782</v>
      </c>
      <c r="M2000">
        <f t="shared" si="200"/>
        <v>473.00623656700782</v>
      </c>
      <c r="N2000">
        <f t="shared" si="202"/>
        <v>233.24923275704379</v>
      </c>
      <c r="O2000">
        <f t="shared" si="203"/>
        <v>56.282984138412765</v>
      </c>
      <c r="P2000" t="e">
        <f t="shared" si="204"/>
        <v>#N/A</v>
      </c>
      <c r="Q2000" t="e">
        <f t="shared" si="205"/>
        <v>#N/A</v>
      </c>
      <c r="U2000">
        <f>C2000/Navio!$J$4</f>
        <v>21.035354224923132</v>
      </c>
    </row>
    <row r="2001" spans="1:21" x14ac:dyDescent="0.3">
      <c r="A2001">
        <v>1999</v>
      </c>
      <c r="B2001" s="47">
        <v>883.94250223398171</v>
      </c>
      <c r="C2001" s="46">
        <v>395.43436557415941</v>
      </c>
      <c r="D2001" s="1">
        <v>65</v>
      </c>
      <c r="E2001" s="1">
        <v>68</v>
      </c>
      <c r="F2001" s="1">
        <v>70</v>
      </c>
      <c r="G2001" s="1">
        <v>60</v>
      </c>
      <c r="H2001" s="1" t="s">
        <v>50</v>
      </c>
      <c r="I2001" s="1" t="s">
        <v>50</v>
      </c>
      <c r="J2001" s="1" t="s">
        <v>50</v>
      </c>
      <c r="K2001" s="1" t="s">
        <v>50</v>
      </c>
      <c r="L2001">
        <f t="shared" si="201"/>
        <v>473.00623656700782</v>
      </c>
      <c r="M2001">
        <f t="shared" si="200"/>
        <v>354.65328152856114</v>
      </c>
      <c r="N2001">
        <f t="shared" si="202"/>
        <v>473.00623656700782</v>
      </c>
      <c r="O2001">
        <f t="shared" si="203"/>
        <v>56.282984138412765</v>
      </c>
      <c r="P2001" t="e">
        <f t="shared" si="204"/>
        <v>#N/A</v>
      </c>
      <c r="Q2001" t="e">
        <f t="shared" si="205"/>
        <v>#N/A</v>
      </c>
      <c r="U2001">
        <f>C2001/Navio!$J$4</f>
        <v>21.35176604764666</v>
      </c>
    </row>
    <row r="2002" spans="1:21" x14ac:dyDescent="0.3">
      <c r="A2002">
        <v>2000</v>
      </c>
      <c r="B2002" s="47">
        <v>883.94250223398171</v>
      </c>
      <c r="C2002" s="46">
        <v>399.10914292678842</v>
      </c>
      <c r="D2002" s="1">
        <v>65</v>
      </c>
      <c r="E2002" s="1">
        <v>68</v>
      </c>
      <c r="F2002" s="1">
        <v>71</v>
      </c>
      <c r="G2002" s="1">
        <v>60</v>
      </c>
      <c r="H2002" s="1" t="s">
        <v>50</v>
      </c>
      <c r="I2002" s="1" t="s">
        <v>50</v>
      </c>
      <c r="J2002" s="1" t="s">
        <v>50</v>
      </c>
      <c r="K2002" s="1" t="s">
        <v>50</v>
      </c>
      <c r="L2002">
        <f t="shared" si="201"/>
        <v>473.00623656700782</v>
      </c>
      <c r="M2002">
        <f t="shared" si="200"/>
        <v>354.65328152856114</v>
      </c>
      <c r="N2002">
        <f t="shared" si="202"/>
        <v>473.00623656700782</v>
      </c>
      <c r="O2002">
        <f t="shared" si="203"/>
        <v>56.282984138412765</v>
      </c>
      <c r="P2002" t="e">
        <f t="shared" si="204"/>
        <v>#N/A</v>
      </c>
      <c r="Q2002" t="e">
        <f t="shared" si="205"/>
        <v>#N/A</v>
      </c>
      <c r="U2002">
        <f>C2002/Navio!$J$4</f>
        <v>21.550188322343498</v>
      </c>
    </row>
    <row r="2003" spans="1:21" x14ac:dyDescent="0.3">
      <c r="A2003">
        <v>2001</v>
      </c>
      <c r="B2003" s="47">
        <v>854.26590435796106</v>
      </c>
      <c r="C2003" s="46">
        <v>388.28728241304236</v>
      </c>
      <c r="D2003" s="1">
        <v>65</v>
      </c>
      <c r="E2003" s="1">
        <v>70</v>
      </c>
      <c r="F2003" s="1">
        <v>69</v>
      </c>
      <c r="G2003" s="1">
        <v>60</v>
      </c>
      <c r="H2003" s="1" t="s">
        <v>50</v>
      </c>
      <c r="I2003" s="1" t="s">
        <v>50</v>
      </c>
      <c r="J2003" s="1" t="s">
        <v>50</v>
      </c>
      <c r="K2003" s="1" t="s">
        <v>50</v>
      </c>
      <c r="L2003">
        <f t="shared" si="201"/>
        <v>473.00623656700782</v>
      </c>
      <c r="M2003">
        <f t="shared" si="200"/>
        <v>473.00623656700782</v>
      </c>
      <c r="N2003">
        <f t="shared" si="202"/>
        <v>324.97668365254049</v>
      </c>
      <c r="O2003">
        <f t="shared" si="203"/>
        <v>56.282984138412765</v>
      </c>
      <c r="P2003" t="e">
        <f t="shared" si="204"/>
        <v>#N/A</v>
      </c>
      <c r="Q2003" t="e">
        <f t="shared" si="205"/>
        <v>#N/A</v>
      </c>
      <c r="U2003">
        <f>C2003/Navio!$J$4</f>
        <v>20.965854096474509</v>
      </c>
    </row>
    <row r="2004" spans="1:21" x14ac:dyDescent="0.3">
      <c r="A2004">
        <v>2002</v>
      </c>
      <c r="B2004" s="47">
        <v>854.26590435796106</v>
      </c>
      <c r="C2004" s="46">
        <v>389.22465187928231</v>
      </c>
      <c r="D2004" s="1">
        <v>65</v>
      </c>
      <c r="E2004" s="1">
        <v>71</v>
      </c>
      <c r="F2004" s="1">
        <v>69</v>
      </c>
      <c r="G2004" s="1">
        <v>60</v>
      </c>
      <c r="H2004" s="1" t="s">
        <v>50</v>
      </c>
      <c r="I2004" s="1" t="s">
        <v>50</v>
      </c>
      <c r="J2004" s="1" t="s">
        <v>50</v>
      </c>
      <c r="K2004" s="1" t="s">
        <v>50</v>
      </c>
      <c r="L2004">
        <f t="shared" si="201"/>
        <v>473.00623656700782</v>
      </c>
      <c r="M2004">
        <f t="shared" si="200"/>
        <v>473.00623656700782</v>
      </c>
      <c r="N2004">
        <f t="shared" si="202"/>
        <v>324.97668365254049</v>
      </c>
      <c r="O2004">
        <f t="shared" si="203"/>
        <v>56.282984138412765</v>
      </c>
      <c r="P2004" t="e">
        <f t="shared" si="204"/>
        <v>#N/A</v>
      </c>
      <c r="Q2004" t="e">
        <f t="shared" si="205"/>
        <v>#N/A</v>
      </c>
      <c r="U2004">
        <f>C2004/Navio!$J$4</f>
        <v>21.016468042266251</v>
      </c>
    </row>
    <row r="2005" spans="1:21" x14ac:dyDescent="0.3">
      <c r="A2005">
        <v>2003</v>
      </c>
      <c r="B2005" s="47">
        <v>765.79233898892448</v>
      </c>
      <c r="C2005" s="46">
        <v>388.51227712365096</v>
      </c>
      <c r="D2005" s="1">
        <v>65</v>
      </c>
      <c r="E2005" s="1">
        <v>70</v>
      </c>
      <c r="F2005" s="1">
        <v>71</v>
      </c>
      <c r="G2005" s="1">
        <v>60</v>
      </c>
      <c r="H2005" s="1" t="s">
        <v>50</v>
      </c>
      <c r="I2005" s="1" t="s">
        <v>50</v>
      </c>
      <c r="J2005" s="1" t="s">
        <v>50</v>
      </c>
      <c r="K2005" s="1" t="s">
        <v>50</v>
      </c>
      <c r="L2005">
        <f t="shared" si="201"/>
        <v>473.00623656700782</v>
      </c>
      <c r="M2005">
        <f t="shared" si="200"/>
        <v>473.00623656700782</v>
      </c>
      <c r="N2005">
        <f t="shared" si="202"/>
        <v>473.00623656700782</v>
      </c>
      <c r="O2005">
        <f t="shared" si="203"/>
        <v>56.282984138412765</v>
      </c>
      <c r="P2005" t="e">
        <f t="shared" si="204"/>
        <v>#N/A</v>
      </c>
      <c r="Q2005" t="e">
        <f t="shared" si="205"/>
        <v>#N/A</v>
      </c>
      <c r="U2005">
        <f>C2005/Navio!$J$4</f>
        <v>20.978002849443659</v>
      </c>
    </row>
    <row r="2006" spans="1:21" x14ac:dyDescent="0.3">
      <c r="A2006">
        <v>2004</v>
      </c>
      <c r="B2006" s="47">
        <v>838.98647066466333</v>
      </c>
      <c r="C2006" s="46">
        <v>382.99661985208627</v>
      </c>
      <c r="D2006" s="1">
        <v>67</v>
      </c>
      <c r="E2006" s="1">
        <v>66</v>
      </c>
      <c r="F2006" s="1">
        <v>70</v>
      </c>
      <c r="G2006" s="1">
        <v>60</v>
      </c>
      <c r="H2006" s="1" t="s">
        <v>50</v>
      </c>
      <c r="I2006" s="1" t="s">
        <v>50</v>
      </c>
      <c r="J2006" s="1" t="s">
        <v>50</v>
      </c>
      <c r="K2006" s="1" t="s">
        <v>50</v>
      </c>
      <c r="L2006">
        <f t="shared" si="201"/>
        <v>233.24923275704379</v>
      </c>
      <c r="M2006">
        <f t="shared" si="200"/>
        <v>312.95113548570282</v>
      </c>
      <c r="N2006">
        <f t="shared" si="202"/>
        <v>473.00623656700782</v>
      </c>
      <c r="O2006">
        <f t="shared" si="203"/>
        <v>56.282984138412765</v>
      </c>
      <c r="P2006" t="e">
        <f t="shared" si="204"/>
        <v>#N/A</v>
      </c>
      <c r="Q2006" t="e">
        <f t="shared" si="205"/>
        <v>#N/A</v>
      </c>
      <c r="U2006">
        <f>C2006/Navio!$J$4</f>
        <v>20.680180925214959</v>
      </c>
    </row>
    <row r="2007" spans="1:21" x14ac:dyDescent="0.3">
      <c r="A2007">
        <v>2005</v>
      </c>
      <c r="B2007" s="47">
        <v>838.98647066466333</v>
      </c>
      <c r="C2007" s="46">
        <v>383.49697029979461</v>
      </c>
      <c r="D2007" s="1">
        <v>67</v>
      </c>
      <c r="E2007" s="1">
        <v>71</v>
      </c>
      <c r="F2007" s="1">
        <v>66</v>
      </c>
      <c r="G2007" s="1">
        <v>60</v>
      </c>
      <c r="H2007" s="1" t="s">
        <v>50</v>
      </c>
      <c r="I2007" s="1" t="s">
        <v>50</v>
      </c>
      <c r="J2007" s="1" t="s">
        <v>50</v>
      </c>
      <c r="K2007" s="1" t="s">
        <v>50</v>
      </c>
      <c r="L2007">
        <f t="shared" si="201"/>
        <v>233.24923275704379</v>
      </c>
      <c r="M2007">
        <f t="shared" si="200"/>
        <v>473.00623656700782</v>
      </c>
      <c r="N2007">
        <f t="shared" si="202"/>
        <v>312.95113548570282</v>
      </c>
      <c r="O2007">
        <f t="shared" si="203"/>
        <v>56.282984138412765</v>
      </c>
      <c r="P2007" t="e">
        <f t="shared" si="204"/>
        <v>#N/A</v>
      </c>
      <c r="Q2007" t="e">
        <f t="shared" si="205"/>
        <v>#N/A</v>
      </c>
      <c r="U2007">
        <f>C2007/Navio!$J$4</f>
        <v>20.707197711390819</v>
      </c>
    </row>
    <row r="2008" spans="1:21" x14ac:dyDescent="0.3">
      <c r="A2008">
        <v>2006</v>
      </c>
      <c r="B2008" s="47">
        <v>842.2403561911234</v>
      </c>
      <c r="C2008" s="46">
        <v>384.42645906647999</v>
      </c>
      <c r="D2008" s="1">
        <v>66</v>
      </c>
      <c r="E2008" s="1">
        <v>71</v>
      </c>
      <c r="F2008" s="1">
        <v>70</v>
      </c>
      <c r="G2008" s="1">
        <v>60</v>
      </c>
      <c r="H2008" s="1" t="s">
        <v>50</v>
      </c>
      <c r="I2008" s="1" t="s">
        <v>50</v>
      </c>
      <c r="J2008" s="1" t="s">
        <v>50</v>
      </c>
      <c r="K2008" s="1" t="s">
        <v>50</v>
      </c>
      <c r="L2008">
        <f t="shared" si="201"/>
        <v>312.95113548570282</v>
      </c>
      <c r="M2008">
        <f t="shared" si="200"/>
        <v>473.00623656700782</v>
      </c>
      <c r="N2008">
        <f t="shared" si="202"/>
        <v>473.00623656700782</v>
      </c>
      <c r="O2008">
        <f t="shared" si="203"/>
        <v>56.282984138412765</v>
      </c>
      <c r="P2008" t="e">
        <f t="shared" si="204"/>
        <v>#N/A</v>
      </c>
      <c r="Q2008" t="e">
        <f t="shared" si="205"/>
        <v>#N/A</v>
      </c>
      <c r="U2008">
        <f>C2008/Navio!$J$4</f>
        <v>20.757386133080892</v>
      </c>
    </row>
    <row r="2009" spans="1:21" x14ac:dyDescent="0.3">
      <c r="A2009">
        <v>2007</v>
      </c>
      <c r="B2009" s="47">
        <v>880.68861670752165</v>
      </c>
      <c r="C2009" s="46">
        <v>395.51985041173191</v>
      </c>
      <c r="D2009" s="1">
        <v>68</v>
      </c>
      <c r="E2009" s="1">
        <v>70</v>
      </c>
      <c r="F2009" s="1">
        <v>67</v>
      </c>
      <c r="G2009" s="1">
        <v>60</v>
      </c>
      <c r="H2009" s="1" t="s">
        <v>50</v>
      </c>
      <c r="I2009" s="1" t="s">
        <v>50</v>
      </c>
      <c r="J2009" s="1" t="s">
        <v>50</v>
      </c>
      <c r="K2009" s="1" t="s">
        <v>50</v>
      </c>
      <c r="L2009">
        <f t="shared" si="201"/>
        <v>354.65328152856114</v>
      </c>
      <c r="M2009">
        <f t="shared" si="200"/>
        <v>473.00623656700782</v>
      </c>
      <c r="N2009">
        <f t="shared" si="202"/>
        <v>233.24923275704379</v>
      </c>
      <c r="O2009">
        <f t="shared" si="203"/>
        <v>56.282984138412765</v>
      </c>
      <c r="P2009" t="e">
        <f t="shared" si="204"/>
        <v>#N/A</v>
      </c>
      <c r="Q2009" t="e">
        <f t="shared" si="205"/>
        <v>#N/A</v>
      </c>
      <c r="U2009">
        <f>C2009/Navio!$J$4</f>
        <v>21.356381863598365</v>
      </c>
    </row>
    <row r="2010" spans="1:21" x14ac:dyDescent="0.3">
      <c r="A2010">
        <v>2008</v>
      </c>
      <c r="B2010" s="47">
        <v>880.68861670752165</v>
      </c>
      <c r="C2010" s="46">
        <v>398.20156319739357</v>
      </c>
      <c r="D2010" s="1">
        <v>68</v>
      </c>
      <c r="E2010" s="1">
        <v>71</v>
      </c>
      <c r="F2010" s="1">
        <v>67</v>
      </c>
      <c r="G2010" s="1">
        <v>60</v>
      </c>
      <c r="H2010" s="1" t="s">
        <v>50</v>
      </c>
      <c r="I2010" s="1" t="s">
        <v>50</v>
      </c>
      <c r="J2010" s="1" t="s">
        <v>50</v>
      </c>
      <c r="K2010" s="1" t="s">
        <v>50</v>
      </c>
      <c r="L2010">
        <f t="shared" si="201"/>
        <v>354.65328152856114</v>
      </c>
      <c r="M2010">
        <f t="shared" si="200"/>
        <v>473.00623656700782</v>
      </c>
      <c r="N2010">
        <f t="shared" si="202"/>
        <v>233.24923275704379</v>
      </c>
      <c r="O2010">
        <f t="shared" si="203"/>
        <v>56.282984138412765</v>
      </c>
      <c r="P2010" t="e">
        <f t="shared" si="204"/>
        <v>#N/A</v>
      </c>
      <c r="Q2010" t="e">
        <f t="shared" si="205"/>
        <v>#N/A</v>
      </c>
      <c r="U2010">
        <f>C2010/Navio!$J$4</f>
        <v>21.50118289504967</v>
      </c>
    </row>
    <row r="2011" spans="1:21" x14ac:dyDescent="0.3">
      <c r="A2011">
        <v>2009</v>
      </c>
      <c r="B2011" s="47">
        <v>851.012018831501</v>
      </c>
      <c r="C2011" s="46">
        <v>383.87949607407836</v>
      </c>
      <c r="D2011" s="1">
        <v>67</v>
      </c>
      <c r="E2011" s="1">
        <v>69</v>
      </c>
      <c r="F2011" s="1">
        <v>70</v>
      </c>
      <c r="G2011" s="1">
        <v>60</v>
      </c>
      <c r="H2011" s="1" t="s">
        <v>50</v>
      </c>
      <c r="I2011" s="1" t="s">
        <v>50</v>
      </c>
      <c r="J2011" s="1" t="s">
        <v>50</v>
      </c>
      <c r="K2011" s="1" t="s">
        <v>50</v>
      </c>
      <c r="L2011">
        <f t="shared" si="201"/>
        <v>233.24923275704379</v>
      </c>
      <c r="M2011">
        <f t="shared" si="200"/>
        <v>324.97668365254049</v>
      </c>
      <c r="N2011">
        <f t="shared" si="202"/>
        <v>473.00623656700782</v>
      </c>
      <c r="O2011">
        <f t="shared" si="203"/>
        <v>56.282984138412765</v>
      </c>
      <c r="P2011" t="e">
        <f t="shared" si="204"/>
        <v>#N/A</v>
      </c>
      <c r="Q2011" t="e">
        <f t="shared" si="205"/>
        <v>#N/A</v>
      </c>
      <c r="U2011">
        <f>C2011/Navio!$J$4</f>
        <v>20.727852468667269</v>
      </c>
    </row>
    <row r="2012" spans="1:21" x14ac:dyDescent="0.3">
      <c r="A2012">
        <v>2010</v>
      </c>
      <c r="B2012" s="47">
        <v>851.012018831501</v>
      </c>
      <c r="C2012" s="46">
        <v>383.27944713115249</v>
      </c>
      <c r="D2012" s="1">
        <v>67</v>
      </c>
      <c r="E2012" s="1">
        <v>69</v>
      </c>
      <c r="F2012" s="1">
        <v>71</v>
      </c>
      <c r="G2012" s="1">
        <v>60</v>
      </c>
      <c r="H2012" s="1" t="s">
        <v>50</v>
      </c>
      <c r="I2012" s="1" t="s">
        <v>50</v>
      </c>
      <c r="J2012" s="1" t="s">
        <v>50</v>
      </c>
      <c r="K2012" s="1" t="s">
        <v>50</v>
      </c>
      <c r="L2012">
        <f t="shared" si="201"/>
        <v>233.24923275704379</v>
      </c>
      <c r="M2012">
        <f t="shared" si="200"/>
        <v>324.97668365254049</v>
      </c>
      <c r="N2012">
        <f t="shared" si="202"/>
        <v>473.00623656700782</v>
      </c>
      <c r="O2012">
        <f t="shared" si="203"/>
        <v>56.282984138412765</v>
      </c>
      <c r="P2012" t="e">
        <f t="shared" si="204"/>
        <v>#N/A</v>
      </c>
      <c r="Q2012" t="e">
        <f t="shared" si="205"/>
        <v>#N/A</v>
      </c>
      <c r="U2012">
        <f>C2012/Navio!$J$4</f>
        <v>20.695452389761918</v>
      </c>
    </row>
    <row r="2013" spans="1:21" x14ac:dyDescent="0.3">
      <c r="A2013">
        <v>2011</v>
      </c>
      <c r="B2013" s="47">
        <v>762.53845346246442</v>
      </c>
      <c r="C2013" s="46">
        <v>384.72842023831674</v>
      </c>
      <c r="D2013" s="1">
        <v>67</v>
      </c>
      <c r="E2013" s="1">
        <v>71</v>
      </c>
      <c r="F2013" s="1">
        <v>70</v>
      </c>
      <c r="G2013" s="1">
        <v>60</v>
      </c>
      <c r="H2013" s="1" t="s">
        <v>50</v>
      </c>
      <c r="I2013" s="1" t="s">
        <v>50</v>
      </c>
      <c r="J2013" s="1" t="s">
        <v>50</v>
      </c>
      <c r="K2013" s="1" t="s">
        <v>50</v>
      </c>
      <c r="L2013">
        <f t="shared" si="201"/>
        <v>233.24923275704379</v>
      </c>
      <c r="M2013">
        <f t="shared" si="200"/>
        <v>473.00623656700782</v>
      </c>
      <c r="N2013">
        <f t="shared" si="202"/>
        <v>473.00623656700782</v>
      </c>
      <c r="O2013">
        <f t="shared" si="203"/>
        <v>56.282984138412765</v>
      </c>
      <c r="P2013" t="e">
        <f t="shared" si="204"/>
        <v>#N/A</v>
      </c>
      <c r="Q2013" t="e">
        <f t="shared" si="205"/>
        <v>#N/A</v>
      </c>
      <c r="U2013">
        <f>C2013/Navio!$J$4</f>
        <v>20.77369074607822</v>
      </c>
    </row>
    <row r="2014" spans="1:21" x14ac:dyDescent="0.3">
      <c r="A2014">
        <v>2012</v>
      </c>
      <c r="B2014" s="47">
        <v>883.94250223398171</v>
      </c>
      <c r="C2014" s="46">
        <v>396.86787463114791</v>
      </c>
      <c r="D2014" s="1">
        <v>68</v>
      </c>
      <c r="E2014" s="1">
        <v>70</v>
      </c>
      <c r="F2014" s="1">
        <v>71</v>
      </c>
      <c r="G2014" s="1">
        <v>60</v>
      </c>
      <c r="H2014" s="1" t="s">
        <v>50</v>
      </c>
      <c r="I2014" s="1" t="s">
        <v>50</v>
      </c>
      <c r="J2014" s="1" t="s">
        <v>50</v>
      </c>
      <c r="K2014" s="1" t="s">
        <v>50</v>
      </c>
      <c r="L2014">
        <f t="shared" si="201"/>
        <v>354.65328152856114</v>
      </c>
      <c r="M2014">
        <f t="shared" si="200"/>
        <v>473.00623656700782</v>
      </c>
      <c r="N2014">
        <f t="shared" si="202"/>
        <v>473.00623656700782</v>
      </c>
      <c r="O2014">
        <f t="shared" si="203"/>
        <v>56.282984138412765</v>
      </c>
      <c r="P2014" t="e">
        <f t="shared" si="204"/>
        <v>#N/A</v>
      </c>
      <c r="Q2014" t="e">
        <f t="shared" si="205"/>
        <v>#N/A</v>
      </c>
      <c r="U2014">
        <f>C2014/Navio!$J$4</f>
        <v>21.429169411331451</v>
      </c>
    </row>
    <row r="2015" spans="1:21" x14ac:dyDescent="0.3">
      <c r="A2015">
        <v>2013</v>
      </c>
      <c r="B2015" s="47">
        <v>854.26590435796106</v>
      </c>
      <c r="C2015" s="46">
        <v>385.01089456102761</v>
      </c>
      <c r="D2015" s="1">
        <v>69</v>
      </c>
      <c r="E2015" s="1">
        <v>71</v>
      </c>
      <c r="F2015" s="1">
        <v>70</v>
      </c>
      <c r="G2015" s="1">
        <v>60</v>
      </c>
      <c r="H2015" s="1" t="s">
        <v>50</v>
      </c>
      <c r="I2015" s="1" t="s">
        <v>50</v>
      </c>
      <c r="J2015" s="1" t="s">
        <v>50</v>
      </c>
      <c r="K2015" s="1" t="s">
        <v>50</v>
      </c>
      <c r="L2015">
        <f t="shared" si="201"/>
        <v>324.97668365254049</v>
      </c>
      <c r="M2015">
        <f t="shared" si="200"/>
        <v>473.00623656700782</v>
      </c>
      <c r="N2015">
        <f t="shared" si="202"/>
        <v>473.00623656700782</v>
      </c>
      <c r="O2015">
        <f t="shared" si="203"/>
        <v>56.282984138412765</v>
      </c>
      <c r="P2015" t="e">
        <f t="shared" si="204"/>
        <v>#N/A</v>
      </c>
      <c r="Q2015" t="e">
        <f t="shared" si="205"/>
        <v>#N/A</v>
      </c>
      <c r="U2015">
        <f>C2015/Navio!$J$4</f>
        <v>20.788943152490173</v>
      </c>
    </row>
    <row r="2016" spans="1:21" x14ac:dyDescent="0.3">
      <c r="A2016">
        <v>2014</v>
      </c>
      <c r="B2016" s="47">
        <v>57.655995139091623</v>
      </c>
      <c r="C2016" s="46">
        <v>402.47494542449118</v>
      </c>
      <c r="D2016" s="1">
        <v>72</v>
      </c>
      <c r="E2016" s="1" t="s">
        <v>50</v>
      </c>
      <c r="F2016" s="1" t="s">
        <v>50</v>
      </c>
      <c r="G2016" s="1" t="s">
        <v>50</v>
      </c>
      <c r="H2016" s="1" t="s">
        <v>50</v>
      </c>
      <c r="I2016" s="1" t="s">
        <v>50</v>
      </c>
      <c r="J2016" s="1" t="s">
        <v>50</v>
      </c>
      <c r="K2016" s="1" t="s">
        <v>50</v>
      </c>
      <c r="L2016">
        <f t="shared" si="201"/>
        <v>172.96798541727486</v>
      </c>
      <c r="M2016" t="e">
        <f t="shared" si="200"/>
        <v>#N/A</v>
      </c>
      <c r="N2016" t="e">
        <f t="shared" si="202"/>
        <v>#N/A</v>
      </c>
      <c r="O2016" t="e">
        <f t="shared" si="203"/>
        <v>#N/A</v>
      </c>
      <c r="P2016" t="e">
        <f t="shared" si="204"/>
        <v>#N/A</v>
      </c>
      <c r="Q2016" t="e">
        <f t="shared" si="205"/>
        <v>#N/A</v>
      </c>
      <c r="U2016">
        <f>C2016/Navio!$J$4</f>
        <v>21.731927275125678</v>
      </c>
    </row>
    <row r="2017" spans="1:21" x14ac:dyDescent="0.3">
      <c r="A2017">
        <v>2015</v>
      </c>
      <c r="B2017" s="47">
        <v>303.05135811492471</v>
      </c>
      <c r="C2017" s="46">
        <v>404.88832731514009</v>
      </c>
      <c r="D2017" s="1">
        <v>73</v>
      </c>
      <c r="E2017" s="1" t="s">
        <v>50</v>
      </c>
      <c r="F2017" s="1" t="s">
        <v>50</v>
      </c>
      <c r="G2017" s="1" t="s">
        <v>50</v>
      </c>
      <c r="H2017" s="1" t="s">
        <v>50</v>
      </c>
      <c r="I2017" s="1" t="s">
        <v>50</v>
      </c>
      <c r="J2017" s="1" t="s">
        <v>50</v>
      </c>
      <c r="K2017" s="1" t="s">
        <v>50</v>
      </c>
      <c r="L2017">
        <f t="shared" si="201"/>
        <v>303.05135811492471</v>
      </c>
      <c r="M2017" t="e">
        <f t="shared" si="200"/>
        <v>#N/A</v>
      </c>
      <c r="N2017" t="e">
        <f t="shared" si="202"/>
        <v>#N/A</v>
      </c>
      <c r="O2017" t="e">
        <f t="shared" si="203"/>
        <v>#N/A</v>
      </c>
      <c r="P2017" t="e">
        <f t="shared" si="204"/>
        <v>#N/A</v>
      </c>
      <c r="Q2017" t="e">
        <f t="shared" si="205"/>
        <v>#N/A</v>
      </c>
      <c r="U2017">
        <f>C2017/Navio!$J$4</f>
        <v>21.86223958482578</v>
      </c>
    </row>
    <row r="2018" spans="1:21" x14ac:dyDescent="0.3">
      <c r="A2018">
        <v>2016</v>
      </c>
      <c r="B2018" s="47">
        <v>128.33892814918858</v>
      </c>
      <c r="C2018" s="46">
        <v>413.98988457493203</v>
      </c>
      <c r="D2018" s="1">
        <v>74</v>
      </c>
      <c r="E2018" s="1" t="s">
        <v>50</v>
      </c>
      <c r="F2018" s="1" t="s">
        <v>50</v>
      </c>
      <c r="G2018" s="1" t="s">
        <v>50</v>
      </c>
      <c r="H2018" s="1" t="s">
        <v>50</v>
      </c>
      <c r="I2018" s="1" t="s">
        <v>50</v>
      </c>
      <c r="J2018" s="1" t="s">
        <v>50</v>
      </c>
      <c r="K2018" s="1" t="s">
        <v>50</v>
      </c>
      <c r="L2018">
        <f t="shared" si="201"/>
        <v>128.33892814918858</v>
      </c>
      <c r="M2018" t="e">
        <f t="shared" si="200"/>
        <v>#N/A</v>
      </c>
      <c r="N2018" t="e">
        <f t="shared" si="202"/>
        <v>#N/A</v>
      </c>
      <c r="O2018" t="e">
        <f t="shared" si="203"/>
        <v>#N/A</v>
      </c>
      <c r="P2018" t="e">
        <f t="shared" si="204"/>
        <v>#N/A</v>
      </c>
      <c r="Q2018" t="e">
        <f t="shared" si="205"/>
        <v>#N/A</v>
      </c>
      <c r="U2018">
        <f>C2018/Navio!$J$4</f>
        <v>22.353684785847115</v>
      </c>
    </row>
    <row r="2019" spans="1:21" x14ac:dyDescent="0.3">
      <c r="A2019">
        <v>2017</v>
      </c>
      <c r="B2019" s="47">
        <v>221.36043010799847</v>
      </c>
      <c r="C2019" s="46">
        <v>419.44729854279353</v>
      </c>
      <c r="D2019" s="1">
        <v>75</v>
      </c>
      <c r="E2019" s="1" t="s">
        <v>50</v>
      </c>
      <c r="F2019" s="1" t="s">
        <v>50</v>
      </c>
      <c r="G2019" s="1" t="s">
        <v>50</v>
      </c>
      <c r="H2019" s="1" t="s">
        <v>50</v>
      </c>
      <c r="I2019" s="1" t="s">
        <v>50</v>
      </c>
      <c r="J2019" s="1" t="s">
        <v>50</v>
      </c>
      <c r="K2019" s="1" t="s">
        <v>50</v>
      </c>
      <c r="L2019">
        <f t="shared" si="201"/>
        <v>221.36043010799847</v>
      </c>
      <c r="M2019" t="e">
        <f t="shared" si="200"/>
        <v>#N/A</v>
      </c>
      <c r="N2019" t="e">
        <f t="shared" si="202"/>
        <v>#N/A</v>
      </c>
      <c r="O2019" t="e">
        <f t="shared" si="203"/>
        <v>#N/A</v>
      </c>
      <c r="P2019" t="e">
        <f t="shared" si="204"/>
        <v>#N/A</v>
      </c>
      <c r="Q2019" t="e">
        <f t="shared" si="205"/>
        <v>#N/A</v>
      </c>
      <c r="U2019">
        <f>C2019/Navio!$J$4</f>
        <v>22.64836182054982</v>
      </c>
    </row>
    <row r="2020" spans="1:21" x14ac:dyDescent="0.3">
      <c r="A2020">
        <v>2018</v>
      </c>
      <c r="B2020" s="47">
        <v>236.50311828350391</v>
      </c>
      <c r="C2020" s="46">
        <v>425.26892039455379</v>
      </c>
      <c r="D2020" s="1">
        <v>76</v>
      </c>
      <c r="E2020" s="1" t="s">
        <v>50</v>
      </c>
      <c r="F2020" s="1" t="s">
        <v>50</v>
      </c>
      <c r="G2020" s="1" t="s">
        <v>50</v>
      </c>
      <c r="H2020" s="1" t="s">
        <v>50</v>
      </c>
      <c r="I2020" s="1" t="s">
        <v>50</v>
      </c>
      <c r="J2020" s="1" t="s">
        <v>50</v>
      </c>
      <c r="K2020" s="1" t="s">
        <v>50</v>
      </c>
      <c r="L2020">
        <f t="shared" si="201"/>
        <v>473.00623656700782</v>
      </c>
      <c r="M2020" t="e">
        <f t="shared" si="200"/>
        <v>#N/A</v>
      </c>
      <c r="N2020" t="e">
        <f t="shared" si="202"/>
        <v>#N/A</v>
      </c>
      <c r="O2020" t="e">
        <f t="shared" si="203"/>
        <v>#N/A</v>
      </c>
      <c r="P2020" t="e">
        <f t="shared" si="204"/>
        <v>#N/A</v>
      </c>
      <c r="Q2020" t="e">
        <f t="shared" si="205"/>
        <v>#N/A</v>
      </c>
      <c r="U2020">
        <f>C2020/Navio!$J$4</f>
        <v>22.962704524720635</v>
      </c>
    </row>
    <row r="2021" spans="1:21" x14ac:dyDescent="0.3">
      <c r="A2021">
        <v>2019</v>
      </c>
      <c r="B2021" s="47">
        <v>215.29992769227658</v>
      </c>
      <c r="C2021" s="46">
        <v>426.97743096071292</v>
      </c>
      <c r="D2021" s="1">
        <v>77</v>
      </c>
      <c r="E2021" s="1" t="s">
        <v>50</v>
      </c>
      <c r="F2021" s="1" t="s">
        <v>50</v>
      </c>
      <c r="G2021" s="1" t="s">
        <v>50</v>
      </c>
      <c r="H2021" s="1" t="s">
        <v>50</v>
      </c>
      <c r="I2021" s="1" t="s">
        <v>50</v>
      </c>
      <c r="J2021" s="1" t="s">
        <v>50</v>
      </c>
      <c r="K2021" s="1" t="s">
        <v>50</v>
      </c>
      <c r="L2021">
        <f t="shared" si="201"/>
        <v>215.29992769227658</v>
      </c>
      <c r="M2021" t="e">
        <f t="shared" si="200"/>
        <v>#N/A</v>
      </c>
      <c r="N2021" t="e">
        <f t="shared" si="202"/>
        <v>#N/A</v>
      </c>
      <c r="O2021" t="e">
        <f t="shared" si="203"/>
        <v>#N/A</v>
      </c>
      <c r="P2021" t="e">
        <f t="shared" si="204"/>
        <v>#N/A</v>
      </c>
      <c r="Q2021" t="e">
        <f t="shared" si="205"/>
        <v>#N/A</v>
      </c>
      <c r="U2021">
        <f>C2021/Navio!$J$4</f>
        <v>23.054956794817581</v>
      </c>
    </row>
    <row r="2022" spans="1:21" x14ac:dyDescent="0.3">
      <c r="A2022">
        <v>2020</v>
      </c>
      <c r="B2022" s="47">
        <v>236.50311828350391</v>
      </c>
      <c r="C2022" s="46">
        <v>431.5352761229309</v>
      </c>
      <c r="D2022" s="1">
        <v>78</v>
      </c>
      <c r="E2022" s="1" t="s">
        <v>50</v>
      </c>
      <c r="F2022" s="1" t="s">
        <v>50</v>
      </c>
      <c r="G2022" s="1" t="s">
        <v>50</v>
      </c>
      <c r="H2022" s="1" t="s">
        <v>50</v>
      </c>
      <c r="I2022" s="1" t="s">
        <v>50</v>
      </c>
      <c r="J2022" s="1" t="s">
        <v>50</v>
      </c>
      <c r="K2022" s="1" t="s">
        <v>50</v>
      </c>
      <c r="L2022">
        <f t="shared" si="201"/>
        <v>473.00623656700782</v>
      </c>
      <c r="M2022" t="e">
        <f t="shared" si="200"/>
        <v>#N/A</v>
      </c>
      <c r="N2022" t="e">
        <f t="shared" si="202"/>
        <v>#N/A</v>
      </c>
      <c r="O2022" t="e">
        <f t="shared" si="203"/>
        <v>#N/A</v>
      </c>
      <c r="P2022" t="e">
        <f t="shared" si="204"/>
        <v>#N/A</v>
      </c>
      <c r="Q2022" t="e">
        <f t="shared" si="205"/>
        <v>#N/A</v>
      </c>
      <c r="U2022">
        <f>C2022/Navio!$J$4</f>
        <v>23.301060957878306</v>
      </c>
    </row>
    <row r="2023" spans="1:21" x14ac:dyDescent="0.3">
      <c r="A2023">
        <v>2021</v>
      </c>
      <c r="B2023" s="47">
        <v>236.50311828350391</v>
      </c>
      <c r="C2023" s="46">
        <v>432.55005257367748</v>
      </c>
      <c r="D2023" s="1">
        <v>79</v>
      </c>
      <c r="E2023" s="1" t="s">
        <v>50</v>
      </c>
      <c r="F2023" s="1" t="s">
        <v>50</v>
      </c>
      <c r="G2023" s="1" t="s">
        <v>50</v>
      </c>
      <c r="H2023" s="1" t="s">
        <v>50</v>
      </c>
      <c r="I2023" s="1" t="s">
        <v>50</v>
      </c>
      <c r="J2023" s="1" t="s">
        <v>50</v>
      </c>
      <c r="K2023" s="1" t="s">
        <v>50</v>
      </c>
      <c r="L2023">
        <f t="shared" si="201"/>
        <v>473.00623656700782</v>
      </c>
      <c r="M2023" t="e">
        <f t="shared" si="200"/>
        <v>#N/A</v>
      </c>
      <c r="N2023" t="e">
        <f t="shared" si="202"/>
        <v>#N/A</v>
      </c>
      <c r="O2023" t="e">
        <f t="shared" si="203"/>
        <v>#N/A</v>
      </c>
      <c r="P2023" t="e">
        <f t="shared" si="204"/>
        <v>#N/A</v>
      </c>
      <c r="Q2023" t="e">
        <f t="shared" si="205"/>
        <v>#N/A</v>
      </c>
      <c r="U2023">
        <f>C2023/Navio!$J$4</f>
        <v>23.355854550072909</v>
      </c>
    </row>
    <row r="2024" spans="1:21" x14ac:dyDescent="0.3">
      <c r="A2024">
        <v>2022</v>
      </c>
      <c r="B2024" s="47">
        <v>360.70735325401631</v>
      </c>
      <c r="C2024" s="46">
        <v>405.48680068788349</v>
      </c>
      <c r="D2024" s="1">
        <v>72</v>
      </c>
      <c r="E2024" s="1">
        <v>73</v>
      </c>
      <c r="F2024" s="1" t="s">
        <v>50</v>
      </c>
      <c r="G2024" s="1" t="s">
        <v>50</v>
      </c>
      <c r="H2024" s="1" t="s">
        <v>50</v>
      </c>
      <c r="I2024" s="1" t="s">
        <v>50</v>
      </c>
      <c r="J2024" s="1" t="s">
        <v>50</v>
      </c>
      <c r="K2024" s="1" t="s">
        <v>50</v>
      </c>
      <c r="L2024">
        <f t="shared" si="201"/>
        <v>172.96798541727486</v>
      </c>
      <c r="M2024">
        <f t="shared" si="200"/>
        <v>303.05135811492471</v>
      </c>
      <c r="N2024" t="e">
        <f t="shared" si="202"/>
        <v>#N/A</v>
      </c>
      <c r="O2024" t="e">
        <f t="shared" si="203"/>
        <v>#N/A</v>
      </c>
      <c r="P2024" t="e">
        <f t="shared" si="204"/>
        <v>#N/A</v>
      </c>
      <c r="Q2024" t="e">
        <f t="shared" si="205"/>
        <v>#N/A</v>
      </c>
      <c r="U2024">
        <f>C2024/Navio!$J$4</f>
        <v>21.894554589673699</v>
      </c>
    </row>
    <row r="2025" spans="1:21" x14ac:dyDescent="0.3">
      <c r="A2025">
        <v>2023</v>
      </c>
      <c r="B2025" s="47">
        <v>185.99492328828021</v>
      </c>
      <c r="C2025" s="46">
        <v>422.79734451328477</v>
      </c>
      <c r="D2025" s="1">
        <v>72</v>
      </c>
      <c r="E2025" s="1">
        <v>74</v>
      </c>
      <c r="F2025" s="1" t="s">
        <v>50</v>
      </c>
      <c r="G2025" s="1" t="s">
        <v>50</v>
      </c>
      <c r="H2025" s="1" t="s">
        <v>50</v>
      </c>
      <c r="I2025" s="1" t="s">
        <v>50</v>
      </c>
      <c r="J2025" s="1" t="s">
        <v>50</v>
      </c>
      <c r="K2025" s="1" t="s">
        <v>50</v>
      </c>
      <c r="L2025">
        <f t="shared" si="201"/>
        <v>172.96798541727486</v>
      </c>
      <c r="M2025">
        <f t="shared" si="200"/>
        <v>128.33892814918858</v>
      </c>
      <c r="N2025" t="e">
        <f t="shared" si="202"/>
        <v>#N/A</v>
      </c>
      <c r="O2025" t="e">
        <f t="shared" si="203"/>
        <v>#N/A</v>
      </c>
      <c r="P2025" t="e">
        <f t="shared" si="204"/>
        <v>#N/A</v>
      </c>
      <c r="Q2025" t="e">
        <f t="shared" si="205"/>
        <v>#N/A</v>
      </c>
      <c r="U2025">
        <f>C2025/Navio!$J$4</f>
        <v>22.829249988190313</v>
      </c>
    </row>
    <row r="2026" spans="1:21" x14ac:dyDescent="0.3">
      <c r="A2026">
        <v>2024</v>
      </c>
      <c r="B2026" s="47">
        <v>279.01642524709007</v>
      </c>
      <c r="C2026" s="46">
        <v>425.89243617044303</v>
      </c>
      <c r="D2026" s="1">
        <v>72</v>
      </c>
      <c r="E2026" s="1">
        <v>75</v>
      </c>
      <c r="F2026" s="1" t="s">
        <v>50</v>
      </c>
      <c r="G2026" s="1" t="s">
        <v>50</v>
      </c>
      <c r="H2026" s="1" t="s">
        <v>50</v>
      </c>
      <c r="I2026" s="1" t="s">
        <v>50</v>
      </c>
      <c r="J2026" s="1" t="s">
        <v>50</v>
      </c>
      <c r="K2026" s="1" t="s">
        <v>50</v>
      </c>
      <c r="L2026">
        <f t="shared" si="201"/>
        <v>172.96798541727486</v>
      </c>
      <c r="M2026">
        <f t="shared" si="200"/>
        <v>221.36043010799847</v>
      </c>
      <c r="N2026" t="e">
        <f t="shared" si="202"/>
        <v>#N/A</v>
      </c>
      <c r="O2026" t="e">
        <f t="shared" si="203"/>
        <v>#N/A</v>
      </c>
      <c r="P2026" t="e">
        <f t="shared" si="204"/>
        <v>#N/A</v>
      </c>
      <c r="Q2026" t="e">
        <f t="shared" si="205"/>
        <v>#N/A</v>
      </c>
      <c r="U2026">
        <f>C2026/Navio!$J$4</f>
        <v>22.996371712332095</v>
      </c>
    </row>
    <row r="2027" spans="1:21" x14ac:dyDescent="0.3">
      <c r="A2027">
        <v>2025</v>
      </c>
      <c r="B2027" s="47">
        <v>294.15911342259551</v>
      </c>
      <c r="C2027" s="46">
        <v>431.38810081590384</v>
      </c>
      <c r="D2027" s="1">
        <v>72</v>
      </c>
      <c r="E2027" s="1">
        <v>76</v>
      </c>
      <c r="F2027" s="1" t="s">
        <v>50</v>
      </c>
      <c r="G2027" s="1" t="s">
        <v>50</v>
      </c>
      <c r="H2027" s="1" t="s">
        <v>50</v>
      </c>
      <c r="I2027" s="1" t="s">
        <v>50</v>
      </c>
      <c r="J2027" s="1" t="s">
        <v>50</v>
      </c>
      <c r="K2027" s="1" t="s">
        <v>50</v>
      </c>
      <c r="L2027">
        <f t="shared" si="201"/>
        <v>172.96798541727486</v>
      </c>
      <c r="M2027">
        <f t="shared" si="200"/>
        <v>473.00623656700782</v>
      </c>
      <c r="N2027" t="e">
        <f t="shared" si="202"/>
        <v>#N/A</v>
      </c>
      <c r="O2027" t="e">
        <f t="shared" si="203"/>
        <v>#N/A</v>
      </c>
      <c r="P2027" t="e">
        <f t="shared" si="204"/>
        <v>#N/A</v>
      </c>
      <c r="Q2027" t="e">
        <f t="shared" si="205"/>
        <v>#N/A</v>
      </c>
      <c r="U2027">
        <f>C2027/Navio!$J$4</f>
        <v>23.293114120179791</v>
      </c>
    </row>
    <row r="2028" spans="1:21" x14ac:dyDescent="0.3">
      <c r="A2028">
        <v>2026</v>
      </c>
      <c r="B2028" s="47">
        <v>272.95592283136818</v>
      </c>
      <c r="C2028" s="46">
        <v>428.84860561420794</v>
      </c>
      <c r="D2028" s="1">
        <v>72</v>
      </c>
      <c r="E2028" s="1">
        <v>77</v>
      </c>
      <c r="F2028" s="1" t="s">
        <v>50</v>
      </c>
      <c r="G2028" s="1" t="s">
        <v>50</v>
      </c>
      <c r="H2028" s="1" t="s">
        <v>50</v>
      </c>
      <c r="I2028" s="1" t="s">
        <v>50</v>
      </c>
      <c r="J2028" s="1" t="s">
        <v>50</v>
      </c>
      <c r="K2028" s="1" t="s">
        <v>50</v>
      </c>
      <c r="L2028">
        <f t="shared" si="201"/>
        <v>172.96798541727486</v>
      </c>
      <c r="M2028">
        <f t="shared" si="200"/>
        <v>215.29992769227658</v>
      </c>
      <c r="N2028" t="e">
        <f t="shared" si="202"/>
        <v>#N/A</v>
      </c>
      <c r="O2028" t="e">
        <f t="shared" si="203"/>
        <v>#N/A</v>
      </c>
      <c r="P2028" t="e">
        <f t="shared" si="204"/>
        <v>#N/A</v>
      </c>
      <c r="Q2028" t="e">
        <f t="shared" si="205"/>
        <v>#N/A</v>
      </c>
      <c r="U2028">
        <f>C2028/Navio!$J$4</f>
        <v>23.155992230566071</v>
      </c>
    </row>
    <row r="2029" spans="1:21" x14ac:dyDescent="0.3">
      <c r="A2029">
        <v>2027</v>
      </c>
      <c r="B2029" s="47">
        <v>294.15911342259551</v>
      </c>
      <c r="C2029" s="46">
        <v>443.1191769235175</v>
      </c>
      <c r="D2029" s="1">
        <v>72</v>
      </c>
      <c r="E2029" s="1">
        <v>78</v>
      </c>
      <c r="F2029" s="1" t="s">
        <v>50</v>
      </c>
      <c r="G2029" s="1" t="s">
        <v>50</v>
      </c>
      <c r="H2029" s="1" t="s">
        <v>50</v>
      </c>
      <c r="I2029" s="1" t="s">
        <v>50</v>
      </c>
      <c r="J2029" s="1" t="s">
        <v>50</v>
      </c>
      <c r="K2029" s="1" t="s">
        <v>50</v>
      </c>
      <c r="L2029">
        <f t="shared" si="201"/>
        <v>172.96798541727486</v>
      </c>
      <c r="M2029">
        <f t="shared" si="200"/>
        <v>473.00623656700782</v>
      </c>
      <c r="N2029" t="e">
        <f t="shared" si="202"/>
        <v>#N/A</v>
      </c>
      <c r="O2029" t="e">
        <f t="shared" si="203"/>
        <v>#N/A</v>
      </c>
      <c r="P2029" t="e">
        <f t="shared" si="204"/>
        <v>#N/A</v>
      </c>
      <c r="Q2029" t="e">
        <f t="shared" si="205"/>
        <v>#N/A</v>
      </c>
      <c r="U2029">
        <f>C2029/Navio!$J$4</f>
        <v>23.926542103034077</v>
      </c>
    </row>
    <row r="2030" spans="1:21" x14ac:dyDescent="0.3">
      <c r="A2030">
        <v>2028</v>
      </c>
      <c r="B2030" s="47">
        <v>294.15911342259551</v>
      </c>
      <c r="C2030" s="46">
        <v>440.08502070419922</v>
      </c>
      <c r="D2030" s="1">
        <v>72</v>
      </c>
      <c r="E2030" s="1">
        <v>79</v>
      </c>
      <c r="F2030" s="1" t="s">
        <v>50</v>
      </c>
      <c r="G2030" s="1" t="s">
        <v>50</v>
      </c>
      <c r="H2030" s="1" t="s">
        <v>50</v>
      </c>
      <c r="I2030" s="1" t="s">
        <v>50</v>
      </c>
      <c r="J2030" s="1" t="s">
        <v>50</v>
      </c>
      <c r="K2030" s="1" t="s">
        <v>50</v>
      </c>
      <c r="L2030">
        <f t="shared" si="201"/>
        <v>172.96798541727486</v>
      </c>
      <c r="M2030">
        <f t="shared" si="200"/>
        <v>473.00623656700782</v>
      </c>
      <c r="N2030" t="e">
        <f t="shared" si="202"/>
        <v>#N/A</v>
      </c>
      <c r="O2030" t="e">
        <f t="shared" si="203"/>
        <v>#N/A</v>
      </c>
      <c r="P2030" t="e">
        <f t="shared" si="204"/>
        <v>#N/A</v>
      </c>
      <c r="Q2030" t="e">
        <f t="shared" si="205"/>
        <v>#N/A</v>
      </c>
      <c r="U2030">
        <f>C2030/Navio!$J$4</f>
        <v>23.762710632158171</v>
      </c>
    </row>
    <row r="2031" spans="1:21" x14ac:dyDescent="0.3">
      <c r="A2031">
        <v>2029</v>
      </c>
      <c r="B2031" s="47">
        <v>431.39028626411329</v>
      </c>
      <c r="C2031" s="46">
        <v>424.90341952169797</v>
      </c>
      <c r="D2031" s="1">
        <v>73</v>
      </c>
      <c r="E2031" s="1">
        <v>74</v>
      </c>
      <c r="F2031" s="1" t="s">
        <v>50</v>
      </c>
      <c r="G2031" s="1" t="s">
        <v>50</v>
      </c>
      <c r="H2031" s="1" t="s">
        <v>50</v>
      </c>
      <c r="I2031" s="1" t="s">
        <v>50</v>
      </c>
      <c r="J2031" s="1" t="s">
        <v>50</v>
      </c>
      <c r="K2031" s="1" t="s">
        <v>50</v>
      </c>
      <c r="L2031">
        <f t="shared" si="201"/>
        <v>303.05135811492471</v>
      </c>
      <c r="M2031">
        <f t="shared" si="200"/>
        <v>128.33892814918858</v>
      </c>
      <c r="N2031" t="e">
        <f t="shared" si="202"/>
        <v>#N/A</v>
      </c>
      <c r="O2031" t="e">
        <f t="shared" si="203"/>
        <v>#N/A</v>
      </c>
      <c r="P2031" t="e">
        <f t="shared" si="204"/>
        <v>#N/A</v>
      </c>
      <c r="Q2031" t="e">
        <f t="shared" si="205"/>
        <v>#N/A</v>
      </c>
      <c r="U2031">
        <f>C2031/Navio!$J$4</f>
        <v>22.942969039373789</v>
      </c>
    </row>
    <row r="2032" spans="1:21" x14ac:dyDescent="0.3">
      <c r="A2032">
        <v>2030</v>
      </c>
      <c r="B2032" s="47">
        <v>524.41178822292318</v>
      </c>
      <c r="C2032" s="46">
        <v>427.67464789061239</v>
      </c>
      <c r="D2032" s="1">
        <v>73</v>
      </c>
      <c r="E2032" s="1">
        <v>75</v>
      </c>
      <c r="F2032" s="1" t="s">
        <v>50</v>
      </c>
      <c r="G2032" s="1" t="s">
        <v>50</v>
      </c>
      <c r="H2032" s="1" t="s">
        <v>50</v>
      </c>
      <c r="I2032" s="1" t="s">
        <v>50</v>
      </c>
      <c r="J2032" s="1" t="s">
        <v>50</v>
      </c>
      <c r="K2032" s="1" t="s">
        <v>50</v>
      </c>
      <c r="L2032">
        <f t="shared" si="201"/>
        <v>303.05135811492471</v>
      </c>
      <c r="M2032">
        <f t="shared" si="200"/>
        <v>221.36043010799847</v>
      </c>
      <c r="N2032" t="e">
        <f t="shared" si="202"/>
        <v>#N/A</v>
      </c>
      <c r="O2032" t="e">
        <f t="shared" si="203"/>
        <v>#N/A</v>
      </c>
      <c r="P2032" t="e">
        <f t="shared" si="204"/>
        <v>#N/A</v>
      </c>
      <c r="Q2032" t="e">
        <f t="shared" si="205"/>
        <v>#N/A</v>
      </c>
      <c r="U2032">
        <f>C2032/Navio!$J$4</f>
        <v>23.092603529820131</v>
      </c>
    </row>
    <row r="2033" spans="1:21" x14ac:dyDescent="0.3">
      <c r="A2033">
        <v>2031</v>
      </c>
      <c r="B2033" s="47">
        <v>539.55447639842862</v>
      </c>
      <c r="C2033" s="46">
        <v>432.98205174469882</v>
      </c>
      <c r="D2033" s="1">
        <v>73</v>
      </c>
      <c r="E2033" s="1">
        <v>76</v>
      </c>
      <c r="F2033" s="1" t="s">
        <v>50</v>
      </c>
      <c r="G2033" s="1" t="s">
        <v>50</v>
      </c>
      <c r="H2033" s="1" t="s">
        <v>50</v>
      </c>
      <c r="I2033" s="1" t="s">
        <v>50</v>
      </c>
      <c r="J2033" s="1" t="s">
        <v>50</v>
      </c>
      <c r="K2033" s="1" t="s">
        <v>50</v>
      </c>
      <c r="L2033">
        <f t="shared" si="201"/>
        <v>303.05135811492471</v>
      </c>
      <c r="M2033">
        <f t="shared" si="200"/>
        <v>473.00623656700782</v>
      </c>
      <c r="N2033" t="e">
        <f t="shared" si="202"/>
        <v>#N/A</v>
      </c>
      <c r="O2033" t="e">
        <f t="shared" si="203"/>
        <v>#N/A</v>
      </c>
      <c r="P2033" t="e">
        <f t="shared" si="204"/>
        <v>#N/A</v>
      </c>
      <c r="Q2033" t="e">
        <f t="shared" si="205"/>
        <v>#N/A</v>
      </c>
      <c r="U2033">
        <f>C2033/Navio!$J$4</f>
        <v>23.379180659373077</v>
      </c>
    </row>
    <row r="2034" spans="1:21" x14ac:dyDescent="0.3">
      <c r="A2034">
        <v>2032</v>
      </c>
      <c r="B2034" s="47">
        <v>518.35128580720129</v>
      </c>
      <c r="C2034" s="46">
        <v>429.82614832884752</v>
      </c>
      <c r="D2034" s="1">
        <v>73</v>
      </c>
      <c r="E2034" s="1">
        <v>77</v>
      </c>
      <c r="F2034" s="1" t="s">
        <v>50</v>
      </c>
      <c r="G2034" s="1" t="s">
        <v>50</v>
      </c>
      <c r="H2034" s="1" t="s">
        <v>50</v>
      </c>
      <c r="I2034" s="1" t="s">
        <v>50</v>
      </c>
      <c r="J2034" s="1" t="s">
        <v>50</v>
      </c>
      <c r="K2034" s="1" t="s">
        <v>50</v>
      </c>
      <c r="L2034">
        <f t="shared" si="201"/>
        <v>303.05135811492471</v>
      </c>
      <c r="M2034">
        <f t="shared" si="200"/>
        <v>215.29992769227658</v>
      </c>
      <c r="N2034" t="e">
        <f t="shared" si="202"/>
        <v>#N/A</v>
      </c>
      <c r="O2034" t="e">
        <f t="shared" si="203"/>
        <v>#N/A</v>
      </c>
      <c r="P2034" t="e">
        <f t="shared" si="204"/>
        <v>#N/A</v>
      </c>
      <c r="Q2034" t="e">
        <f t="shared" si="205"/>
        <v>#N/A</v>
      </c>
      <c r="U2034">
        <f>C2034/Navio!$J$4</f>
        <v>23.208775360110867</v>
      </c>
    </row>
    <row r="2035" spans="1:21" x14ac:dyDescent="0.3">
      <c r="A2035">
        <v>2033</v>
      </c>
      <c r="B2035" s="47">
        <v>539.55447639842862</v>
      </c>
      <c r="C2035" s="46">
        <v>444.92336367834037</v>
      </c>
      <c r="D2035" s="1">
        <v>73</v>
      </c>
      <c r="E2035" s="1">
        <v>78</v>
      </c>
      <c r="F2035" s="1" t="s">
        <v>50</v>
      </c>
      <c r="G2035" s="1" t="s">
        <v>50</v>
      </c>
      <c r="H2035" s="1" t="s">
        <v>50</v>
      </c>
      <c r="I2035" s="1" t="s">
        <v>50</v>
      </c>
      <c r="J2035" s="1" t="s">
        <v>50</v>
      </c>
      <c r="K2035" s="1" t="s">
        <v>50</v>
      </c>
      <c r="L2035">
        <f t="shared" si="201"/>
        <v>303.05135811492471</v>
      </c>
      <c r="M2035">
        <f t="shared" si="200"/>
        <v>473.00623656700782</v>
      </c>
      <c r="N2035" t="e">
        <f t="shared" si="202"/>
        <v>#N/A</v>
      </c>
      <c r="O2035" t="e">
        <f t="shared" si="203"/>
        <v>#N/A</v>
      </c>
      <c r="P2035" t="e">
        <f t="shared" si="204"/>
        <v>#N/A</v>
      </c>
      <c r="Q2035" t="e">
        <f t="shared" si="205"/>
        <v>#N/A</v>
      </c>
      <c r="U2035">
        <f>C2035/Navio!$J$4</f>
        <v>24.023960478493951</v>
      </c>
    </row>
    <row r="2036" spans="1:21" x14ac:dyDescent="0.3">
      <c r="A2036">
        <v>2034</v>
      </c>
      <c r="B2036" s="47">
        <v>539.55447639842862</v>
      </c>
      <c r="C2036" s="46">
        <v>441.63809902073604</v>
      </c>
      <c r="D2036" s="1">
        <v>73</v>
      </c>
      <c r="E2036" s="1">
        <v>79</v>
      </c>
      <c r="F2036" s="1" t="s">
        <v>50</v>
      </c>
      <c r="G2036" s="1" t="s">
        <v>50</v>
      </c>
      <c r="H2036" s="1" t="s">
        <v>50</v>
      </c>
      <c r="I2036" s="1" t="s">
        <v>50</v>
      </c>
      <c r="J2036" s="1" t="s">
        <v>50</v>
      </c>
      <c r="K2036" s="1" t="s">
        <v>50</v>
      </c>
      <c r="L2036">
        <f t="shared" si="201"/>
        <v>303.05135811492471</v>
      </c>
      <c r="M2036">
        <f t="shared" si="200"/>
        <v>473.00623656700782</v>
      </c>
      <c r="N2036" t="e">
        <f t="shared" si="202"/>
        <v>#N/A</v>
      </c>
      <c r="O2036" t="e">
        <f t="shared" si="203"/>
        <v>#N/A</v>
      </c>
      <c r="P2036" t="e">
        <f t="shared" si="204"/>
        <v>#N/A</v>
      </c>
      <c r="Q2036" t="e">
        <f t="shared" si="205"/>
        <v>#N/A</v>
      </c>
      <c r="U2036">
        <f>C2036/Navio!$J$4</f>
        <v>23.846570224938425</v>
      </c>
    </row>
    <row r="2037" spans="1:21" x14ac:dyDescent="0.3">
      <c r="A2037">
        <v>2035</v>
      </c>
      <c r="B2037" s="47">
        <v>349.69935825718704</v>
      </c>
      <c r="C2037" s="46">
        <v>419.69894579348374</v>
      </c>
      <c r="D2037" s="1">
        <v>74</v>
      </c>
      <c r="E2037" s="1">
        <v>75</v>
      </c>
      <c r="F2037" s="1" t="s">
        <v>50</v>
      </c>
      <c r="G2037" s="1" t="s">
        <v>50</v>
      </c>
      <c r="H2037" s="1" t="s">
        <v>50</v>
      </c>
      <c r="I2037" s="1" t="s">
        <v>50</v>
      </c>
      <c r="J2037" s="1" t="s">
        <v>50</v>
      </c>
      <c r="K2037" s="1" t="s">
        <v>50</v>
      </c>
      <c r="L2037">
        <f t="shared" si="201"/>
        <v>128.33892814918858</v>
      </c>
      <c r="M2037">
        <f t="shared" si="200"/>
        <v>221.36043010799847</v>
      </c>
      <c r="N2037" t="e">
        <f t="shared" si="202"/>
        <v>#N/A</v>
      </c>
      <c r="O2037" t="e">
        <f t="shared" si="203"/>
        <v>#N/A</v>
      </c>
      <c r="P2037" t="e">
        <f t="shared" si="204"/>
        <v>#N/A</v>
      </c>
      <c r="Q2037" t="e">
        <f t="shared" si="205"/>
        <v>#N/A</v>
      </c>
      <c r="U2037">
        <f>C2037/Navio!$J$4</f>
        <v>22.661949696796917</v>
      </c>
    </row>
    <row r="2038" spans="1:21" x14ac:dyDescent="0.3">
      <c r="A2038">
        <v>2036</v>
      </c>
      <c r="B2038" s="47">
        <v>364.84204643269248</v>
      </c>
      <c r="C2038" s="46">
        <v>425.27501192866043</v>
      </c>
      <c r="D2038" s="1">
        <v>74</v>
      </c>
      <c r="E2038" s="1">
        <v>76</v>
      </c>
      <c r="F2038" s="1" t="s">
        <v>50</v>
      </c>
      <c r="G2038" s="1" t="s">
        <v>50</v>
      </c>
      <c r="H2038" s="1" t="s">
        <v>50</v>
      </c>
      <c r="I2038" s="1" t="s">
        <v>50</v>
      </c>
      <c r="J2038" s="1" t="s">
        <v>50</v>
      </c>
      <c r="K2038" s="1" t="s">
        <v>50</v>
      </c>
      <c r="L2038">
        <f t="shared" si="201"/>
        <v>128.33892814918858</v>
      </c>
      <c r="M2038">
        <f t="shared" si="200"/>
        <v>473.00623656700782</v>
      </c>
      <c r="N2038" t="e">
        <f t="shared" si="202"/>
        <v>#N/A</v>
      </c>
      <c r="O2038" t="e">
        <f t="shared" si="203"/>
        <v>#N/A</v>
      </c>
      <c r="P2038" t="e">
        <f t="shared" si="204"/>
        <v>#N/A</v>
      </c>
      <c r="Q2038" t="e">
        <f t="shared" si="205"/>
        <v>#N/A</v>
      </c>
      <c r="U2038">
        <f>C2038/Navio!$J$4</f>
        <v>22.963033441533234</v>
      </c>
    </row>
    <row r="2039" spans="1:21" x14ac:dyDescent="0.3">
      <c r="A2039">
        <v>2037</v>
      </c>
      <c r="B2039" s="47">
        <v>343.63885584146516</v>
      </c>
      <c r="C2039" s="46">
        <v>429.78339103818598</v>
      </c>
      <c r="D2039" s="1">
        <v>74</v>
      </c>
      <c r="E2039" s="1">
        <v>77</v>
      </c>
      <c r="F2039" s="1" t="s">
        <v>50</v>
      </c>
      <c r="G2039" s="1" t="s">
        <v>50</v>
      </c>
      <c r="H2039" s="1" t="s">
        <v>50</v>
      </c>
      <c r="I2039" s="1" t="s">
        <v>50</v>
      </c>
      <c r="J2039" s="1" t="s">
        <v>50</v>
      </c>
      <c r="K2039" s="1" t="s">
        <v>50</v>
      </c>
      <c r="L2039">
        <f t="shared" si="201"/>
        <v>128.33892814918858</v>
      </c>
      <c r="M2039">
        <f t="shared" si="200"/>
        <v>215.29992769227658</v>
      </c>
      <c r="N2039" t="e">
        <f t="shared" si="202"/>
        <v>#N/A</v>
      </c>
      <c r="O2039" t="e">
        <f t="shared" si="203"/>
        <v>#N/A</v>
      </c>
      <c r="P2039" t="e">
        <f t="shared" si="204"/>
        <v>#N/A</v>
      </c>
      <c r="Q2039" t="e">
        <f t="shared" si="205"/>
        <v>#N/A</v>
      </c>
      <c r="U2039">
        <f>C2039/Navio!$J$4</f>
        <v>23.206466649117296</v>
      </c>
    </row>
    <row r="2040" spans="1:21" x14ac:dyDescent="0.3">
      <c r="A2040">
        <v>2038</v>
      </c>
      <c r="B2040" s="47">
        <v>364.84204643269248</v>
      </c>
      <c r="C2040" s="46">
        <v>434.74383603647914</v>
      </c>
      <c r="D2040" s="1">
        <v>74</v>
      </c>
      <c r="E2040" s="1">
        <v>78</v>
      </c>
      <c r="F2040" s="1" t="s">
        <v>50</v>
      </c>
      <c r="G2040" s="1" t="s">
        <v>50</v>
      </c>
      <c r="H2040" s="1" t="s">
        <v>50</v>
      </c>
      <c r="I2040" s="1" t="s">
        <v>50</v>
      </c>
      <c r="J2040" s="1" t="s">
        <v>50</v>
      </c>
      <c r="K2040" s="1" t="s">
        <v>50</v>
      </c>
      <c r="L2040">
        <f t="shared" si="201"/>
        <v>128.33892814918858</v>
      </c>
      <c r="M2040">
        <f t="shared" si="200"/>
        <v>473.00623656700782</v>
      </c>
      <c r="N2040" t="e">
        <f t="shared" si="202"/>
        <v>#N/A</v>
      </c>
      <c r="O2040" t="e">
        <f t="shared" si="203"/>
        <v>#N/A</v>
      </c>
      <c r="P2040" t="e">
        <f t="shared" si="204"/>
        <v>#N/A</v>
      </c>
      <c r="Q2040" t="e">
        <f t="shared" si="205"/>
        <v>#N/A</v>
      </c>
      <c r="U2040">
        <f>C2040/Navio!$J$4</f>
        <v>23.474309483014625</v>
      </c>
    </row>
    <row r="2041" spans="1:21" x14ac:dyDescent="0.3">
      <c r="A2041">
        <v>2039</v>
      </c>
      <c r="B2041" s="47">
        <v>364.84204643269248</v>
      </c>
      <c r="C2041" s="46">
        <v>433.08821289651496</v>
      </c>
      <c r="D2041" s="1">
        <v>74</v>
      </c>
      <c r="E2041" s="1">
        <v>79</v>
      </c>
      <c r="F2041" s="1" t="s">
        <v>50</v>
      </c>
      <c r="G2041" s="1" t="s">
        <v>50</v>
      </c>
      <c r="H2041" s="1" t="s">
        <v>50</v>
      </c>
      <c r="I2041" s="1" t="s">
        <v>50</v>
      </c>
      <c r="J2041" s="1" t="s">
        <v>50</v>
      </c>
      <c r="K2041" s="1" t="s">
        <v>50</v>
      </c>
      <c r="L2041">
        <f t="shared" si="201"/>
        <v>128.33892814918858</v>
      </c>
      <c r="M2041">
        <f t="shared" si="200"/>
        <v>473.00623656700782</v>
      </c>
      <c r="N2041" t="e">
        <f t="shared" si="202"/>
        <v>#N/A</v>
      </c>
      <c r="O2041" t="e">
        <f t="shared" si="203"/>
        <v>#N/A</v>
      </c>
      <c r="P2041" t="e">
        <f t="shared" si="204"/>
        <v>#N/A</v>
      </c>
      <c r="Q2041" t="e">
        <f t="shared" si="205"/>
        <v>#N/A</v>
      </c>
      <c r="U2041">
        <f>C2041/Navio!$J$4</f>
        <v>23.384912907943924</v>
      </c>
    </row>
    <row r="2042" spans="1:21" x14ac:dyDescent="0.3">
      <c r="A2042">
        <v>2040</v>
      </c>
      <c r="B2042" s="47">
        <v>457.86354839150238</v>
      </c>
      <c r="C2042" s="46">
        <v>425.42030882264947</v>
      </c>
      <c r="D2042" s="1">
        <v>75</v>
      </c>
      <c r="E2042" s="1">
        <v>76</v>
      </c>
      <c r="F2042" s="1" t="s">
        <v>50</v>
      </c>
      <c r="G2042" s="1" t="s">
        <v>50</v>
      </c>
      <c r="H2042" s="1" t="s">
        <v>50</v>
      </c>
      <c r="I2042" s="1" t="s">
        <v>50</v>
      </c>
      <c r="J2042" s="1" t="s">
        <v>50</v>
      </c>
      <c r="K2042" s="1" t="s">
        <v>50</v>
      </c>
      <c r="L2042">
        <f t="shared" si="201"/>
        <v>221.36043010799847</v>
      </c>
      <c r="M2042">
        <f t="shared" si="200"/>
        <v>473.00623656700782</v>
      </c>
      <c r="N2042" t="e">
        <f t="shared" si="202"/>
        <v>#N/A</v>
      </c>
      <c r="O2042" t="e">
        <f t="shared" si="203"/>
        <v>#N/A</v>
      </c>
      <c r="P2042" t="e">
        <f t="shared" si="204"/>
        <v>#N/A</v>
      </c>
      <c r="Q2042" t="e">
        <f t="shared" si="205"/>
        <v>#N/A</v>
      </c>
      <c r="U2042">
        <f>C2042/Navio!$J$4</f>
        <v>22.970878852954161</v>
      </c>
    </row>
    <row r="2043" spans="1:21" x14ac:dyDescent="0.3">
      <c r="A2043">
        <v>2041</v>
      </c>
      <c r="B2043" s="47">
        <v>436.66035780027505</v>
      </c>
      <c r="C2043" s="46">
        <v>429.86411253025864</v>
      </c>
      <c r="D2043" s="1">
        <v>75</v>
      </c>
      <c r="E2043" s="1">
        <v>77</v>
      </c>
      <c r="F2043" s="1" t="s">
        <v>50</v>
      </c>
      <c r="G2043" s="1" t="s">
        <v>50</v>
      </c>
      <c r="H2043" s="1" t="s">
        <v>50</v>
      </c>
      <c r="I2043" s="1" t="s">
        <v>50</v>
      </c>
      <c r="J2043" s="1" t="s">
        <v>50</v>
      </c>
      <c r="K2043" s="1" t="s">
        <v>50</v>
      </c>
      <c r="L2043">
        <f t="shared" si="201"/>
        <v>221.36043010799847</v>
      </c>
      <c r="M2043">
        <f t="shared" si="200"/>
        <v>215.29992769227658</v>
      </c>
      <c r="N2043" t="e">
        <f t="shared" si="202"/>
        <v>#N/A</v>
      </c>
      <c r="O2043" t="e">
        <f t="shared" si="203"/>
        <v>#N/A</v>
      </c>
      <c r="P2043" t="e">
        <f t="shared" si="204"/>
        <v>#N/A</v>
      </c>
      <c r="Q2043" t="e">
        <f t="shared" si="205"/>
        <v>#N/A</v>
      </c>
      <c r="U2043">
        <f>C2043/Navio!$J$4</f>
        <v>23.210825264765813</v>
      </c>
    </row>
    <row r="2044" spans="1:21" x14ac:dyDescent="0.3">
      <c r="A2044">
        <v>2042</v>
      </c>
      <c r="B2044" s="47">
        <v>457.86354839150238</v>
      </c>
      <c r="C2044" s="46">
        <v>436.69816039809689</v>
      </c>
      <c r="D2044" s="1">
        <v>75</v>
      </c>
      <c r="E2044" s="1">
        <v>78</v>
      </c>
      <c r="F2044" s="1" t="s">
        <v>50</v>
      </c>
      <c r="G2044" s="1" t="s">
        <v>50</v>
      </c>
      <c r="H2044" s="1" t="s">
        <v>50</v>
      </c>
      <c r="I2044" s="1" t="s">
        <v>50</v>
      </c>
      <c r="J2044" s="1" t="s">
        <v>50</v>
      </c>
      <c r="K2044" s="1" t="s">
        <v>50</v>
      </c>
      <c r="L2044">
        <f t="shared" si="201"/>
        <v>221.36043010799847</v>
      </c>
      <c r="M2044">
        <f t="shared" si="200"/>
        <v>473.00623656700782</v>
      </c>
      <c r="N2044" t="e">
        <f t="shared" si="202"/>
        <v>#N/A</v>
      </c>
      <c r="O2044" t="e">
        <f t="shared" si="203"/>
        <v>#N/A</v>
      </c>
      <c r="P2044" t="e">
        <f t="shared" si="204"/>
        <v>#N/A</v>
      </c>
      <c r="Q2044" t="e">
        <f t="shared" si="205"/>
        <v>#N/A</v>
      </c>
      <c r="U2044">
        <f>C2044/Navio!$J$4</f>
        <v>23.579834647702551</v>
      </c>
    </row>
    <row r="2045" spans="1:21" x14ac:dyDescent="0.3">
      <c r="A2045">
        <v>2043</v>
      </c>
      <c r="B2045" s="47">
        <v>457.86354839150238</v>
      </c>
      <c r="C2045" s="46">
        <v>433.91965754722889</v>
      </c>
      <c r="D2045" s="1">
        <v>75</v>
      </c>
      <c r="E2045" s="1">
        <v>79</v>
      </c>
      <c r="F2045" s="1" t="s">
        <v>50</v>
      </c>
      <c r="G2045" s="1" t="s">
        <v>50</v>
      </c>
      <c r="H2045" s="1" t="s">
        <v>50</v>
      </c>
      <c r="I2045" s="1" t="s">
        <v>50</v>
      </c>
      <c r="J2045" s="1" t="s">
        <v>50</v>
      </c>
      <c r="K2045" s="1" t="s">
        <v>50</v>
      </c>
      <c r="L2045">
        <f t="shared" si="201"/>
        <v>221.36043010799847</v>
      </c>
      <c r="M2045">
        <f t="shared" si="200"/>
        <v>473.00623656700782</v>
      </c>
      <c r="N2045" t="e">
        <f t="shared" si="202"/>
        <v>#N/A</v>
      </c>
      <c r="O2045" t="e">
        <f t="shared" si="203"/>
        <v>#N/A</v>
      </c>
      <c r="P2045" t="e">
        <f t="shared" si="204"/>
        <v>#N/A</v>
      </c>
      <c r="Q2045" t="e">
        <f t="shared" si="205"/>
        <v>#N/A</v>
      </c>
      <c r="U2045">
        <f>C2045/Navio!$J$4</f>
        <v>23.42980736631462</v>
      </c>
    </row>
    <row r="2046" spans="1:21" x14ac:dyDescent="0.3">
      <c r="A2046">
        <v>2044</v>
      </c>
      <c r="B2046" s="47">
        <v>451.80304597578049</v>
      </c>
      <c r="C2046" s="46">
        <v>432.66009213190443</v>
      </c>
      <c r="D2046" s="1">
        <v>76</v>
      </c>
      <c r="E2046" s="1">
        <v>77</v>
      </c>
      <c r="F2046" s="1" t="s">
        <v>50</v>
      </c>
      <c r="G2046" s="1" t="s">
        <v>50</v>
      </c>
      <c r="H2046" s="1" t="s">
        <v>50</v>
      </c>
      <c r="I2046" s="1" t="s">
        <v>50</v>
      </c>
      <c r="J2046" s="1" t="s">
        <v>50</v>
      </c>
      <c r="K2046" s="1" t="s">
        <v>50</v>
      </c>
      <c r="L2046">
        <f t="shared" si="201"/>
        <v>473.00623656700782</v>
      </c>
      <c r="M2046">
        <f t="shared" si="200"/>
        <v>215.29992769227658</v>
      </c>
      <c r="N2046" t="e">
        <f t="shared" si="202"/>
        <v>#N/A</v>
      </c>
      <c r="O2046" t="e">
        <f t="shared" si="203"/>
        <v>#N/A</v>
      </c>
      <c r="P2046" t="e">
        <f t="shared" si="204"/>
        <v>#N/A</v>
      </c>
      <c r="Q2046" t="e">
        <f t="shared" si="205"/>
        <v>#N/A</v>
      </c>
      <c r="U2046">
        <f>C2046/Navio!$J$4</f>
        <v>23.361796216017488</v>
      </c>
    </row>
    <row r="2047" spans="1:21" x14ac:dyDescent="0.3">
      <c r="A2047">
        <v>2045</v>
      </c>
      <c r="B2047" s="47">
        <v>473.00623656700782</v>
      </c>
      <c r="C2047" s="46">
        <v>437.49715499794161</v>
      </c>
      <c r="D2047" s="1">
        <v>76</v>
      </c>
      <c r="E2047" s="1">
        <v>78</v>
      </c>
      <c r="F2047" s="1" t="s">
        <v>50</v>
      </c>
      <c r="G2047" s="1" t="s">
        <v>50</v>
      </c>
      <c r="H2047" s="1" t="s">
        <v>50</v>
      </c>
      <c r="I2047" s="1" t="s">
        <v>50</v>
      </c>
      <c r="J2047" s="1" t="s">
        <v>50</v>
      </c>
      <c r="K2047" s="1" t="s">
        <v>50</v>
      </c>
      <c r="L2047">
        <f t="shared" si="201"/>
        <v>473.00623656700782</v>
      </c>
      <c r="M2047">
        <f t="shared" si="200"/>
        <v>473.00623656700782</v>
      </c>
      <c r="N2047" t="e">
        <f t="shared" si="202"/>
        <v>#N/A</v>
      </c>
      <c r="O2047" t="e">
        <f t="shared" si="203"/>
        <v>#N/A</v>
      </c>
      <c r="P2047" t="e">
        <f t="shared" si="204"/>
        <v>#N/A</v>
      </c>
      <c r="Q2047" t="e">
        <f t="shared" si="205"/>
        <v>#N/A</v>
      </c>
      <c r="U2047">
        <f>C2047/Navio!$J$4</f>
        <v>23.622976941985566</v>
      </c>
    </row>
    <row r="2048" spans="1:21" x14ac:dyDescent="0.3">
      <c r="A2048">
        <v>2046</v>
      </c>
      <c r="B2048" s="47">
        <v>473.00623656700782</v>
      </c>
      <c r="C2048" s="46">
        <v>433.97161243584208</v>
      </c>
      <c r="D2048" s="1">
        <v>76</v>
      </c>
      <c r="E2048" s="1">
        <v>79</v>
      </c>
      <c r="F2048" s="1" t="s">
        <v>50</v>
      </c>
      <c r="G2048" s="1" t="s">
        <v>50</v>
      </c>
      <c r="H2048" s="1" t="s">
        <v>50</v>
      </c>
      <c r="I2048" s="1" t="s">
        <v>50</v>
      </c>
      <c r="J2048" s="1" t="s">
        <v>50</v>
      </c>
      <c r="K2048" s="1" t="s">
        <v>50</v>
      </c>
      <c r="L2048">
        <f t="shared" si="201"/>
        <v>473.00623656700782</v>
      </c>
      <c r="M2048">
        <f t="shared" si="200"/>
        <v>473.00623656700782</v>
      </c>
      <c r="N2048" t="e">
        <f t="shared" si="202"/>
        <v>#N/A</v>
      </c>
      <c r="O2048" t="e">
        <f t="shared" si="203"/>
        <v>#N/A</v>
      </c>
      <c r="P2048" t="e">
        <f t="shared" si="204"/>
        <v>#N/A</v>
      </c>
      <c r="Q2048" t="e">
        <f t="shared" si="205"/>
        <v>#N/A</v>
      </c>
      <c r="U2048">
        <f>C2048/Navio!$J$4</f>
        <v>23.432612708296187</v>
      </c>
    </row>
    <row r="2049" spans="1:21" x14ac:dyDescent="0.3">
      <c r="A2049">
        <v>2047</v>
      </c>
      <c r="B2049" s="47">
        <v>451.80304597578049</v>
      </c>
      <c r="C2049" s="46">
        <v>444.50918067677776</v>
      </c>
      <c r="D2049" s="1">
        <v>77</v>
      </c>
      <c r="E2049" s="1">
        <v>78</v>
      </c>
      <c r="F2049" s="1" t="s">
        <v>50</v>
      </c>
      <c r="G2049" s="1" t="s">
        <v>50</v>
      </c>
      <c r="H2049" s="1" t="s">
        <v>50</v>
      </c>
      <c r="I2049" s="1" t="s">
        <v>50</v>
      </c>
      <c r="J2049" s="1" t="s">
        <v>50</v>
      </c>
      <c r="K2049" s="1" t="s">
        <v>50</v>
      </c>
      <c r="L2049">
        <f t="shared" si="201"/>
        <v>215.29992769227658</v>
      </c>
      <c r="M2049">
        <f t="shared" si="200"/>
        <v>473.00623656700782</v>
      </c>
      <c r="N2049" t="e">
        <f t="shared" si="202"/>
        <v>#N/A</v>
      </c>
      <c r="O2049" t="e">
        <f t="shared" si="203"/>
        <v>#N/A</v>
      </c>
      <c r="P2049" t="e">
        <f t="shared" si="204"/>
        <v>#N/A</v>
      </c>
      <c r="Q2049" t="e">
        <f t="shared" si="205"/>
        <v>#N/A</v>
      </c>
      <c r="U2049">
        <f>C2049/Navio!$J$4</f>
        <v>24.00159636621596</v>
      </c>
    </row>
    <row r="2050" spans="1:21" x14ac:dyDescent="0.3">
      <c r="A2050">
        <v>2048</v>
      </c>
      <c r="B2050" s="47">
        <v>451.80304597578049</v>
      </c>
      <c r="C2050" s="46">
        <v>440.20231355168261</v>
      </c>
      <c r="D2050" s="1">
        <v>77</v>
      </c>
      <c r="E2050" s="1">
        <v>79</v>
      </c>
      <c r="F2050" s="1" t="s">
        <v>50</v>
      </c>
      <c r="G2050" s="1" t="s">
        <v>50</v>
      </c>
      <c r="H2050" s="1" t="s">
        <v>50</v>
      </c>
      <c r="I2050" s="1" t="s">
        <v>50</v>
      </c>
      <c r="J2050" s="1" t="s">
        <v>50</v>
      </c>
      <c r="K2050" s="1" t="s">
        <v>50</v>
      </c>
      <c r="L2050">
        <f t="shared" si="201"/>
        <v>215.29992769227658</v>
      </c>
      <c r="M2050">
        <f t="shared" si="200"/>
        <v>473.00623656700782</v>
      </c>
      <c r="N2050" t="e">
        <f t="shared" si="202"/>
        <v>#N/A</v>
      </c>
      <c r="O2050" t="e">
        <f t="shared" si="203"/>
        <v>#N/A</v>
      </c>
      <c r="P2050" t="e">
        <f t="shared" si="204"/>
        <v>#N/A</v>
      </c>
      <c r="Q2050" t="e">
        <f t="shared" si="205"/>
        <v>#N/A</v>
      </c>
      <c r="U2050">
        <f>C2050/Navio!$J$4</f>
        <v>23.769043944729251</v>
      </c>
    </row>
    <row r="2051" spans="1:21" x14ac:dyDescent="0.3">
      <c r="A2051">
        <v>2049</v>
      </c>
      <c r="B2051" s="47">
        <v>473.00623656700782</v>
      </c>
      <c r="C2051" s="46">
        <v>437.13641675051821</v>
      </c>
      <c r="D2051" s="1">
        <v>78</v>
      </c>
      <c r="E2051" s="1">
        <v>79</v>
      </c>
      <c r="F2051" s="1" t="s">
        <v>50</v>
      </c>
      <c r="G2051" s="1" t="s">
        <v>50</v>
      </c>
      <c r="H2051" s="1" t="s">
        <v>50</v>
      </c>
      <c r="I2051" s="1" t="s">
        <v>50</v>
      </c>
      <c r="J2051" s="1" t="s">
        <v>50</v>
      </c>
      <c r="K2051" s="1" t="s">
        <v>50</v>
      </c>
      <c r="L2051">
        <f t="shared" si="201"/>
        <v>473.00623656700782</v>
      </c>
      <c r="M2051">
        <f t="shared" ref="M2051:M2114" si="206">VLOOKUP(E2051,$Y$2:$Z$80,2)</f>
        <v>473.00623656700782</v>
      </c>
      <c r="N2051" t="e">
        <f t="shared" si="202"/>
        <v>#N/A</v>
      </c>
      <c r="O2051" t="e">
        <f t="shared" si="203"/>
        <v>#N/A</v>
      </c>
      <c r="P2051" t="e">
        <f t="shared" si="204"/>
        <v>#N/A</v>
      </c>
      <c r="Q2051" t="e">
        <f t="shared" si="205"/>
        <v>#N/A</v>
      </c>
      <c r="U2051">
        <f>C2051/Navio!$J$4</f>
        <v>23.603498618061344</v>
      </c>
    </row>
    <row r="2052" spans="1:21" x14ac:dyDescent="0.3">
      <c r="A2052">
        <v>2050</v>
      </c>
      <c r="B2052" s="47">
        <v>489.04628140320489</v>
      </c>
      <c r="C2052" s="46">
        <v>425.50189289444131</v>
      </c>
      <c r="D2052" s="1">
        <v>74</v>
      </c>
      <c r="E2052" s="1">
        <v>73</v>
      </c>
      <c r="F2052" s="1">
        <v>72</v>
      </c>
      <c r="G2052" s="1" t="s">
        <v>50</v>
      </c>
      <c r="H2052" s="1" t="s">
        <v>50</v>
      </c>
      <c r="I2052" s="1" t="s">
        <v>50</v>
      </c>
      <c r="J2052" s="1" t="s">
        <v>50</v>
      </c>
      <c r="K2052" s="1" t="s">
        <v>50</v>
      </c>
      <c r="L2052">
        <f t="shared" si="201"/>
        <v>128.33892814918858</v>
      </c>
      <c r="M2052">
        <f t="shared" si="206"/>
        <v>303.05135811492471</v>
      </c>
      <c r="N2052">
        <f t="shared" si="202"/>
        <v>172.96798541727486</v>
      </c>
      <c r="O2052" t="e">
        <f t="shared" si="203"/>
        <v>#N/A</v>
      </c>
      <c r="P2052" t="e">
        <f t="shared" si="204"/>
        <v>#N/A</v>
      </c>
      <c r="Q2052" t="e">
        <f t="shared" si="205"/>
        <v>#N/A</v>
      </c>
      <c r="U2052">
        <f>C2052/Navio!$J$4</f>
        <v>22.975284044221706</v>
      </c>
    </row>
    <row r="2053" spans="1:21" x14ac:dyDescent="0.3">
      <c r="A2053">
        <v>2051</v>
      </c>
      <c r="B2053" s="47">
        <v>582.06778336201478</v>
      </c>
      <c r="C2053" s="46">
        <v>428.27312126335573</v>
      </c>
      <c r="D2053" s="1">
        <v>75</v>
      </c>
      <c r="E2053" s="1">
        <v>73</v>
      </c>
      <c r="F2053" s="1">
        <v>72</v>
      </c>
      <c r="G2053" s="1" t="s">
        <v>50</v>
      </c>
      <c r="H2053" s="1" t="s">
        <v>50</v>
      </c>
      <c r="I2053" s="1" t="s">
        <v>50</v>
      </c>
      <c r="J2053" s="1" t="s">
        <v>50</v>
      </c>
      <c r="K2053" s="1" t="s">
        <v>50</v>
      </c>
      <c r="L2053">
        <f t="shared" si="201"/>
        <v>221.36043010799847</v>
      </c>
      <c r="M2053">
        <f t="shared" si="206"/>
        <v>303.05135811492471</v>
      </c>
      <c r="N2053">
        <f t="shared" si="202"/>
        <v>172.96798541727486</v>
      </c>
      <c r="O2053" t="e">
        <f t="shared" si="203"/>
        <v>#N/A</v>
      </c>
      <c r="P2053" t="e">
        <f t="shared" si="204"/>
        <v>#N/A</v>
      </c>
      <c r="Q2053" t="e">
        <f t="shared" si="205"/>
        <v>#N/A</v>
      </c>
      <c r="U2053">
        <f>C2053/Navio!$J$4</f>
        <v>23.124918534668048</v>
      </c>
    </row>
    <row r="2054" spans="1:21" x14ac:dyDescent="0.3">
      <c r="A2054">
        <v>2052</v>
      </c>
      <c r="B2054" s="47">
        <v>597.21047153752022</v>
      </c>
      <c r="C2054" s="46">
        <v>433.58052511744222</v>
      </c>
      <c r="D2054" s="1">
        <v>76</v>
      </c>
      <c r="E2054" s="1">
        <v>73</v>
      </c>
      <c r="F2054" s="1">
        <v>72</v>
      </c>
      <c r="G2054" s="1" t="s">
        <v>50</v>
      </c>
      <c r="H2054" s="1" t="s">
        <v>50</v>
      </c>
      <c r="I2054" s="1" t="s">
        <v>50</v>
      </c>
      <c r="J2054" s="1" t="s">
        <v>50</v>
      </c>
      <c r="K2054" s="1" t="s">
        <v>50</v>
      </c>
      <c r="L2054">
        <f t="shared" si="201"/>
        <v>473.00623656700782</v>
      </c>
      <c r="M2054">
        <f t="shared" si="206"/>
        <v>303.05135811492471</v>
      </c>
      <c r="N2054">
        <f t="shared" si="202"/>
        <v>172.96798541727486</v>
      </c>
      <c r="O2054" t="e">
        <f t="shared" si="203"/>
        <v>#N/A</v>
      </c>
      <c r="P2054" t="e">
        <f t="shared" si="204"/>
        <v>#N/A</v>
      </c>
      <c r="Q2054" t="e">
        <f t="shared" si="205"/>
        <v>#N/A</v>
      </c>
      <c r="U2054">
        <f>C2054/Navio!$J$4</f>
        <v>23.411495664220993</v>
      </c>
    </row>
    <row r="2055" spans="1:21" x14ac:dyDescent="0.3">
      <c r="A2055">
        <v>2053</v>
      </c>
      <c r="B2055" s="47">
        <v>576.00728094629289</v>
      </c>
      <c r="C2055" s="46">
        <v>430.42462170159092</v>
      </c>
      <c r="D2055" s="1">
        <v>77</v>
      </c>
      <c r="E2055" s="1">
        <v>73</v>
      </c>
      <c r="F2055" s="1">
        <v>72</v>
      </c>
      <c r="G2055" s="1" t="s">
        <v>50</v>
      </c>
      <c r="H2055" s="1" t="s">
        <v>50</v>
      </c>
      <c r="I2055" s="1" t="s">
        <v>50</v>
      </c>
      <c r="J2055" s="1" t="s">
        <v>50</v>
      </c>
      <c r="K2055" s="1" t="s">
        <v>50</v>
      </c>
      <c r="L2055">
        <f t="shared" si="201"/>
        <v>215.29992769227658</v>
      </c>
      <c r="M2055">
        <f t="shared" si="206"/>
        <v>303.05135811492471</v>
      </c>
      <c r="N2055">
        <f t="shared" si="202"/>
        <v>172.96798541727486</v>
      </c>
      <c r="O2055" t="e">
        <f t="shared" si="203"/>
        <v>#N/A</v>
      </c>
      <c r="P2055" t="e">
        <f t="shared" si="204"/>
        <v>#N/A</v>
      </c>
      <c r="Q2055" t="e">
        <f t="shared" si="205"/>
        <v>#N/A</v>
      </c>
      <c r="U2055">
        <f>C2055/Navio!$J$4</f>
        <v>23.241090364958787</v>
      </c>
    </row>
    <row r="2056" spans="1:21" x14ac:dyDescent="0.3">
      <c r="A2056">
        <v>2054</v>
      </c>
      <c r="B2056" s="47">
        <v>597.21047153752022</v>
      </c>
      <c r="C2056" s="46">
        <v>445.52183705108376</v>
      </c>
      <c r="D2056" s="1">
        <v>78</v>
      </c>
      <c r="E2056" s="1">
        <v>73</v>
      </c>
      <c r="F2056" s="1">
        <v>72</v>
      </c>
      <c r="G2056" s="1" t="s">
        <v>50</v>
      </c>
      <c r="H2056" s="1" t="s">
        <v>50</v>
      </c>
      <c r="I2056" s="1" t="s">
        <v>50</v>
      </c>
      <c r="J2056" s="1" t="s">
        <v>50</v>
      </c>
      <c r="K2056" s="1" t="s">
        <v>50</v>
      </c>
      <c r="L2056">
        <f t="shared" si="201"/>
        <v>473.00623656700782</v>
      </c>
      <c r="M2056">
        <f t="shared" si="206"/>
        <v>303.05135811492471</v>
      </c>
      <c r="N2056">
        <f t="shared" si="202"/>
        <v>172.96798541727486</v>
      </c>
      <c r="O2056" t="e">
        <f t="shared" si="203"/>
        <v>#N/A</v>
      </c>
      <c r="P2056" t="e">
        <f t="shared" si="204"/>
        <v>#N/A</v>
      </c>
      <c r="Q2056" t="e">
        <f t="shared" si="205"/>
        <v>#N/A</v>
      </c>
      <c r="U2056">
        <f>C2056/Navio!$J$4</f>
        <v>24.056275483341871</v>
      </c>
    </row>
    <row r="2057" spans="1:21" x14ac:dyDescent="0.3">
      <c r="A2057">
        <v>2055</v>
      </c>
      <c r="B2057" s="47">
        <v>597.21047153752022</v>
      </c>
      <c r="C2057" s="46">
        <v>442.23657239347949</v>
      </c>
      <c r="D2057" s="1">
        <v>79</v>
      </c>
      <c r="E2057" s="1">
        <v>73</v>
      </c>
      <c r="F2057" s="1">
        <v>72</v>
      </c>
      <c r="G2057" s="1" t="s">
        <v>50</v>
      </c>
      <c r="H2057" s="1" t="s">
        <v>50</v>
      </c>
      <c r="I2057" s="1" t="s">
        <v>50</v>
      </c>
      <c r="J2057" s="1" t="s">
        <v>50</v>
      </c>
      <c r="K2057" s="1" t="s">
        <v>50</v>
      </c>
      <c r="L2057">
        <f t="shared" si="201"/>
        <v>473.00623656700782</v>
      </c>
      <c r="M2057">
        <f t="shared" si="206"/>
        <v>303.05135811492471</v>
      </c>
      <c r="N2057">
        <f t="shared" si="202"/>
        <v>172.96798541727486</v>
      </c>
      <c r="O2057" t="e">
        <f t="shared" si="203"/>
        <v>#N/A</v>
      </c>
      <c r="P2057" t="e">
        <f t="shared" si="204"/>
        <v>#N/A</v>
      </c>
      <c r="Q2057" t="e">
        <f t="shared" si="205"/>
        <v>#N/A</v>
      </c>
      <c r="U2057">
        <f>C2057/Navio!$J$4</f>
        <v>23.878885229786349</v>
      </c>
    </row>
    <row r="2058" spans="1:21" x14ac:dyDescent="0.3">
      <c r="A2058">
        <v>2056</v>
      </c>
      <c r="B2058" s="47">
        <v>407.35535339627864</v>
      </c>
      <c r="C2058" s="46">
        <v>426.1440834211333</v>
      </c>
      <c r="D2058" s="1">
        <v>74</v>
      </c>
      <c r="E2058" s="1">
        <v>75</v>
      </c>
      <c r="F2058" s="1">
        <v>72</v>
      </c>
      <c r="G2058" s="1" t="s">
        <v>50</v>
      </c>
      <c r="H2058" s="1" t="s">
        <v>50</v>
      </c>
      <c r="I2058" s="1" t="s">
        <v>50</v>
      </c>
      <c r="J2058" s="1" t="s">
        <v>50</v>
      </c>
      <c r="K2058" s="1" t="s">
        <v>50</v>
      </c>
      <c r="L2058">
        <f t="shared" si="201"/>
        <v>128.33892814918858</v>
      </c>
      <c r="M2058">
        <f t="shared" si="206"/>
        <v>221.36043010799847</v>
      </c>
      <c r="N2058">
        <f t="shared" si="202"/>
        <v>172.96798541727486</v>
      </c>
      <c r="O2058" t="e">
        <f t="shared" si="203"/>
        <v>#N/A</v>
      </c>
      <c r="P2058" t="e">
        <f t="shared" si="204"/>
        <v>#N/A</v>
      </c>
      <c r="Q2058" t="e">
        <f t="shared" si="205"/>
        <v>#N/A</v>
      </c>
      <c r="U2058">
        <f>C2058/Navio!$J$4</f>
        <v>23.009959588579196</v>
      </c>
    </row>
    <row r="2059" spans="1:21" x14ac:dyDescent="0.3">
      <c r="A2059">
        <v>2057</v>
      </c>
      <c r="B2059" s="47">
        <v>422.49804157178409</v>
      </c>
      <c r="C2059" s="46">
        <v>431.39419235001048</v>
      </c>
      <c r="D2059" s="1">
        <v>74</v>
      </c>
      <c r="E2059" s="1">
        <v>76</v>
      </c>
      <c r="F2059" s="1">
        <v>72</v>
      </c>
      <c r="G2059" s="1" t="s">
        <v>50</v>
      </c>
      <c r="H2059" s="1" t="s">
        <v>50</v>
      </c>
      <c r="I2059" s="1" t="s">
        <v>50</v>
      </c>
      <c r="J2059" s="1" t="s">
        <v>50</v>
      </c>
      <c r="K2059" s="1" t="s">
        <v>50</v>
      </c>
      <c r="L2059">
        <f t="shared" si="201"/>
        <v>128.33892814918858</v>
      </c>
      <c r="M2059">
        <f t="shared" si="206"/>
        <v>473.00623656700782</v>
      </c>
      <c r="N2059">
        <f t="shared" si="202"/>
        <v>172.96798541727486</v>
      </c>
      <c r="O2059" t="e">
        <f t="shared" si="203"/>
        <v>#N/A</v>
      </c>
      <c r="P2059" t="e">
        <f t="shared" si="204"/>
        <v>#N/A</v>
      </c>
      <c r="Q2059" t="e">
        <f t="shared" si="205"/>
        <v>#N/A</v>
      </c>
      <c r="U2059">
        <f>C2059/Navio!$J$4</f>
        <v>23.293443036992389</v>
      </c>
    </row>
    <row r="2060" spans="1:21" x14ac:dyDescent="0.3">
      <c r="A2060">
        <v>2058</v>
      </c>
      <c r="B2060" s="47">
        <v>401.29485098055676</v>
      </c>
      <c r="C2060" s="46">
        <v>431.654565691681</v>
      </c>
      <c r="D2060" s="1">
        <v>74</v>
      </c>
      <c r="E2060" s="1">
        <v>77</v>
      </c>
      <c r="F2060" s="1">
        <v>72</v>
      </c>
      <c r="G2060" s="1" t="s">
        <v>50</v>
      </c>
      <c r="H2060" s="1" t="s">
        <v>50</v>
      </c>
      <c r="I2060" s="1" t="s">
        <v>50</v>
      </c>
      <c r="J2060" s="1" t="s">
        <v>50</v>
      </c>
      <c r="K2060" s="1" t="s">
        <v>50</v>
      </c>
      <c r="L2060">
        <f t="shared" si="201"/>
        <v>128.33892814918858</v>
      </c>
      <c r="M2060">
        <f t="shared" si="206"/>
        <v>215.29992769227658</v>
      </c>
      <c r="N2060">
        <f t="shared" si="202"/>
        <v>172.96798541727486</v>
      </c>
      <c r="O2060" t="e">
        <f t="shared" si="203"/>
        <v>#N/A</v>
      </c>
      <c r="P2060" t="e">
        <f t="shared" si="204"/>
        <v>#N/A</v>
      </c>
      <c r="Q2060" t="e">
        <f t="shared" si="205"/>
        <v>#N/A</v>
      </c>
      <c r="U2060">
        <f>C2060/Navio!$J$4</f>
        <v>23.307502084865785</v>
      </c>
    </row>
    <row r="2061" spans="1:21" x14ac:dyDescent="0.3">
      <c r="A2061">
        <v>2059</v>
      </c>
      <c r="B2061" s="47">
        <v>422.49804157178409</v>
      </c>
      <c r="C2061" s="46">
        <v>443.55129597483187</v>
      </c>
      <c r="D2061" s="1">
        <v>78</v>
      </c>
      <c r="E2061" s="1">
        <v>74</v>
      </c>
      <c r="F2061" s="1">
        <v>72</v>
      </c>
      <c r="G2061" s="1" t="s">
        <v>50</v>
      </c>
      <c r="H2061" s="1" t="s">
        <v>50</v>
      </c>
      <c r="I2061" s="1" t="s">
        <v>50</v>
      </c>
      <c r="J2061" s="1" t="s">
        <v>50</v>
      </c>
      <c r="K2061" s="1" t="s">
        <v>50</v>
      </c>
      <c r="L2061">
        <f t="shared" ref="L2061:L2124" si="207">VLOOKUP(D2061,$Y$2:$Z$80,2)</f>
        <v>473.00623656700782</v>
      </c>
      <c r="M2061">
        <f t="shared" si="206"/>
        <v>128.33892814918858</v>
      </c>
      <c r="N2061">
        <f t="shared" ref="N2061:N2124" si="208">VLOOKUP(F2061,$Y$2:$Z$80,2)</f>
        <v>172.96798541727486</v>
      </c>
      <c r="O2061" t="e">
        <f t="shared" ref="O2061:O2124" si="209">VLOOKUP(G2061,$Y$2:$Z$80,2)</f>
        <v>#N/A</v>
      </c>
      <c r="P2061" t="e">
        <f t="shared" ref="P2061:P2124" si="210">VLOOKUP(H2061,$Y$2:$Z$80,2)</f>
        <v>#N/A</v>
      </c>
      <c r="Q2061" t="e">
        <f t="shared" ref="Q2061:Q2124" si="211">VLOOKUP(I2061,$Y$2:$Z$80,2)</f>
        <v>#N/A</v>
      </c>
      <c r="U2061">
        <f>C2061/Navio!$J$4</f>
        <v>23.94987468535782</v>
      </c>
    </row>
    <row r="2062" spans="1:21" x14ac:dyDescent="0.3">
      <c r="A2062">
        <v>2060</v>
      </c>
      <c r="B2062" s="47">
        <v>422.49804157178409</v>
      </c>
      <c r="C2062" s="46">
        <v>440.62318102703671</v>
      </c>
      <c r="D2062" s="1">
        <v>74</v>
      </c>
      <c r="E2062" s="1">
        <v>79</v>
      </c>
      <c r="F2062" s="1">
        <v>72</v>
      </c>
      <c r="G2062" s="1" t="s">
        <v>50</v>
      </c>
      <c r="H2062" s="1" t="s">
        <v>50</v>
      </c>
      <c r="I2062" s="1" t="s">
        <v>50</v>
      </c>
      <c r="J2062" s="1" t="s">
        <v>50</v>
      </c>
      <c r="K2062" s="1" t="s">
        <v>50</v>
      </c>
      <c r="L2062">
        <f t="shared" si="207"/>
        <v>128.33892814918858</v>
      </c>
      <c r="M2062">
        <f t="shared" si="206"/>
        <v>473.00623656700782</v>
      </c>
      <c r="N2062">
        <f t="shared" si="208"/>
        <v>172.96798541727486</v>
      </c>
      <c r="O2062" t="e">
        <f t="shared" si="209"/>
        <v>#N/A</v>
      </c>
      <c r="P2062" t="e">
        <f t="shared" si="210"/>
        <v>#N/A</v>
      </c>
      <c r="Q2062" t="e">
        <f t="shared" si="211"/>
        <v>#N/A</v>
      </c>
      <c r="U2062">
        <f>C2062/Navio!$J$4</f>
        <v>23.791768990029187</v>
      </c>
    </row>
    <row r="2063" spans="1:21" x14ac:dyDescent="0.3">
      <c r="A2063">
        <v>2061</v>
      </c>
      <c r="B2063" s="47">
        <v>515.51954353059398</v>
      </c>
      <c r="C2063" s="46">
        <v>431.53948924399947</v>
      </c>
      <c r="D2063" s="1">
        <v>75</v>
      </c>
      <c r="E2063" s="1">
        <v>76</v>
      </c>
      <c r="F2063" s="1">
        <v>72</v>
      </c>
      <c r="G2063" s="1" t="s">
        <v>50</v>
      </c>
      <c r="H2063" s="1" t="s">
        <v>50</v>
      </c>
      <c r="I2063" s="1" t="s">
        <v>50</v>
      </c>
      <c r="J2063" s="1" t="s">
        <v>50</v>
      </c>
      <c r="K2063" s="1" t="s">
        <v>50</v>
      </c>
      <c r="L2063">
        <f t="shared" si="207"/>
        <v>221.36043010799847</v>
      </c>
      <c r="M2063">
        <f t="shared" si="206"/>
        <v>473.00623656700782</v>
      </c>
      <c r="N2063">
        <f t="shared" si="208"/>
        <v>172.96798541727486</v>
      </c>
      <c r="O2063" t="e">
        <f t="shared" si="209"/>
        <v>#N/A</v>
      </c>
      <c r="P2063" t="e">
        <f t="shared" si="210"/>
        <v>#N/A</v>
      </c>
      <c r="Q2063" t="e">
        <f t="shared" si="211"/>
        <v>#N/A</v>
      </c>
      <c r="U2063">
        <f>C2063/Navio!$J$4</f>
        <v>23.301288448413317</v>
      </c>
    </row>
    <row r="2064" spans="1:21" x14ac:dyDescent="0.3">
      <c r="A2064">
        <v>2062</v>
      </c>
      <c r="B2064" s="47">
        <v>494.31635293936665</v>
      </c>
      <c r="C2064" s="46">
        <v>431.7352871837536</v>
      </c>
      <c r="D2064" s="1">
        <v>75</v>
      </c>
      <c r="E2064" s="1">
        <v>77</v>
      </c>
      <c r="F2064" s="1">
        <v>72</v>
      </c>
      <c r="G2064" s="1" t="s">
        <v>50</v>
      </c>
      <c r="H2064" s="1" t="s">
        <v>50</v>
      </c>
      <c r="I2064" s="1" t="s">
        <v>50</v>
      </c>
      <c r="J2064" s="1" t="s">
        <v>50</v>
      </c>
      <c r="K2064" s="1" t="s">
        <v>50</v>
      </c>
      <c r="L2064">
        <f t="shared" si="207"/>
        <v>221.36043010799847</v>
      </c>
      <c r="M2064">
        <f t="shared" si="206"/>
        <v>215.29992769227658</v>
      </c>
      <c r="N2064">
        <f t="shared" si="208"/>
        <v>172.96798541727486</v>
      </c>
      <c r="O2064" t="e">
        <f t="shared" si="209"/>
        <v>#N/A</v>
      </c>
      <c r="P2064" t="e">
        <f t="shared" si="210"/>
        <v>#N/A</v>
      </c>
      <c r="Q2064" t="e">
        <f t="shared" si="211"/>
        <v>#N/A</v>
      </c>
      <c r="U2064">
        <f>C2064/Navio!$J$4</f>
        <v>23.311860700514298</v>
      </c>
    </row>
    <row r="2065" spans="1:21" x14ac:dyDescent="0.3">
      <c r="A2065">
        <v>2063</v>
      </c>
      <c r="B2065" s="47">
        <v>515.51954353059398</v>
      </c>
      <c r="C2065" s="46">
        <v>443.14329802574645</v>
      </c>
      <c r="D2065" s="1">
        <v>78</v>
      </c>
      <c r="E2065" s="1">
        <v>75</v>
      </c>
      <c r="F2065" s="1">
        <v>72</v>
      </c>
      <c r="G2065" s="1" t="s">
        <v>50</v>
      </c>
      <c r="H2065" s="1" t="s">
        <v>50</v>
      </c>
      <c r="I2065" s="1" t="s">
        <v>50</v>
      </c>
      <c r="J2065" s="1" t="s">
        <v>50</v>
      </c>
      <c r="K2065" s="1" t="s">
        <v>50</v>
      </c>
      <c r="L2065">
        <f t="shared" si="207"/>
        <v>473.00623656700782</v>
      </c>
      <c r="M2065">
        <f t="shared" si="206"/>
        <v>221.36043010799847</v>
      </c>
      <c r="N2065">
        <f t="shared" si="208"/>
        <v>172.96798541727486</v>
      </c>
      <c r="O2065" t="e">
        <f t="shared" si="209"/>
        <v>#N/A</v>
      </c>
      <c r="P2065" t="e">
        <f t="shared" si="210"/>
        <v>#N/A</v>
      </c>
      <c r="Q2065" t="e">
        <f t="shared" si="211"/>
        <v>#N/A</v>
      </c>
      <c r="U2065">
        <f>C2065/Navio!$J$4</f>
        <v>23.92784453948483</v>
      </c>
    </row>
    <row r="2066" spans="1:21" x14ac:dyDescent="0.3">
      <c r="A2066">
        <v>2064</v>
      </c>
      <c r="B2066" s="47">
        <v>515.51954353059398</v>
      </c>
      <c r="C2066" s="46">
        <v>440.3647951748784</v>
      </c>
      <c r="D2066" s="1">
        <v>79</v>
      </c>
      <c r="E2066" s="1">
        <v>75</v>
      </c>
      <c r="F2066" s="1">
        <v>72</v>
      </c>
      <c r="G2066" s="1" t="s">
        <v>50</v>
      </c>
      <c r="H2066" s="1" t="s">
        <v>50</v>
      </c>
      <c r="I2066" s="1" t="s">
        <v>50</v>
      </c>
      <c r="J2066" s="1" t="s">
        <v>50</v>
      </c>
      <c r="K2066" s="1" t="s">
        <v>50</v>
      </c>
      <c r="L2066">
        <f t="shared" si="207"/>
        <v>473.00623656700782</v>
      </c>
      <c r="M2066">
        <f t="shared" si="206"/>
        <v>221.36043010799847</v>
      </c>
      <c r="N2066">
        <f t="shared" si="208"/>
        <v>172.96798541727486</v>
      </c>
      <c r="O2066" t="e">
        <f t="shared" si="209"/>
        <v>#N/A</v>
      </c>
      <c r="P2066" t="e">
        <f t="shared" si="210"/>
        <v>#N/A</v>
      </c>
      <c r="Q2066" t="e">
        <f t="shared" si="211"/>
        <v>#N/A</v>
      </c>
      <c r="U2066">
        <f>C2066/Navio!$J$4</f>
        <v>23.777817258096896</v>
      </c>
    </row>
    <row r="2067" spans="1:21" x14ac:dyDescent="0.3">
      <c r="A2067">
        <v>2065</v>
      </c>
      <c r="B2067" s="47">
        <v>509.45904111487209</v>
      </c>
      <c r="C2067" s="46">
        <v>434.53126678539945</v>
      </c>
      <c r="D2067" s="1">
        <v>76</v>
      </c>
      <c r="E2067" s="1">
        <v>77</v>
      </c>
      <c r="F2067" s="1">
        <v>72</v>
      </c>
      <c r="G2067" s="1" t="s">
        <v>50</v>
      </c>
      <c r="H2067" s="1" t="s">
        <v>50</v>
      </c>
      <c r="I2067" s="1" t="s">
        <v>50</v>
      </c>
      <c r="J2067" s="1" t="s">
        <v>50</v>
      </c>
      <c r="K2067" s="1" t="s">
        <v>50</v>
      </c>
      <c r="L2067">
        <f t="shared" si="207"/>
        <v>473.00623656700782</v>
      </c>
      <c r="M2067">
        <f t="shared" si="206"/>
        <v>215.29992769227658</v>
      </c>
      <c r="N2067">
        <f t="shared" si="208"/>
        <v>172.96798541727486</v>
      </c>
      <c r="O2067" t="e">
        <f t="shared" si="209"/>
        <v>#N/A</v>
      </c>
      <c r="P2067" t="e">
        <f t="shared" si="210"/>
        <v>#N/A</v>
      </c>
      <c r="Q2067" t="e">
        <f t="shared" si="211"/>
        <v>#N/A</v>
      </c>
      <c r="U2067">
        <f>C2067/Navio!$J$4</f>
        <v>23.462831651765974</v>
      </c>
    </row>
    <row r="2068" spans="1:21" x14ac:dyDescent="0.3">
      <c r="A2068">
        <v>2066</v>
      </c>
      <c r="B2068" s="47">
        <v>530.66223170609942</v>
      </c>
      <c r="C2068" s="46">
        <v>443.61633541929166</v>
      </c>
      <c r="D2068" s="1">
        <v>78</v>
      </c>
      <c r="E2068" s="1">
        <v>76</v>
      </c>
      <c r="F2068" s="1">
        <v>72</v>
      </c>
      <c r="G2068" s="1" t="s">
        <v>50</v>
      </c>
      <c r="H2068" s="1" t="s">
        <v>50</v>
      </c>
      <c r="I2068" s="1" t="s">
        <v>50</v>
      </c>
      <c r="J2068" s="1" t="s">
        <v>50</v>
      </c>
      <c r="K2068" s="1" t="s">
        <v>50</v>
      </c>
      <c r="L2068">
        <f t="shared" si="207"/>
        <v>473.00623656700782</v>
      </c>
      <c r="M2068">
        <f t="shared" si="206"/>
        <v>473.00623656700782</v>
      </c>
      <c r="N2068">
        <f t="shared" si="208"/>
        <v>172.96798541727486</v>
      </c>
      <c r="O2068" t="e">
        <f t="shared" si="209"/>
        <v>#N/A</v>
      </c>
      <c r="P2068" t="e">
        <f t="shared" si="210"/>
        <v>#N/A</v>
      </c>
      <c r="Q2068" t="e">
        <f t="shared" si="211"/>
        <v>#N/A</v>
      </c>
      <c r="U2068">
        <f>C2068/Navio!$J$4</f>
        <v>23.953386537444722</v>
      </c>
    </row>
    <row r="2069" spans="1:21" x14ac:dyDescent="0.3">
      <c r="A2069">
        <v>2067</v>
      </c>
      <c r="B2069" s="47">
        <v>530.66223170609942</v>
      </c>
      <c r="C2069" s="46">
        <v>440.09079285719207</v>
      </c>
      <c r="D2069" s="1">
        <v>79</v>
      </c>
      <c r="E2069" s="1">
        <v>76</v>
      </c>
      <c r="F2069" s="1">
        <v>72</v>
      </c>
      <c r="G2069" s="1" t="s">
        <v>50</v>
      </c>
      <c r="H2069" s="1" t="s">
        <v>50</v>
      </c>
      <c r="I2069" s="1" t="s">
        <v>50</v>
      </c>
      <c r="J2069" s="1" t="s">
        <v>50</v>
      </c>
      <c r="K2069" s="1" t="s">
        <v>50</v>
      </c>
      <c r="L2069">
        <f t="shared" si="207"/>
        <v>473.00623656700782</v>
      </c>
      <c r="M2069">
        <f t="shared" si="206"/>
        <v>473.00623656700782</v>
      </c>
      <c r="N2069">
        <f t="shared" si="208"/>
        <v>172.96798541727486</v>
      </c>
      <c r="O2069" t="e">
        <f t="shared" si="209"/>
        <v>#N/A</v>
      </c>
      <c r="P2069" t="e">
        <f t="shared" si="210"/>
        <v>#N/A</v>
      </c>
      <c r="Q2069" t="e">
        <f t="shared" si="211"/>
        <v>#N/A</v>
      </c>
      <c r="U2069">
        <f>C2069/Navio!$J$4</f>
        <v>23.763022303755342</v>
      </c>
    </row>
    <row r="2070" spans="1:21" x14ac:dyDescent="0.3">
      <c r="A2070">
        <v>2068</v>
      </c>
      <c r="B2070" s="47">
        <v>509.45904111487209</v>
      </c>
      <c r="C2070" s="46">
        <v>446.38035533027278</v>
      </c>
      <c r="D2070" s="1">
        <v>78</v>
      </c>
      <c r="E2070" s="1">
        <v>77</v>
      </c>
      <c r="F2070" s="1">
        <v>72</v>
      </c>
      <c r="G2070" s="1" t="s">
        <v>50</v>
      </c>
      <c r="H2070" s="1" t="s">
        <v>50</v>
      </c>
      <c r="I2070" s="1" t="s">
        <v>50</v>
      </c>
      <c r="J2070" s="1" t="s">
        <v>50</v>
      </c>
      <c r="K2070" s="1" t="s">
        <v>50</v>
      </c>
      <c r="L2070">
        <f t="shared" si="207"/>
        <v>473.00623656700782</v>
      </c>
      <c r="M2070">
        <f t="shared" si="206"/>
        <v>215.29992769227658</v>
      </c>
      <c r="N2070">
        <f t="shared" si="208"/>
        <v>172.96798541727486</v>
      </c>
      <c r="O2070" t="e">
        <f t="shared" si="209"/>
        <v>#N/A</v>
      </c>
      <c r="P2070" t="e">
        <f t="shared" si="210"/>
        <v>#N/A</v>
      </c>
      <c r="Q2070" t="e">
        <f t="shared" si="211"/>
        <v>#N/A</v>
      </c>
      <c r="U2070">
        <f>C2070/Navio!$J$4</f>
        <v>24.102631801964449</v>
      </c>
    </row>
    <row r="2071" spans="1:21" x14ac:dyDescent="0.3">
      <c r="A2071">
        <v>2069</v>
      </c>
      <c r="B2071" s="47">
        <v>509.45904111487209</v>
      </c>
      <c r="C2071" s="46">
        <v>442.07348820517757</v>
      </c>
      <c r="D2071" s="1">
        <v>79</v>
      </c>
      <c r="E2071" s="1">
        <v>77</v>
      </c>
      <c r="F2071" s="1">
        <v>72</v>
      </c>
      <c r="G2071" s="1" t="s">
        <v>50</v>
      </c>
      <c r="H2071" s="1" t="s">
        <v>50</v>
      </c>
      <c r="I2071" s="1" t="s">
        <v>50</v>
      </c>
      <c r="J2071" s="1" t="s">
        <v>50</v>
      </c>
      <c r="K2071" s="1" t="s">
        <v>50</v>
      </c>
      <c r="L2071">
        <f t="shared" si="207"/>
        <v>473.00623656700782</v>
      </c>
      <c r="M2071">
        <f t="shared" si="206"/>
        <v>215.29992769227658</v>
      </c>
      <c r="N2071">
        <f t="shared" si="208"/>
        <v>172.96798541727486</v>
      </c>
      <c r="O2071" t="e">
        <f t="shared" si="209"/>
        <v>#N/A</v>
      </c>
      <c r="P2071" t="e">
        <f t="shared" si="210"/>
        <v>#N/A</v>
      </c>
      <c r="Q2071" t="e">
        <f t="shared" si="211"/>
        <v>#N/A</v>
      </c>
      <c r="U2071">
        <f>C2071/Navio!$J$4</f>
        <v>23.870079380477733</v>
      </c>
    </row>
    <row r="2072" spans="1:21" x14ac:dyDescent="0.3">
      <c r="A2072">
        <v>2070</v>
      </c>
      <c r="B2072" s="47">
        <v>530.66223170609942</v>
      </c>
      <c r="C2072" s="46">
        <v>444.67138488103996</v>
      </c>
      <c r="D2072" s="1">
        <v>78</v>
      </c>
      <c r="E2072" s="1">
        <v>79</v>
      </c>
      <c r="F2072" s="1">
        <v>72</v>
      </c>
      <c r="G2072" s="1" t="s">
        <v>50</v>
      </c>
      <c r="H2072" s="1" t="s">
        <v>50</v>
      </c>
      <c r="I2072" s="1" t="s">
        <v>50</v>
      </c>
      <c r="J2072" s="1" t="s">
        <v>50</v>
      </c>
      <c r="K2072" s="1" t="s">
        <v>50</v>
      </c>
      <c r="L2072">
        <f t="shared" si="207"/>
        <v>473.00623656700782</v>
      </c>
      <c r="M2072">
        <f t="shared" si="206"/>
        <v>473.00623656700782</v>
      </c>
      <c r="N2072">
        <f t="shared" si="208"/>
        <v>172.96798541727486</v>
      </c>
      <c r="O2072" t="e">
        <f t="shared" si="209"/>
        <v>#N/A</v>
      </c>
      <c r="P2072" t="e">
        <f t="shared" si="210"/>
        <v>#N/A</v>
      </c>
      <c r="Q2072" t="e">
        <f t="shared" si="211"/>
        <v>#N/A</v>
      </c>
      <c r="U2072">
        <f>C2072/Navio!$J$4</f>
        <v>24.010354700146607</v>
      </c>
    </row>
    <row r="2073" spans="1:21" x14ac:dyDescent="0.3">
      <c r="A2073">
        <v>2071</v>
      </c>
      <c r="B2073" s="47">
        <v>652.75071637211181</v>
      </c>
      <c r="C2073" s="46">
        <v>427.9262951413026</v>
      </c>
      <c r="D2073" s="1">
        <v>74</v>
      </c>
      <c r="E2073" s="1">
        <v>75</v>
      </c>
      <c r="F2073" s="1">
        <v>73</v>
      </c>
      <c r="G2073" s="1" t="s">
        <v>50</v>
      </c>
      <c r="H2073" s="1" t="s">
        <v>50</v>
      </c>
      <c r="I2073" s="1" t="s">
        <v>50</v>
      </c>
      <c r="J2073" s="1" t="s">
        <v>50</v>
      </c>
      <c r="K2073" s="1" t="s">
        <v>50</v>
      </c>
      <c r="L2073">
        <f t="shared" si="207"/>
        <v>128.33892814918858</v>
      </c>
      <c r="M2073">
        <f t="shared" si="206"/>
        <v>221.36043010799847</v>
      </c>
      <c r="N2073">
        <f t="shared" si="208"/>
        <v>303.05135811492471</v>
      </c>
      <c r="O2073" t="e">
        <f t="shared" si="209"/>
        <v>#N/A</v>
      </c>
      <c r="P2073" t="e">
        <f t="shared" si="210"/>
        <v>#N/A</v>
      </c>
      <c r="Q2073" t="e">
        <f t="shared" si="211"/>
        <v>#N/A</v>
      </c>
      <c r="U2073">
        <f>C2073/Navio!$J$4</f>
        <v>23.106191406067229</v>
      </c>
    </row>
    <row r="2074" spans="1:21" x14ac:dyDescent="0.3">
      <c r="A2074">
        <v>2072</v>
      </c>
      <c r="B2074" s="47">
        <v>667.89340454761714</v>
      </c>
      <c r="C2074" s="46">
        <v>432.98814327880547</v>
      </c>
      <c r="D2074" s="1">
        <v>74</v>
      </c>
      <c r="E2074" s="1">
        <v>76</v>
      </c>
      <c r="F2074" s="1">
        <v>73</v>
      </c>
      <c r="G2074" s="1" t="s">
        <v>50</v>
      </c>
      <c r="H2074" s="1" t="s">
        <v>50</v>
      </c>
      <c r="I2074" s="1" t="s">
        <v>50</v>
      </c>
      <c r="J2074" s="1" t="s">
        <v>50</v>
      </c>
      <c r="K2074" s="1" t="s">
        <v>50</v>
      </c>
      <c r="L2074">
        <f t="shared" si="207"/>
        <v>128.33892814918858</v>
      </c>
      <c r="M2074">
        <f t="shared" si="206"/>
        <v>473.00623656700782</v>
      </c>
      <c r="N2074">
        <f t="shared" si="208"/>
        <v>303.05135811492471</v>
      </c>
      <c r="O2074" t="e">
        <f t="shared" si="209"/>
        <v>#N/A</v>
      </c>
      <c r="P2074" t="e">
        <f t="shared" si="210"/>
        <v>#N/A</v>
      </c>
      <c r="Q2074" t="e">
        <f t="shared" si="211"/>
        <v>#N/A</v>
      </c>
      <c r="U2074">
        <f>C2074/Navio!$J$4</f>
        <v>23.379509576185672</v>
      </c>
    </row>
    <row r="2075" spans="1:21" x14ac:dyDescent="0.3">
      <c r="A2075">
        <v>2073</v>
      </c>
      <c r="B2075" s="47">
        <v>646.69021395638993</v>
      </c>
      <c r="C2075" s="46">
        <v>432.63210840632058</v>
      </c>
      <c r="D2075" s="1">
        <v>74</v>
      </c>
      <c r="E2075" s="1">
        <v>77</v>
      </c>
      <c r="F2075" s="1">
        <v>73</v>
      </c>
      <c r="G2075" s="1" t="s">
        <v>50</v>
      </c>
      <c r="H2075" s="1" t="s">
        <v>50</v>
      </c>
      <c r="I2075" s="1" t="s">
        <v>50</v>
      </c>
      <c r="J2075" s="1" t="s">
        <v>50</v>
      </c>
      <c r="K2075" s="1" t="s">
        <v>50</v>
      </c>
      <c r="L2075">
        <f t="shared" si="207"/>
        <v>128.33892814918858</v>
      </c>
      <c r="M2075">
        <f t="shared" si="206"/>
        <v>215.29992769227658</v>
      </c>
      <c r="N2075">
        <f t="shared" si="208"/>
        <v>303.05135811492471</v>
      </c>
      <c r="O2075" t="e">
        <f t="shared" si="209"/>
        <v>#N/A</v>
      </c>
      <c r="P2075" t="e">
        <f t="shared" si="210"/>
        <v>#N/A</v>
      </c>
      <c r="Q2075" t="e">
        <f t="shared" si="211"/>
        <v>#N/A</v>
      </c>
      <c r="U2075">
        <f>C2075/Navio!$J$4</f>
        <v>23.360285214410581</v>
      </c>
    </row>
    <row r="2076" spans="1:21" x14ac:dyDescent="0.3">
      <c r="A2076">
        <v>2074</v>
      </c>
      <c r="B2076" s="47">
        <v>667.89340454761714</v>
      </c>
      <c r="C2076" s="46">
        <v>445.65737098324507</v>
      </c>
      <c r="D2076" s="1">
        <v>78</v>
      </c>
      <c r="E2076" s="1">
        <v>74</v>
      </c>
      <c r="F2076" s="1">
        <v>73</v>
      </c>
      <c r="G2076" s="1" t="s">
        <v>50</v>
      </c>
      <c r="H2076" s="1" t="s">
        <v>50</v>
      </c>
      <c r="I2076" s="1" t="s">
        <v>50</v>
      </c>
      <c r="J2076" s="1" t="s">
        <v>50</v>
      </c>
      <c r="K2076" s="1" t="s">
        <v>50</v>
      </c>
      <c r="L2076">
        <f t="shared" si="207"/>
        <v>473.00623656700782</v>
      </c>
      <c r="M2076">
        <f t="shared" si="206"/>
        <v>128.33892814918858</v>
      </c>
      <c r="N2076">
        <f t="shared" si="208"/>
        <v>303.05135811492471</v>
      </c>
      <c r="O2076" t="e">
        <f t="shared" si="209"/>
        <v>#N/A</v>
      </c>
      <c r="P2076" t="e">
        <f t="shared" si="210"/>
        <v>#N/A</v>
      </c>
      <c r="Q2076" t="e">
        <f t="shared" si="211"/>
        <v>#N/A</v>
      </c>
      <c r="U2076">
        <f>C2076/Navio!$J$4</f>
        <v>24.063593736541296</v>
      </c>
    </row>
    <row r="2077" spans="1:21" x14ac:dyDescent="0.3">
      <c r="A2077">
        <v>2075</v>
      </c>
      <c r="B2077" s="47">
        <v>667.89340454761714</v>
      </c>
      <c r="C2077" s="46">
        <v>442.17625934357358</v>
      </c>
      <c r="D2077" s="1">
        <v>74</v>
      </c>
      <c r="E2077" s="1">
        <v>79</v>
      </c>
      <c r="F2077" s="1">
        <v>73</v>
      </c>
      <c r="G2077" s="1" t="s">
        <v>50</v>
      </c>
      <c r="H2077" s="1" t="s">
        <v>50</v>
      </c>
      <c r="I2077" s="1" t="s">
        <v>50</v>
      </c>
      <c r="J2077" s="1" t="s">
        <v>50</v>
      </c>
      <c r="K2077" s="1" t="s">
        <v>50</v>
      </c>
      <c r="L2077">
        <f t="shared" si="207"/>
        <v>128.33892814918858</v>
      </c>
      <c r="M2077">
        <f t="shared" si="206"/>
        <v>473.00623656700782</v>
      </c>
      <c r="N2077">
        <f t="shared" si="208"/>
        <v>303.05135811492471</v>
      </c>
      <c r="O2077" t="e">
        <f t="shared" si="209"/>
        <v>#N/A</v>
      </c>
      <c r="P2077" t="e">
        <f t="shared" si="210"/>
        <v>#N/A</v>
      </c>
      <c r="Q2077" t="e">
        <f t="shared" si="211"/>
        <v>#N/A</v>
      </c>
      <c r="U2077">
        <f>C2077/Navio!$J$4</f>
        <v>23.875628582809444</v>
      </c>
    </row>
    <row r="2078" spans="1:21" x14ac:dyDescent="0.3">
      <c r="A2078">
        <v>2076</v>
      </c>
      <c r="B2078" s="47">
        <v>760.91490650642709</v>
      </c>
      <c r="C2078" s="46">
        <v>433.13344017279451</v>
      </c>
      <c r="D2078" s="1">
        <v>75</v>
      </c>
      <c r="E2078" s="1">
        <v>76</v>
      </c>
      <c r="F2078" s="1">
        <v>73</v>
      </c>
      <c r="G2078" s="1" t="s">
        <v>50</v>
      </c>
      <c r="H2078" s="1" t="s">
        <v>50</v>
      </c>
      <c r="I2078" s="1" t="s">
        <v>50</v>
      </c>
      <c r="J2078" s="1" t="s">
        <v>50</v>
      </c>
      <c r="K2078" s="1" t="s">
        <v>50</v>
      </c>
      <c r="L2078">
        <f t="shared" si="207"/>
        <v>221.36043010799847</v>
      </c>
      <c r="M2078">
        <f t="shared" si="206"/>
        <v>473.00623656700782</v>
      </c>
      <c r="N2078">
        <f t="shared" si="208"/>
        <v>303.05135811492471</v>
      </c>
      <c r="O2078" t="e">
        <f t="shared" si="209"/>
        <v>#N/A</v>
      </c>
      <c r="P2078" t="e">
        <f t="shared" si="210"/>
        <v>#N/A</v>
      </c>
      <c r="Q2078" t="e">
        <f t="shared" si="211"/>
        <v>#N/A</v>
      </c>
      <c r="U2078">
        <f>C2078/Navio!$J$4</f>
        <v>23.387354987606603</v>
      </c>
    </row>
    <row r="2079" spans="1:21" x14ac:dyDescent="0.3">
      <c r="A2079">
        <v>2077</v>
      </c>
      <c r="B2079" s="47">
        <v>739.71171591519976</v>
      </c>
      <c r="C2079" s="46">
        <v>432.71282989839324</v>
      </c>
      <c r="D2079" s="1">
        <v>75</v>
      </c>
      <c r="E2079" s="1">
        <v>77</v>
      </c>
      <c r="F2079" s="1">
        <v>73</v>
      </c>
      <c r="G2079" s="1" t="s">
        <v>50</v>
      </c>
      <c r="H2079" s="1" t="s">
        <v>50</v>
      </c>
      <c r="I2079" s="1" t="s">
        <v>50</v>
      </c>
      <c r="J2079" s="1" t="s">
        <v>50</v>
      </c>
      <c r="K2079" s="1" t="s">
        <v>50</v>
      </c>
      <c r="L2079">
        <f t="shared" si="207"/>
        <v>221.36043010799847</v>
      </c>
      <c r="M2079">
        <f t="shared" si="206"/>
        <v>215.29992769227658</v>
      </c>
      <c r="N2079">
        <f t="shared" si="208"/>
        <v>303.05135811492471</v>
      </c>
      <c r="O2079" t="e">
        <f t="shared" si="209"/>
        <v>#N/A</v>
      </c>
      <c r="P2079" t="e">
        <f t="shared" si="210"/>
        <v>#N/A</v>
      </c>
      <c r="Q2079" t="e">
        <f t="shared" si="211"/>
        <v>#N/A</v>
      </c>
      <c r="U2079">
        <f>C2079/Navio!$J$4</f>
        <v>23.364643830059098</v>
      </c>
    </row>
    <row r="2080" spans="1:21" x14ac:dyDescent="0.3">
      <c r="A2080">
        <v>2078</v>
      </c>
      <c r="B2080" s="47">
        <v>760.91490650642709</v>
      </c>
      <c r="C2080" s="46">
        <v>444.92550974591575</v>
      </c>
      <c r="D2080" s="1">
        <v>78</v>
      </c>
      <c r="E2080" s="1">
        <v>75</v>
      </c>
      <c r="F2080" s="1">
        <v>73</v>
      </c>
      <c r="G2080" s="1" t="s">
        <v>50</v>
      </c>
      <c r="H2080" s="1" t="s">
        <v>50</v>
      </c>
      <c r="I2080" s="1" t="s">
        <v>50</v>
      </c>
      <c r="J2080" s="1" t="s">
        <v>50</v>
      </c>
      <c r="K2080" s="1" t="s">
        <v>50</v>
      </c>
      <c r="L2080">
        <f t="shared" si="207"/>
        <v>473.00623656700782</v>
      </c>
      <c r="M2080">
        <f t="shared" si="206"/>
        <v>221.36043010799847</v>
      </c>
      <c r="N2080">
        <f t="shared" si="208"/>
        <v>303.05135811492471</v>
      </c>
      <c r="O2080" t="e">
        <f t="shared" si="209"/>
        <v>#N/A</v>
      </c>
      <c r="P2080" t="e">
        <f t="shared" si="210"/>
        <v>#N/A</v>
      </c>
      <c r="Q2080" t="e">
        <f t="shared" si="211"/>
        <v>#N/A</v>
      </c>
      <c r="U2080">
        <f>C2080/Navio!$J$4</f>
        <v>24.024076356972863</v>
      </c>
    </row>
    <row r="2081" spans="1:21" x14ac:dyDescent="0.3">
      <c r="A2081">
        <v>2079</v>
      </c>
      <c r="B2081" s="47">
        <v>760.91490650642709</v>
      </c>
      <c r="C2081" s="46">
        <v>442.14700689504775</v>
      </c>
      <c r="D2081" s="1">
        <v>79</v>
      </c>
      <c r="E2081" s="1">
        <v>75</v>
      </c>
      <c r="F2081" s="1">
        <v>73</v>
      </c>
      <c r="G2081" s="1" t="s">
        <v>50</v>
      </c>
      <c r="H2081" s="1" t="s">
        <v>50</v>
      </c>
      <c r="I2081" s="1" t="s">
        <v>50</v>
      </c>
      <c r="J2081" s="1" t="s">
        <v>50</v>
      </c>
      <c r="K2081" s="1" t="s">
        <v>50</v>
      </c>
      <c r="L2081">
        <f t="shared" si="207"/>
        <v>473.00623656700782</v>
      </c>
      <c r="M2081">
        <f t="shared" si="206"/>
        <v>221.36043010799847</v>
      </c>
      <c r="N2081">
        <f t="shared" si="208"/>
        <v>303.05135811492471</v>
      </c>
      <c r="O2081" t="e">
        <f t="shared" si="209"/>
        <v>#N/A</v>
      </c>
      <c r="P2081" t="e">
        <f t="shared" si="210"/>
        <v>#N/A</v>
      </c>
      <c r="Q2081" t="e">
        <f t="shared" si="211"/>
        <v>#N/A</v>
      </c>
      <c r="U2081">
        <f>C2081/Navio!$J$4</f>
        <v>23.874049075584932</v>
      </c>
    </row>
    <row r="2082" spans="1:21" x14ac:dyDescent="0.3">
      <c r="A2082">
        <v>2080</v>
      </c>
      <c r="B2082" s="47">
        <v>754.8544040907052</v>
      </c>
      <c r="C2082" s="46">
        <v>435.50880950003909</v>
      </c>
      <c r="D2082" s="1">
        <v>76</v>
      </c>
      <c r="E2082" s="1">
        <v>77</v>
      </c>
      <c r="F2082" s="1">
        <v>73</v>
      </c>
      <c r="G2082" s="1" t="s">
        <v>50</v>
      </c>
      <c r="H2082" s="1" t="s">
        <v>50</v>
      </c>
      <c r="I2082" s="1" t="s">
        <v>50</v>
      </c>
      <c r="J2082" s="1" t="s">
        <v>50</v>
      </c>
      <c r="K2082" s="1" t="s">
        <v>50</v>
      </c>
      <c r="L2082">
        <f t="shared" si="207"/>
        <v>473.00623656700782</v>
      </c>
      <c r="M2082">
        <f t="shared" si="206"/>
        <v>215.29992769227658</v>
      </c>
      <c r="N2082">
        <f t="shared" si="208"/>
        <v>303.05135811492471</v>
      </c>
      <c r="O2082" t="e">
        <f t="shared" si="209"/>
        <v>#N/A</v>
      </c>
      <c r="P2082" t="e">
        <f t="shared" si="210"/>
        <v>#N/A</v>
      </c>
      <c r="Q2082" t="e">
        <f t="shared" si="211"/>
        <v>#N/A</v>
      </c>
      <c r="U2082">
        <f>C2082/Navio!$J$4</f>
        <v>23.515614781310777</v>
      </c>
    </row>
    <row r="2083" spans="1:21" x14ac:dyDescent="0.3">
      <c r="A2083">
        <v>2081</v>
      </c>
      <c r="B2083" s="47">
        <v>776.05759468193253</v>
      </c>
      <c r="C2083" s="46">
        <v>445.2102863480867</v>
      </c>
      <c r="D2083" s="1">
        <v>78</v>
      </c>
      <c r="E2083" s="1">
        <v>76</v>
      </c>
      <c r="F2083" s="1">
        <v>73</v>
      </c>
      <c r="G2083" s="1" t="s">
        <v>50</v>
      </c>
      <c r="H2083" s="1" t="s">
        <v>50</v>
      </c>
      <c r="I2083" s="1" t="s">
        <v>50</v>
      </c>
      <c r="J2083" s="1" t="s">
        <v>50</v>
      </c>
      <c r="K2083" s="1" t="s">
        <v>50</v>
      </c>
      <c r="L2083">
        <f t="shared" si="207"/>
        <v>473.00623656700782</v>
      </c>
      <c r="M2083">
        <f t="shared" si="206"/>
        <v>473.00623656700782</v>
      </c>
      <c r="N2083">
        <f t="shared" si="208"/>
        <v>303.05135811492471</v>
      </c>
      <c r="O2083" t="e">
        <f t="shared" si="209"/>
        <v>#N/A</v>
      </c>
      <c r="P2083" t="e">
        <f t="shared" si="210"/>
        <v>#N/A</v>
      </c>
      <c r="Q2083" t="e">
        <f t="shared" si="211"/>
        <v>#N/A</v>
      </c>
      <c r="U2083">
        <f>C2083/Navio!$J$4</f>
        <v>24.039453076638008</v>
      </c>
    </row>
    <row r="2084" spans="1:21" x14ac:dyDescent="0.3">
      <c r="A2084">
        <v>2082</v>
      </c>
      <c r="B2084" s="47">
        <v>776.05759468193253</v>
      </c>
      <c r="C2084" s="46">
        <v>441.68474378598705</v>
      </c>
      <c r="D2084" s="1">
        <v>79</v>
      </c>
      <c r="E2084" s="1">
        <v>76</v>
      </c>
      <c r="F2084" s="1">
        <v>73</v>
      </c>
      <c r="G2084" s="1" t="s">
        <v>50</v>
      </c>
      <c r="H2084" s="1" t="s">
        <v>50</v>
      </c>
      <c r="I2084" s="1" t="s">
        <v>50</v>
      </c>
      <c r="J2084" s="1" t="s">
        <v>50</v>
      </c>
      <c r="K2084" s="1" t="s">
        <v>50</v>
      </c>
      <c r="L2084">
        <f t="shared" si="207"/>
        <v>473.00623656700782</v>
      </c>
      <c r="M2084">
        <f t="shared" si="206"/>
        <v>473.00623656700782</v>
      </c>
      <c r="N2084">
        <f t="shared" si="208"/>
        <v>303.05135811492471</v>
      </c>
      <c r="O2084" t="e">
        <f t="shared" si="209"/>
        <v>#N/A</v>
      </c>
      <c r="P2084" t="e">
        <f t="shared" si="210"/>
        <v>#N/A</v>
      </c>
      <c r="Q2084" t="e">
        <f t="shared" si="211"/>
        <v>#N/A</v>
      </c>
      <c r="U2084">
        <f>C2084/Navio!$J$4</f>
        <v>23.849088842948625</v>
      </c>
    </row>
    <row r="2085" spans="1:21" x14ac:dyDescent="0.3">
      <c r="A2085">
        <v>2083</v>
      </c>
      <c r="B2085" s="47">
        <v>754.8544040907052</v>
      </c>
      <c r="C2085" s="46">
        <v>447.35789804491236</v>
      </c>
      <c r="D2085" s="1">
        <v>78</v>
      </c>
      <c r="E2085" s="1">
        <v>77</v>
      </c>
      <c r="F2085" s="1">
        <v>73</v>
      </c>
      <c r="G2085" s="1" t="s">
        <v>50</v>
      </c>
      <c r="H2085" s="1" t="s">
        <v>50</v>
      </c>
      <c r="I2085" s="1" t="s">
        <v>50</v>
      </c>
      <c r="J2085" s="1" t="s">
        <v>50</v>
      </c>
      <c r="K2085" s="1" t="s">
        <v>50</v>
      </c>
      <c r="L2085">
        <f t="shared" si="207"/>
        <v>473.00623656700782</v>
      </c>
      <c r="M2085">
        <f t="shared" si="206"/>
        <v>215.29992769227658</v>
      </c>
      <c r="N2085">
        <f t="shared" si="208"/>
        <v>303.05135811492471</v>
      </c>
      <c r="O2085" t="e">
        <f t="shared" si="209"/>
        <v>#N/A</v>
      </c>
      <c r="P2085" t="e">
        <f t="shared" si="210"/>
        <v>#N/A</v>
      </c>
      <c r="Q2085" t="e">
        <f t="shared" si="211"/>
        <v>#N/A</v>
      </c>
      <c r="U2085">
        <f>C2085/Navio!$J$4</f>
        <v>24.155414931509245</v>
      </c>
    </row>
    <row r="2086" spans="1:21" x14ac:dyDescent="0.3">
      <c r="A2086">
        <v>2084</v>
      </c>
      <c r="B2086" s="47">
        <v>754.8544040907052</v>
      </c>
      <c r="C2086" s="46">
        <v>443.05103091981721</v>
      </c>
      <c r="D2086" s="1">
        <v>79</v>
      </c>
      <c r="E2086" s="1">
        <v>77</v>
      </c>
      <c r="F2086" s="1">
        <v>73</v>
      </c>
      <c r="G2086" s="1" t="s">
        <v>50</v>
      </c>
      <c r="H2086" s="1" t="s">
        <v>50</v>
      </c>
      <c r="I2086" s="1" t="s">
        <v>50</v>
      </c>
      <c r="J2086" s="1" t="s">
        <v>50</v>
      </c>
      <c r="K2086" s="1" t="s">
        <v>50</v>
      </c>
      <c r="L2086">
        <f t="shared" si="207"/>
        <v>473.00623656700782</v>
      </c>
      <c r="M2086">
        <f t="shared" si="206"/>
        <v>215.29992769227658</v>
      </c>
      <c r="N2086">
        <f t="shared" si="208"/>
        <v>303.05135811492471</v>
      </c>
      <c r="O2086" t="e">
        <f t="shared" si="209"/>
        <v>#N/A</v>
      </c>
      <c r="P2086" t="e">
        <f t="shared" si="210"/>
        <v>#N/A</v>
      </c>
      <c r="Q2086" t="e">
        <f t="shared" si="211"/>
        <v>#N/A</v>
      </c>
      <c r="U2086">
        <f>C2086/Navio!$J$4</f>
        <v>23.922862510022536</v>
      </c>
    </row>
    <row r="2087" spans="1:21" x14ac:dyDescent="0.3">
      <c r="A2087">
        <v>2085</v>
      </c>
      <c r="B2087" s="47">
        <v>776.05759468193253</v>
      </c>
      <c r="C2087" s="46">
        <v>446.22446319757682</v>
      </c>
      <c r="D2087" s="1">
        <v>78</v>
      </c>
      <c r="E2087" s="1">
        <v>79</v>
      </c>
      <c r="F2087" s="1">
        <v>73</v>
      </c>
      <c r="G2087" s="1" t="s">
        <v>50</v>
      </c>
      <c r="H2087" s="1" t="s">
        <v>50</v>
      </c>
      <c r="I2087" s="1" t="s">
        <v>50</v>
      </c>
      <c r="J2087" s="1" t="s">
        <v>50</v>
      </c>
      <c r="K2087" s="1" t="s">
        <v>50</v>
      </c>
      <c r="L2087">
        <f t="shared" si="207"/>
        <v>473.00623656700782</v>
      </c>
      <c r="M2087">
        <f t="shared" si="206"/>
        <v>473.00623656700782</v>
      </c>
      <c r="N2087">
        <f t="shared" si="208"/>
        <v>303.05135811492471</v>
      </c>
      <c r="O2087" t="e">
        <f t="shared" si="209"/>
        <v>#N/A</v>
      </c>
      <c r="P2087" t="e">
        <f t="shared" si="210"/>
        <v>#N/A</v>
      </c>
      <c r="Q2087" t="e">
        <f t="shared" si="211"/>
        <v>#N/A</v>
      </c>
      <c r="U2087">
        <f>C2087/Navio!$J$4</f>
        <v>24.094214292926861</v>
      </c>
    </row>
    <row r="2088" spans="1:21" x14ac:dyDescent="0.3">
      <c r="A2088">
        <v>2086</v>
      </c>
      <c r="B2088" s="47">
        <v>586.2024765406909</v>
      </c>
      <c r="C2088" s="46">
        <v>425.42640035675612</v>
      </c>
      <c r="D2088" s="1">
        <v>75</v>
      </c>
      <c r="E2088" s="1">
        <v>76</v>
      </c>
      <c r="F2088" s="1">
        <v>74</v>
      </c>
      <c r="G2088" s="1" t="s">
        <v>50</v>
      </c>
      <c r="H2088" s="1" t="s">
        <v>50</v>
      </c>
      <c r="I2088" s="1" t="s">
        <v>50</v>
      </c>
      <c r="J2088" s="1" t="s">
        <v>50</v>
      </c>
      <c r="K2088" s="1" t="s">
        <v>50</v>
      </c>
      <c r="L2088">
        <f t="shared" si="207"/>
        <v>221.36043010799847</v>
      </c>
      <c r="M2088">
        <f t="shared" si="206"/>
        <v>473.00623656700782</v>
      </c>
      <c r="N2088">
        <f t="shared" si="208"/>
        <v>128.33892814918858</v>
      </c>
      <c r="O2088" t="e">
        <f t="shared" si="209"/>
        <v>#N/A</v>
      </c>
      <c r="P2088" t="e">
        <f t="shared" si="210"/>
        <v>#N/A</v>
      </c>
      <c r="Q2088" t="e">
        <f t="shared" si="211"/>
        <v>#N/A</v>
      </c>
      <c r="U2088">
        <f>C2088/Navio!$J$4</f>
        <v>22.97120776976676</v>
      </c>
    </row>
    <row r="2089" spans="1:21" x14ac:dyDescent="0.3">
      <c r="A2089">
        <v>2087</v>
      </c>
      <c r="B2089" s="47">
        <v>564.99928594946368</v>
      </c>
      <c r="C2089" s="46">
        <v>430.11575978094891</v>
      </c>
      <c r="D2089" s="1">
        <v>77</v>
      </c>
      <c r="E2089" s="1">
        <v>75</v>
      </c>
      <c r="F2089" s="1">
        <v>74</v>
      </c>
      <c r="G2089" s="1" t="s">
        <v>50</v>
      </c>
      <c r="H2089" s="1" t="s">
        <v>50</v>
      </c>
      <c r="I2089" s="1" t="s">
        <v>50</v>
      </c>
      <c r="J2089" s="1" t="s">
        <v>50</v>
      </c>
      <c r="K2089" s="1" t="s">
        <v>50</v>
      </c>
      <c r="L2089">
        <f t="shared" si="207"/>
        <v>215.29992769227658</v>
      </c>
      <c r="M2089">
        <f t="shared" si="206"/>
        <v>221.36043010799847</v>
      </c>
      <c r="N2089">
        <f t="shared" si="208"/>
        <v>128.33892814918858</v>
      </c>
      <c r="O2089" t="e">
        <f t="shared" si="209"/>
        <v>#N/A</v>
      </c>
      <c r="P2089" t="e">
        <f t="shared" si="210"/>
        <v>#N/A</v>
      </c>
      <c r="Q2089" t="e">
        <f t="shared" si="211"/>
        <v>#N/A</v>
      </c>
      <c r="U2089">
        <f>C2089/Navio!$J$4</f>
        <v>23.224413141012914</v>
      </c>
    </row>
    <row r="2090" spans="1:21" x14ac:dyDescent="0.3">
      <c r="A2090">
        <v>2088</v>
      </c>
      <c r="B2090" s="47">
        <v>586.2024765406909</v>
      </c>
      <c r="C2090" s="46">
        <v>436.94980764878716</v>
      </c>
      <c r="D2090" s="1">
        <v>78</v>
      </c>
      <c r="E2090" s="1">
        <v>75</v>
      </c>
      <c r="F2090" s="1">
        <v>74</v>
      </c>
      <c r="G2090" s="1" t="s">
        <v>50</v>
      </c>
      <c r="H2090" s="1" t="s">
        <v>50</v>
      </c>
      <c r="I2090" s="1" t="s">
        <v>50</v>
      </c>
      <c r="J2090" s="1" t="s">
        <v>50</v>
      </c>
      <c r="K2090" s="1" t="s">
        <v>50</v>
      </c>
      <c r="L2090">
        <f t="shared" si="207"/>
        <v>473.00623656700782</v>
      </c>
      <c r="M2090">
        <f t="shared" si="206"/>
        <v>221.36043010799847</v>
      </c>
      <c r="N2090">
        <f t="shared" si="208"/>
        <v>128.33892814918858</v>
      </c>
      <c r="O2090" t="e">
        <f t="shared" si="209"/>
        <v>#N/A</v>
      </c>
      <c r="P2090" t="e">
        <f t="shared" si="210"/>
        <v>#N/A</v>
      </c>
      <c r="Q2090" t="e">
        <f t="shared" si="211"/>
        <v>#N/A</v>
      </c>
      <c r="U2090">
        <f>C2090/Navio!$J$4</f>
        <v>23.593422523949648</v>
      </c>
    </row>
    <row r="2091" spans="1:21" x14ac:dyDescent="0.3">
      <c r="A2091">
        <v>2089</v>
      </c>
      <c r="B2091" s="47">
        <v>586.2024765406909</v>
      </c>
      <c r="C2091" s="46">
        <v>434.17130479791911</v>
      </c>
      <c r="D2091" s="1">
        <v>79</v>
      </c>
      <c r="E2091" s="1">
        <v>75</v>
      </c>
      <c r="F2091" s="1">
        <v>74</v>
      </c>
      <c r="G2091" s="1" t="s">
        <v>50</v>
      </c>
      <c r="H2091" s="1" t="s">
        <v>50</v>
      </c>
      <c r="I2091" s="1" t="s">
        <v>50</v>
      </c>
      <c r="J2091" s="1" t="s">
        <v>50</v>
      </c>
      <c r="K2091" s="1" t="s">
        <v>50</v>
      </c>
      <c r="L2091">
        <f t="shared" si="207"/>
        <v>473.00623656700782</v>
      </c>
      <c r="M2091">
        <f t="shared" si="206"/>
        <v>221.36043010799847</v>
      </c>
      <c r="N2091">
        <f t="shared" si="208"/>
        <v>128.33892814918858</v>
      </c>
      <c r="O2091" t="e">
        <f t="shared" si="209"/>
        <v>#N/A</v>
      </c>
      <c r="P2091" t="e">
        <f t="shared" si="210"/>
        <v>#N/A</v>
      </c>
      <c r="Q2091" t="e">
        <f t="shared" si="211"/>
        <v>#N/A</v>
      </c>
      <c r="U2091">
        <f>C2091/Navio!$J$4</f>
        <v>23.443395242561714</v>
      </c>
    </row>
    <row r="2092" spans="1:21" x14ac:dyDescent="0.3">
      <c r="A2092">
        <v>2090</v>
      </c>
      <c r="B2092" s="47">
        <v>580.14197412496901</v>
      </c>
      <c r="C2092" s="46">
        <v>432.66618366601108</v>
      </c>
      <c r="D2092" s="1">
        <v>77</v>
      </c>
      <c r="E2092" s="1">
        <v>76</v>
      </c>
      <c r="F2092" s="1">
        <v>74</v>
      </c>
      <c r="G2092" s="1" t="s">
        <v>50</v>
      </c>
      <c r="H2092" s="1" t="s">
        <v>50</v>
      </c>
      <c r="I2092" s="1" t="s">
        <v>50</v>
      </c>
      <c r="J2092" s="1" t="s">
        <v>50</v>
      </c>
      <c r="K2092" s="1" t="s">
        <v>50</v>
      </c>
      <c r="L2092">
        <f t="shared" si="207"/>
        <v>215.29992769227658</v>
      </c>
      <c r="M2092">
        <f t="shared" si="206"/>
        <v>473.00623656700782</v>
      </c>
      <c r="N2092">
        <f t="shared" si="208"/>
        <v>128.33892814918858</v>
      </c>
      <c r="O2092" t="e">
        <f t="shared" si="209"/>
        <v>#N/A</v>
      </c>
      <c r="P2092" t="e">
        <f t="shared" si="210"/>
        <v>#N/A</v>
      </c>
      <c r="Q2092" t="e">
        <f t="shared" si="211"/>
        <v>#N/A</v>
      </c>
      <c r="U2092">
        <f>C2092/Navio!$J$4</f>
        <v>23.362125132830087</v>
      </c>
    </row>
    <row r="2093" spans="1:21" x14ac:dyDescent="0.3">
      <c r="A2093">
        <v>2091</v>
      </c>
      <c r="B2093" s="47">
        <v>601.34516471619645</v>
      </c>
      <c r="C2093" s="46">
        <v>437.50324653204825</v>
      </c>
      <c r="D2093" s="1">
        <v>78</v>
      </c>
      <c r="E2093" s="1">
        <v>76</v>
      </c>
      <c r="F2093" s="1">
        <v>74</v>
      </c>
      <c r="G2093" s="1" t="s">
        <v>50</v>
      </c>
      <c r="H2093" s="1" t="s">
        <v>50</v>
      </c>
      <c r="I2093" s="1" t="s">
        <v>50</v>
      </c>
      <c r="J2093" s="1" t="s">
        <v>50</v>
      </c>
      <c r="K2093" s="1" t="s">
        <v>50</v>
      </c>
      <c r="L2093">
        <f t="shared" si="207"/>
        <v>473.00623656700782</v>
      </c>
      <c r="M2093">
        <f t="shared" si="206"/>
        <v>473.00623656700782</v>
      </c>
      <c r="N2093">
        <f t="shared" si="208"/>
        <v>128.33892814918858</v>
      </c>
      <c r="O2093" t="e">
        <f t="shared" si="209"/>
        <v>#N/A</v>
      </c>
      <c r="P2093" t="e">
        <f t="shared" si="210"/>
        <v>#N/A</v>
      </c>
      <c r="Q2093" t="e">
        <f t="shared" si="211"/>
        <v>#N/A</v>
      </c>
      <c r="U2093">
        <f>C2093/Navio!$J$4</f>
        <v>23.623305858798162</v>
      </c>
    </row>
    <row r="2094" spans="1:21" x14ac:dyDescent="0.3">
      <c r="A2094">
        <v>2092</v>
      </c>
      <c r="B2094" s="47">
        <v>601.34516471619645</v>
      </c>
      <c r="C2094" s="46">
        <v>433.97770396994872</v>
      </c>
      <c r="D2094" s="1">
        <v>79</v>
      </c>
      <c r="E2094" s="1">
        <v>76</v>
      </c>
      <c r="F2094" s="1">
        <v>74</v>
      </c>
      <c r="G2094" s="1" t="s">
        <v>50</v>
      </c>
      <c r="H2094" s="1" t="s">
        <v>50</v>
      </c>
      <c r="I2094" s="1" t="s">
        <v>50</v>
      </c>
      <c r="J2094" s="1" t="s">
        <v>50</v>
      </c>
      <c r="K2094" s="1" t="s">
        <v>50</v>
      </c>
      <c r="L2094">
        <f t="shared" si="207"/>
        <v>473.00623656700782</v>
      </c>
      <c r="M2094">
        <f t="shared" si="206"/>
        <v>473.00623656700782</v>
      </c>
      <c r="N2094">
        <f t="shared" si="208"/>
        <v>128.33892814918858</v>
      </c>
      <c r="O2094" t="e">
        <f t="shared" si="209"/>
        <v>#N/A</v>
      </c>
      <c r="P2094" t="e">
        <f t="shared" si="210"/>
        <v>#N/A</v>
      </c>
      <c r="Q2094" t="e">
        <f t="shared" si="211"/>
        <v>#N/A</v>
      </c>
      <c r="U2094">
        <f>C2094/Navio!$J$4</f>
        <v>23.432941625108786</v>
      </c>
    </row>
    <row r="2095" spans="1:21" x14ac:dyDescent="0.3">
      <c r="A2095">
        <v>2093</v>
      </c>
      <c r="B2095" s="47">
        <v>580.14197412496901</v>
      </c>
      <c r="C2095" s="46">
        <v>447.31514075425082</v>
      </c>
      <c r="D2095" s="1">
        <v>78</v>
      </c>
      <c r="E2095" s="1">
        <v>77</v>
      </c>
      <c r="F2095" s="1">
        <v>74</v>
      </c>
      <c r="G2095" s="1" t="s">
        <v>50</v>
      </c>
      <c r="H2095" s="1" t="s">
        <v>50</v>
      </c>
      <c r="I2095" s="1" t="s">
        <v>50</v>
      </c>
      <c r="J2095" s="1" t="s">
        <v>50</v>
      </c>
      <c r="K2095" s="1" t="s">
        <v>50</v>
      </c>
      <c r="L2095">
        <f t="shared" si="207"/>
        <v>473.00623656700782</v>
      </c>
      <c r="M2095">
        <f t="shared" si="206"/>
        <v>215.29992769227658</v>
      </c>
      <c r="N2095">
        <f t="shared" si="208"/>
        <v>128.33892814918858</v>
      </c>
      <c r="O2095" t="e">
        <f t="shared" si="209"/>
        <v>#N/A</v>
      </c>
      <c r="P2095" t="e">
        <f t="shared" si="210"/>
        <v>#N/A</v>
      </c>
      <c r="Q2095" t="e">
        <f t="shared" si="211"/>
        <v>#N/A</v>
      </c>
      <c r="U2095">
        <f>C2095/Navio!$J$4</f>
        <v>24.153106220515678</v>
      </c>
    </row>
    <row r="2096" spans="1:21" x14ac:dyDescent="0.3">
      <c r="A2096">
        <v>2094</v>
      </c>
      <c r="B2096" s="47">
        <v>580.14197412496901</v>
      </c>
      <c r="C2096" s="46">
        <v>440.74047387452015</v>
      </c>
      <c r="D2096" s="1">
        <v>77</v>
      </c>
      <c r="E2096" s="1">
        <v>79</v>
      </c>
      <c r="F2096" s="1">
        <v>74</v>
      </c>
      <c r="G2096" s="1" t="s">
        <v>50</v>
      </c>
      <c r="H2096" s="1" t="s">
        <v>50</v>
      </c>
      <c r="I2096" s="1" t="s">
        <v>50</v>
      </c>
      <c r="J2096" s="1" t="s">
        <v>50</v>
      </c>
      <c r="K2096" s="1" t="s">
        <v>50</v>
      </c>
      <c r="L2096">
        <f t="shared" si="207"/>
        <v>215.29992769227658</v>
      </c>
      <c r="M2096">
        <f t="shared" si="206"/>
        <v>473.00623656700782</v>
      </c>
      <c r="N2096">
        <f t="shared" si="208"/>
        <v>128.33892814918858</v>
      </c>
      <c r="O2096" t="e">
        <f t="shared" si="209"/>
        <v>#N/A</v>
      </c>
      <c r="P2096" t="e">
        <f t="shared" si="210"/>
        <v>#N/A</v>
      </c>
      <c r="Q2096" t="e">
        <f t="shared" si="211"/>
        <v>#N/A</v>
      </c>
      <c r="U2096">
        <f>C2096/Navio!$J$4</f>
        <v>23.798102302600267</v>
      </c>
    </row>
    <row r="2097" spans="1:21" x14ac:dyDescent="0.3">
      <c r="A2097">
        <v>2095</v>
      </c>
      <c r="B2097" s="47">
        <v>601.34516471619645</v>
      </c>
      <c r="C2097" s="46">
        <v>437.67457707335575</v>
      </c>
      <c r="D2097" s="1">
        <v>78</v>
      </c>
      <c r="E2097" s="1">
        <v>79</v>
      </c>
      <c r="F2097" s="1">
        <v>74</v>
      </c>
      <c r="G2097" s="1" t="s">
        <v>50</v>
      </c>
      <c r="H2097" s="1" t="s">
        <v>50</v>
      </c>
      <c r="I2097" s="1" t="s">
        <v>50</v>
      </c>
      <c r="J2097" s="1" t="s">
        <v>50</v>
      </c>
      <c r="K2097" s="1" t="s">
        <v>50</v>
      </c>
      <c r="L2097">
        <f t="shared" si="207"/>
        <v>473.00623656700782</v>
      </c>
      <c r="M2097">
        <f t="shared" si="206"/>
        <v>473.00623656700782</v>
      </c>
      <c r="N2097">
        <f t="shared" si="208"/>
        <v>128.33892814918858</v>
      </c>
      <c r="O2097" t="e">
        <f t="shared" si="209"/>
        <v>#N/A</v>
      </c>
      <c r="P2097" t="e">
        <f t="shared" si="210"/>
        <v>#N/A</v>
      </c>
      <c r="Q2097" t="e">
        <f t="shared" si="211"/>
        <v>#N/A</v>
      </c>
      <c r="U2097">
        <f>C2097/Navio!$J$4</f>
        <v>23.632556975932363</v>
      </c>
    </row>
    <row r="2098" spans="1:21" x14ac:dyDescent="0.3">
      <c r="A2098">
        <v>2096</v>
      </c>
      <c r="B2098" s="47">
        <v>673.16347608377896</v>
      </c>
      <c r="C2098" s="46">
        <v>432.81148056000018</v>
      </c>
      <c r="D2098" s="1">
        <v>77</v>
      </c>
      <c r="E2098" s="1">
        <v>76</v>
      </c>
      <c r="F2098" s="1">
        <v>75</v>
      </c>
      <c r="G2098" s="1" t="s">
        <v>50</v>
      </c>
      <c r="H2098" s="1" t="s">
        <v>50</v>
      </c>
      <c r="I2098" s="1" t="s">
        <v>50</v>
      </c>
      <c r="J2098" s="1" t="s">
        <v>50</v>
      </c>
      <c r="K2098" s="1" t="s">
        <v>50</v>
      </c>
      <c r="L2098">
        <f t="shared" si="207"/>
        <v>215.29992769227658</v>
      </c>
      <c r="M2098">
        <f t="shared" si="206"/>
        <v>473.00623656700782</v>
      </c>
      <c r="N2098">
        <f t="shared" si="208"/>
        <v>221.36043010799847</v>
      </c>
      <c r="O2098" t="e">
        <f t="shared" si="209"/>
        <v>#N/A</v>
      </c>
      <c r="P2098" t="e">
        <f t="shared" si="210"/>
        <v>#N/A</v>
      </c>
      <c r="Q2098" t="e">
        <f t="shared" si="211"/>
        <v>#N/A</v>
      </c>
      <c r="U2098">
        <f>C2098/Navio!$J$4</f>
        <v>23.369970544251018</v>
      </c>
    </row>
    <row r="2099" spans="1:21" x14ac:dyDescent="0.3">
      <c r="A2099">
        <v>2097</v>
      </c>
      <c r="B2099" s="47">
        <v>694.36666667500629</v>
      </c>
      <c r="C2099" s="46">
        <v>437.64854342603735</v>
      </c>
      <c r="D2099" s="1">
        <v>78</v>
      </c>
      <c r="E2099" s="1">
        <v>76</v>
      </c>
      <c r="F2099" s="1">
        <v>75</v>
      </c>
      <c r="G2099" s="1" t="s">
        <v>50</v>
      </c>
      <c r="H2099" s="1" t="s">
        <v>50</v>
      </c>
      <c r="I2099" s="1" t="s">
        <v>50</v>
      </c>
      <c r="J2099" s="1" t="s">
        <v>50</v>
      </c>
      <c r="K2099" s="1" t="s">
        <v>50</v>
      </c>
      <c r="L2099">
        <f t="shared" si="207"/>
        <v>473.00623656700782</v>
      </c>
      <c r="M2099">
        <f t="shared" si="206"/>
        <v>473.00623656700782</v>
      </c>
      <c r="N2099">
        <f t="shared" si="208"/>
        <v>221.36043010799847</v>
      </c>
      <c r="O2099" t="e">
        <f t="shared" si="209"/>
        <v>#N/A</v>
      </c>
      <c r="P2099" t="e">
        <f t="shared" si="210"/>
        <v>#N/A</v>
      </c>
      <c r="Q2099" t="e">
        <f t="shared" si="211"/>
        <v>#N/A</v>
      </c>
      <c r="U2099">
        <f>C2099/Navio!$J$4</f>
        <v>23.631151270219096</v>
      </c>
    </row>
    <row r="2100" spans="1:21" x14ac:dyDescent="0.3">
      <c r="A2100">
        <v>2098</v>
      </c>
      <c r="B2100" s="47">
        <v>694.36666667500629</v>
      </c>
      <c r="C2100" s="46">
        <v>434.1230008639377</v>
      </c>
      <c r="D2100" s="1">
        <v>79</v>
      </c>
      <c r="E2100" s="1">
        <v>76</v>
      </c>
      <c r="F2100" s="1">
        <v>75</v>
      </c>
      <c r="G2100" s="1" t="s">
        <v>50</v>
      </c>
      <c r="H2100" s="1" t="s">
        <v>50</v>
      </c>
      <c r="I2100" s="1" t="s">
        <v>50</v>
      </c>
      <c r="J2100" s="1" t="s">
        <v>50</v>
      </c>
      <c r="K2100" s="1" t="s">
        <v>50</v>
      </c>
      <c r="L2100">
        <f t="shared" si="207"/>
        <v>473.00623656700782</v>
      </c>
      <c r="M2100">
        <f t="shared" si="206"/>
        <v>473.00623656700782</v>
      </c>
      <c r="N2100">
        <f t="shared" si="208"/>
        <v>221.36043010799847</v>
      </c>
      <c r="O2100" t="e">
        <f t="shared" si="209"/>
        <v>#N/A</v>
      </c>
      <c r="P2100" t="e">
        <f t="shared" si="210"/>
        <v>#N/A</v>
      </c>
      <c r="Q2100" t="e">
        <f t="shared" si="211"/>
        <v>#N/A</v>
      </c>
      <c r="U2100">
        <f>C2100/Navio!$J$4</f>
        <v>23.440787036529713</v>
      </c>
    </row>
    <row r="2101" spans="1:21" x14ac:dyDescent="0.3">
      <c r="A2101">
        <v>2099</v>
      </c>
      <c r="B2101" s="47">
        <v>673.16347608377896</v>
      </c>
      <c r="C2101" s="46">
        <v>447.11497438556205</v>
      </c>
      <c r="D2101" s="1">
        <v>78</v>
      </c>
      <c r="E2101" s="1">
        <v>75</v>
      </c>
      <c r="F2101" s="1">
        <v>77</v>
      </c>
      <c r="G2101" s="1" t="s">
        <v>50</v>
      </c>
      <c r="H2101" s="1" t="s">
        <v>50</v>
      </c>
      <c r="I2101" s="1" t="s">
        <v>50</v>
      </c>
      <c r="J2101" s="1" t="s">
        <v>50</v>
      </c>
      <c r="K2101" s="1" t="s">
        <v>50</v>
      </c>
      <c r="L2101">
        <f t="shared" si="207"/>
        <v>473.00623656700782</v>
      </c>
      <c r="M2101">
        <f t="shared" si="206"/>
        <v>221.36043010799847</v>
      </c>
      <c r="N2101">
        <f t="shared" si="208"/>
        <v>215.29992769227658</v>
      </c>
      <c r="O2101" t="e">
        <f t="shared" si="209"/>
        <v>#N/A</v>
      </c>
      <c r="P2101" t="e">
        <f t="shared" si="210"/>
        <v>#N/A</v>
      </c>
      <c r="Q2101" t="e">
        <f t="shared" si="211"/>
        <v>#N/A</v>
      </c>
      <c r="U2101">
        <f>C2101/Navio!$J$4</f>
        <v>24.142298091918548</v>
      </c>
    </row>
    <row r="2102" spans="1:21" x14ac:dyDescent="0.3">
      <c r="A2102">
        <v>2100</v>
      </c>
      <c r="B2102" s="47">
        <v>673.16347608377896</v>
      </c>
      <c r="C2102" s="46">
        <v>441.57191852523403</v>
      </c>
      <c r="D2102" s="1">
        <v>77</v>
      </c>
      <c r="E2102" s="1">
        <v>79</v>
      </c>
      <c r="F2102" s="1">
        <v>75</v>
      </c>
      <c r="G2102" s="1" t="s">
        <v>50</v>
      </c>
      <c r="H2102" s="1" t="s">
        <v>50</v>
      </c>
      <c r="I2102" s="1" t="s">
        <v>50</v>
      </c>
      <c r="J2102" s="1" t="s">
        <v>50</v>
      </c>
      <c r="K2102" s="1" t="s">
        <v>50</v>
      </c>
      <c r="L2102">
        <f t="shared" si="207"/>
        <v>215.29992769227658</v>
      </c>
      <c r="M2102">
        <f t="shared" si="206"/>
        <v>473.00623656700782</v>
      </c>
      <c r="N2102">
        <f t="shared" si="208"/>
        <v>221.36043010799847</v>
      </c>
      <c r="O2102" t="e">
        <f t="shared" si="209"/>
        <v>#N/A</v>
      </c>
      <c r="P2102" t="e">
        <f t="shared" si="210"/>
        <v>#N/A</v>
      </c>
      <c r="Q2102" t="e">
        <f t="shared" si="211"/>
        <v>#N/A</v>
      </c>
      <c r="U2102">
        <f>C2102/Navio!$J$4</f>
        <v>23.842996760970959</v>
      </c>
    </row>
    <row r="2103" spans="1:21" x14ac:dyDescent="0.3">
      <c r="A2103">
        <v>2101</v>
      </c>
      <c r="B2103" s="47">
        <v>694.36666667500629</v>
      </c>
      <c r="C2103" s="46">
        <v>438.50602172406963</v>
      </c>
      <c r="D2103" s="1">
        <v>78</v>
      </c>
      <c r="E2103" s="1">
        <v>79</v>
      </c>
      <c r="F2103" s="1">
        <v>75</v>
      </c>
      <c r="G2103" s="1" t="s">
        <v>50</v>
      </c>
      <c r="H2103" s="1" t="s">
        <v>50</v>
      </c>
      <c r="I2103" s="1" t="s">
        <v>50</v>
      </c>
      <c r="J2103" s="1" t="s">
        <v>50</v>
      </c>
      <c r="K2103" s="1" t="s">
        <v>50</v>
      </c>
      <c r="L2103">
        <f t="shared" si="207"/>
        <v>473.00623656700782</v>
      </c>
      <c r="M2103">
        <f t="shared" si="206"/>
        <v>473.00623656700782</v>
      </c>
      <c r="N2103">
        <f t="shared" si="208"/>
        <v>221.36043010799847</v>
      </c>
      <c r="O2103" t="e">
        <f t="shared" si="209"/>
        <v>#N/A</v>
      </c>
      <c r="P2103" t="e">
        <f t="shared" si="210"/>
        <v>#N/A</v>
      </c>
      <c r="Q2103" t="e">
        <f t="shared" si="211"/>
        <v>#N/A</v>
      </c>
      <c r="U2103">
        <f>C2103/Navio!$J$4</f>
        <v>23.677451434303055</v>
      </c>
    </row>
    <row r="2104" spans="1:21" x14ac:dyDescent="0.3">
      <c r="A2104">
        <v>2102</v>
      </c>
      <c r="B2104" s="47">
        <v>688.3061642592844</v>
      </c>
      <c r="C2104" s="46">
        <v>444.88832673529231</v>
      </c>
      <c r="D2104" s="1">
        <v>78</v>
      </c>
      <c r="E2104" s="1">
        <v>76</v>
      </c>
      <c r="F2104" s="1">
        <v>77</v>
      </c>
      <c r="G2104" s="1" t="s">
        <v>50</v>
      </c>
      <c r="H2104" s="1" t="s">
        <v>50</v>
      </c>
      <c r="I2104" s="1" t="s">
        <v>50</v>
      </c>
      <c r="J2104" s="1" t="s">
        <v>50</v>
      </c>
      <c r="K2104" s="1" t="s">
        <v>50</v>
      </c>
      <c r="L2104">
        <f t="shared" si="207"/>
        <v>473.00623656700782</v>
      </c>
      <c r="M2104">
        <f t="shared" si="206"/>
        <v>473.00623656700782</v>
      </c>
      <c r="N2104">
        <f t="shared" si="208"/>
        <v>215.29992769227658</v>
      </c>
      <c r="O2104" t="e">
        <f t="shared" si="209"/>
        <v>#N/A</v>
      </c>
      <c r="P2104" t="e">
        <f t="shared" si="210"/>
        <v>#N/A</v>
      </c>
      <c r="Q2104" t="e">
        <f t="shared" si="211"/>
        <v>#N/A</v>
      </c>
      <c r="U2104">
        <f>C2104/Navio!$J$4</f>
        <v>24.022068633282419</v>
      </c>
    </row>
    <row r="2105" spans="1:21" x14ac:dyDescent="0.3">
      <c r="A2105">
        <v>2103</v>
      </c>
      <c r="B2105" s="47">
        <v>688.3061642592844</v>
      </c>
      <c r="C2105" s="46">
        <v>441.36278417319272</v>
      </c>
      <c r="D2105" s="1">
        <v>79</v>
      </c>
      <c r="E2105" s="1">
        <v>76</v>
      </c>
      <c r="F2105" s="1">
        <v>77</v>
      </c>
      <c r="G2105" s="1" t="s">
        <v>50</v>
      </c>
      <c r="H2105" s="1" t="s">
        <v>50</v>
      </c>
      <c r="I2105" s="1" t="s">
        <v>50</v>
      </c>
      <c r="J2105" s="1" t="s">
        <v>50</v>
      </c>
      <c r="K2105" s="1" t="s">
        <v>50</v>
      </c>
      <c r="L2105">
        <f t="shared" si="207"/>
        <v>473.00623656700782</v>
      </c>
      <c r="M2105">
        <f t="shared" si="206"/>
        <v>473.00623656700782</v>
      </c>
      <c r="N2105">
        <f t="shared" si="208"/>
        <v>215.29992769227658</v>
      </c>
      <c r="O2105" t="e">
        <f t="shared" si="209"/>
        <v>#N/A</v>
      </c>
      <c r="P2105" t="e">
        <f t="shared" si="210"/>
        <v>#N/A</v>
      </c>
      <c r="Q2105" t="e">
        <f t="shared" si="211"/>
        <v>#N/A</v>
      </c>
      <c r="U2105">
        <f>C2105/Navio!$J$4</f>
        <v>23.83170439959304</v>
      </c>
    </row>
    <row r="2106" spans="1:21" x14ac:dyDescent="0.3">
      <c r="A2106">
        <v>2104</v>
      </c>
      <c r="B2106" s="47">
        <v>709.50935485051173</v>
      </c>
      <c r="C2106" s="46">
        <v>438.55797661268275</v>
      </c>
      <c r="D2106" s="1">
        <v>78</v>
      </c>
      <c r="E2106" s="1">
        <v>79</v>
      </c>
      <c r="F2106" s="1">
        <v>76</v>
      </c>
      <c r="G2106" s="1" t="s">
        <v>50</v>
      </c>
      <c r="H2106" s="1" t="s">
        <v>50</v>
      </c>
      <c r="I2106" s="1" t="s">
        <v>50</v>
      </c>
      <c r="J2106" s="1" t="s">
        <v>50</v>
      </c>
      <c r="K2106" s="1" t="s">
        <v>50</v>
      </c>
      <c r="L2106">
        <f t="shared" si="207"/>
        <v>473.00623656700782</v>
      </c>
      <c r="M2106">
        <f t="shared" si="206"/>
        <v>473.00623656700782</v>
      </c>
      <c r="N2106">
        <f t="shared" si="208"/>
        <v>473.00623656700782</v>
      </c>
      <c r="O2106" t="e">
        <f t="shared" si="209"/>
        <v>#N/A</v>
      </c>
      <c r="P2106" t="e">
        <f t="shared" si="210"/>
        <v>#N/A</v>
      </c>
      <c r="Q2106" t="e">
        <f t="shared" si="211"/>
        <v>#N/A</v>
      </c>
      <c r="U2106">
        <f>C2106/Navio!$J$4</f>
        <v>23.680256776284619</v>
      </c>
    </row>
    <row r="2107" spans="1:21" x14ac:dyDescent="0.3">
      <c r="A2107">
        <v>2105</v>
      </c>
      <c r="B2107" s="47">
        <v>688.3061642592844</v>
      </c>
      <c r="C2107" s="46">
        <v>444.78867772852334</v>
      </c>
      <c r="D2107" s="1">
        <v>78</v>
      </c>
      <c r="E2107" s="1">
        <v>79</v>
      </c>
      <c r="F2107" s="1">
        <v>77</v>
      </c>
      <c r="G2107" s="1" t="s">
        <v>50</v>
      </c>
      <c r="H2107" s="1" t="s">
        <v>50</v>
      </c>
      <c r="I2107" s="1" t="s">
        <v>50</v>
      </c>
      <c r="J2107" s="1" t="s">
        <v>50</v>
      </c>
      <c r="K2107" s="1" t="s">
        <v>50</v>
      </c>
      <c r="L2107">
        <f t="shared" si="207"/>
        <v>473.00623656700782</v>
      </c>
      <c r="M2107">
        <f t="shared" si="206"/>
        <v>473.00623656700782</v>
      </c>
      <c r="N2107">
        <f t="shared" si="208"/>
        <v>215.29992769227658</v>
      </c>
      <c r="O2107" t="e">
        <f t="shared" si="209"/>
        <v>#N/A</v>
      </c>
      <c r="P2107" t="e">
        <f t="shared" si="210"/>
        <v>#N/A</v>
      </c>
      <c r="Q2107" t="e">
        <f t="shared" si="211"/>
        <v>#N/A</v>
      </c>
      <c r="U2107">
        <f>C2107/Navio!$J$4</f>
        <v>24.016688012717683</v>
      </c>
    </row>
    <row r="2108" spans="1:21" x14ac:dyDescent="0.3">
      <c r="A2108">
        <v>2106</v>
      </c>
      <c r="B2108" s="47">
        <v>710.40671151120341</v>
      </c>
      <c r="C2108" s="46">
        <v>428.524768514046</v>
      </c>
      <c r="D2108" s="1">
        <v>74</v>
      </c>
      <c r="E2108" s="1">
        <v>75</v>
      </c>
      <c r="F2108" s="1">
        <v>73</v>
      </c>
      <c r="G2108" s="1">
        <v>72</v>
      </c>
      <c r="H2108" s="1" t="s">
        <v>50</v>
      </c>
      <c r="I2108" s="1" t="s">
        <v>50</v>
      </c>
      <c r="J2108" s="1" t="s">
        <v>50</v>
      </c>
      <c r="K2108" s="1" t="s">
        <v>50</v>
      </c>
      <c r="L2108">
        <f t="shared" si="207"/>
        <v>128.33892814918858</v>
      </c>
      <c r="M2108">
        <f t="shared" si="206"/>
        <v>221.36043010799847</v>
      </c>
      <c r="N2108">
        <f t="shared" si="208"/>
        <v>303.05135811492471</v>
      </c>
      <c r="O2108">
        <f t="shared" si="209"/>
        <v>172.96798541727486</v>
      </c>
      <c r="P2108" t="e">
        <f t="shared" si="210"/>
        <v>#N/A</v>
      </c>
      <c r="Q2108" t="e">
        <f t="shared" si="211"/>
        <v>#N/A</v>
      </c>
      <c r="U2108">
        <f>C2108/Navio!$J$4</f>
        <v>23.138506410915149</v>
      </c>
    </row>
    <row r="2109" spans="1:21" x14ac:dyDescent="0.3">
      <c r="A2109">
        <v>2107</v>
      </c>
      <c r="B2109" s="47">
        <v>725.54939968670885</v>
      </c>
      <c r="C2109" s="46">
        <v>433.58661665154887</v>
      </c>
      <c r="D2109" s="1">
        <v>74</v>
      </c>
      <c r="E2109" s="1">
        <v>76</v>
      </c>
      <c r="F2109" s="1">
        <v>73</v>
      </c>
      <c r="G2109" s="1">
        <v>72</v>
      </c>
      <c r="H2109" s="1" t="s">
        <v>50</v>
      </c>
      <c r="I2109" s="1" t="s">
        <v>50</v>
      </c>
      <c r="J2109" s="1" t="s">
        <v>50</v>
      </c>
      <c r="K2109" s="1" t="s">
        <v>50</v>
      </c>
      <c r="L2109">
        <f t="shared" si="207"/>
        <v>128.33892814918858</v>
      </c>
      <c r="M2109">
        <f t="shared" si="206"/>
        <v>473.00623656700782</v>
      </c>
      <c r="N2109">
        <f t="shared" si="208"/>
        <v>303.05135811492471</v>
      </c>
      <c r="O2109">
        <f t="shared" si="209"/>
        <v>172.96798541727486</v>
      </c>
      <c r="P2109" t="e">
        <f t="shared" si="210"/>
        <v>#N/A</v>
      </c>
      <c r="Q2109" t="e">
        <f t="shared" si="211"/>
        <v>#N/A</v>
      </c>
      <c r="U2109">
        <f>C2109/Navio!$J$4</f>
        <v>23.411824581033592</v>
      </c>
    </row>
    <row r="2110" spans="1:21" x14ac:dyDescent="0.3">
      <c r="A2110">
        <v>2108</v>
      </c>
      <c r="B2110" s="47">
        <v>704.34620909548153</v>
      </c>
      <c r="C2110" s="46">
        <v>433.23058177906398</v>
      </c>
      <c r="D2110" s="1">
        <v>74</v>
      </c>
      <c r="E2110" s="1">
        <v>77</v>
      </c>
      <c r="F2110" s="1">
        <v>73</v>
      </c>
      <c r="G2110" s="1">
        <v>72</v>
      </c>
      <c r="H2110" s="1" t="s">
        <v>50</v>
      </c>
      <c r="I2110" s="1" t="s">
        <v>50</v>
      </c>
      <c r="J2110" s="1" t="s">
        <v>50</v>
      </c>
      <c r="K2110" s="1" t="s">
        <v>50</v>
      </c>
      <c r="L2110">
        <f t="shared" si="207"/>
        <v>128.33892814918858</v>
      </c>
      <c r="M2110">
        <f t="shared" si="206"/>
        <v>215.29992769227658</v>
      </c>
      <c r="N2110">
        <f t="shared" si="208"/>
        <v>303.05135811492471</v>
      </c>
      <c r="O2110">
        <f t="shared" si="209"/>
        <v>172.96798541727486</v>
      </c>
      <c r="P2110" t="e">
        <f t="shared" si="210"/>
        <v>#N/A</v>
      </c>
      <c r="Q2110" t="e">
        <f t="shared" si="211"/>
        <v>#N/A</v>
      </c>
      <c r="U2110">
        <f>C2110/Navio!$J$4</f>
        <v>23.392600219258501</v>
      </c>
    </row>
    <row r="2111" spans="1:21" x14ac:dyDescent="0.3">
      <c r="A2111">
        <v>2109</v>
      </c>
      <c r="B2111" s="47">
        <v>725.54939968670885</v>
      </c>
      <c r="C2111" s="46">
        <v>446.25584435598842</v>
      </c>
      <c r="D2111" s="1">
        <v>78</v>
      </c>
      <c r="E2111" s="1">
        <v>74</v>
      </c>
      <c r="F2111" s="1">
        <v>73</v>
      </c>
      <c r="G2111" s="1">
        <v>72</v>
      </c>
      <c r="H2111" s="1" t="s">
        <v>50</v>
      </c>
      <c r="I2111" s="1" t="s">
        <v>50</v>
      </c>
      <c r="J2111" s="1" t="s">
        <v>50</v>
      </c>
      <c r="K2111" s="1" t="s">
        <v>50</v>
      </c>
      <c r="L2111">
        <f t="shared" si="207"/>
        <v>473.00623656700782</v>
      </c>
      <c r="M2111">
        <f t="shared" si="206"/>
        <v>128.33892814918858</v>
      </c>
      <c r="N2111">
        <f t="shared" si="208"/>
        <v>303.05135811492471</v>
      </c>
      <c r="O2111">
        <f t="shared" si="209"/>
        <v>172.96798541727486</v>
      </c>
      <c r="P2111" t="e">
        <f t="shared" si="210"/>
        <v>#N/A</v>
      </c>
      <c r="Q2111" t="e">
        <f t="shared" si="211"/>
        <v>#N/A</v>
      </c>
      <c r="U2111">
        <f>C2111/Navio!$J$4</f>
        <v>24.095908741389216</v>
      </c>
    </row>
    <row r="2112" spans="1:21" x14ac:dyDescent="0.3">
      <c r="A2112">
        <v>2110</v>
      </c>
      <c r="B2112" s="47">
        <v>725.54939968670885</v>
      </c>
      <c r="C2112" s="46">
        <v>442.77473271631698</v>
      </c>
      <c r="D2112" s="1">
        <v>74</v>
      </c>
      <c r="E2112" s="1">
        <v>79</v>
      </c>
      <c r="F2112" s="1">
        <v>73</v>
      </c>
      <c r="G2112" s="1">
        <v>72</v>
      </c>
      <c r="H2112" s="1" t="s">
        <v>50</v>
      </c>
      <c r="I2112" s="1" t="s">
        <v>50</v>
      </c>
      <c r="J2112" s="1" t="s">
        <v>50</v>
      </c>
      <c r="K2112" s="1" t="s">
        <v>50</v>
      </c>
      <c r="L2112">
        <f t="shared" si="207"/>
        <v>128.33892814918858</v>
      </c>
      <c r="M2112">
        <f t="shared" si="206"/>
        <v>473.00623656700782</v>
      </c>
      <c r="N2112">
        <f t="shared" si="208"/>
        <v>303.05135811492471</v>
      </c>
      <c r="O2112">
        <f t="shared" si="209"/>
        <v>172.96798541727486</v>
      </c>
      <c r="P2112" t="e">
        <f t="shared" si="210"/>
        <v>#N/A</v>
      </c>
      <c r="Q2112" t="e">
        <f t="shared" si="211"/>
        <v>#N/A</v>
      </c>
      <c r="U2112">
        <f>C2112/Navio!$J$4</f>
        <v>23.907943587657364</v>
      </c>
    </row>
    <row r="2113" spans="1:21" x14ac:dyDescent="0.3">
      <c r="A2113">
        <v>2111</v>
      </c>
      <c r="B2113" s="47">
        <v>818.57090164551869</v>
      </c>
      <c r="C2113" s="46">
        <v>433.73191354553791</v>
      </c>
      <c r="D2113" s="1">
        <v>75</v>
      </c>
      <c r="E2113" s="1">
        <v>76</v>
      </c>
      <c r="F2113" s="1">
        <v>73</v>
      </c>
      <c r="G2113" s="1">
        <v>72</v>
      </c>
      <c r="H2113" s="1" t="s">
        <v>50</v>
      </c>
      <c r="I2113" s="1" t="s">
        <v>50</v>
      </c>
      <c r="J2113" s="1" t="s">
        <v>50</v>
      </c>
      <c r="K2113" s="1" t="s">
        <v>50</v>
      </c>
      <c r="L2113">
        <f t="shared" si="207"/>
        <v>221.36043010799847</v>
      </c>
      <c r="M2113">
        <f t="shared" si="206"/>
        <v>473.00623656700782</v>
      </c>
      <c r="N2113">
        <f t="shared" si="208"/>
        <v>303.05135811492471</v>
      </c>
      <c r="O2113">
        <f t="shared" si="209"/>
        <v>172.96798541727486</v>
      </c>
      <c r="P2113" t="e">
        <f t="shared" si="210"/>
        <v>#N/A</v>
      </c>
      <c r="Q2113" t="e">
        <f t="shared" si="211"/>
        <v>#N/A</v>
      </c>
      <c r="U2113">
        <f>C2113/Navio!$J$4</f>
        <v>23.419669992454523</v>
      </c>
    </row>
    <row r="2114" spans="1:21" x14ac:dyDescent="0.3">
      <c r="A2114">
        <v>2112</v>
      </c>
      <c r="B2114" s="47">
        <v>797.36771105429136</v>
      </c>
      <c r="C2114" s="46">
        <v>433.31130327113664</v>
      </c>
      <c r="D2114" s="1">
        <v>75</v>
      </c>
      <c r="E2114" s="1">
        <v>77</v>
      </c>
      <c r="F2114" s="1">
        <v>73</v>
      </c>
      <c r="G2114" s="1">
        <v>72</v>
      </c>
      <c r="H2114" s="1" t="s">
        <v>50</v>
      </c>
      <c r="I2114" s="1" t="s">
        <v>50</v>
      </c>
      <c r="J2114" s="1" t="s">
        <v>50</v>
      </c>
      <c r="K2114" s="1" t="s">
        <v>50</v>
      </c>
      <c r="L2114">
        <f t="shared" si="207"/>
        <v>221.36043010799847</v>
      </c>
      <c r="M2114">
        <f t="shared" si="206"/>
        <v>215.29992769227658</v>
      </c>
      <c r="N2114">
        <f t="shared" si="208"/>
        <v>303.05135811492471</v>
      </c>
      <c r="O2114">
        <f t="shared" si="209"/>
        <v>172.96798541727486</v>
      </c>
      <c r="P2114" t="e">
        <f t="shared" si="210"/>
        <v>#N/A</v>
      </c>
      <c r="Q2114" t="e">
        <f t="shared" si="211"/>
        <v>#N/A</v>
      </c>
      <c r="U2114">
        <f>C2114/Navio!$J$4</f>
        <v>23.396958834907018</v>
      </c>
    </row>
    <row r="2115" spans="1:21" x14ac:dyDescent="0.3">
      <c r="A2115">
        <v>2113</v>
      </c>
      <c r="B2115" s="47">
        <v>818.57090164551869</v>
      </c>
      <c r="C2115" s="46">
        <v>445.52398311865915</v>
      </c>
      <c r="D2115" s="1">
        <v>78</v>
      </c>
      <c r="E2115" s="1">
        <v>75</v>
      </c>
      <c r="F2115" s="1">
        <v>73</v>
      </c>
      <c r="G2115" s="1">
        <v>72</v>
      </c>
      <c r="H2115" s="1" t="s">
        <v>50</v>
      </c>
      <c r="I2115" s="1" t="s">
        <v>50</v>
      </c>
      <c r="J2115" s="1" t="s">
        <v>50</v>
      </c>
      <c r="K2115" s="1" t="s">
        <v>50</v>
      </c>
      <c r="L2115">
        <f t="shared" si="207"/>
        <v>473.00623656700782</v>
      </c>
      <c r="M2115">
        <f t="shared" ref="M2115:M2169" si="212">VLOOKUP(E2115,$Y$2:$Z$80,2)</f>
        <v>221.36043010799847</v>
      </c>
      <c r="N2115">
        <f t="shared" si="208"/>
        <v>303.05135811492471</v>
      </c>
      <c r="O2115">
        <f t="shared" si="209"/>
        <v>172.96798541727486</v>
      </c>
      <c r="P2115" t="e">
        <f t="shared" si="210"/>
        <v>#N/A</v>
      </c>
      <c r="Q2115" t="e">
        <f t="shared" si="211"/>
        <v>#N/A</v>
      </c>
      <c r="U2115">
        <f>C2115/Navio!$J$4</f>
        <v>24.056391361820783</v>
      </c>
    </row>
    <row r="2116" spans="1:21" x14ac:dyDescent="0.3">
      <c r="A2116">
        <v>2114</v>
      </c>
      <c r="B2116" s="47">
        <v>818.57090164551869</v>
      </c>
      <c r="C2116" s="46">
        <v>442.74548026779109</v>
      </c>
      <c r="D2116" s="1">
        <v>79</v>
      </c>
      <c r="E2116" s="1">
        <v>75</v>
      </c>
      <c r="F2116" s="1">
        <v>73</v>
      </c>
      <c r="G2116" s="1">
        <v>72</v>
      </c>
      <c r="H2116" s="1" t="s">
        <v>50</v>
      </c>
      <c r="I2116" s="1" t="s">
        <v>50</v>
      </c>
      <c r="J2116" s="1" t="s">
        <v>50</v>
      </c>
      <c r="K2116" s="1" t="s">
        <v>50</v>
      </c>
      <c r="L2116">
        <f t="shared" si="207"/>
        <v>473.00623656700782</v>
      </c>
      <c r="M2116">
        <f t="shared" si="212"/>
        <v>221.36043010799847</v>
      </c>
      <c r="N2116">
        <f t="shared" si="208"/>
        <v>303.05135811492471</v>
      </c>
      <c r="O2116">
        <f t="shared" si="209"/>
        <v>172.96798541727486</v>
      </c>
      <c r="P2116" t="e">
        <f t="shared" si="210"/>
        <v>#N/A</v>
      </c>
      <c r="Q2116" t="e">
        <f t="shared" si="211"/>
        <v>#N/A</v>
      </c>
      <c r="U2116">
        <f>C2116/Navio!$J$4</f>
        <v>23.906364080432848</v>
      </c>
    </row>
    <row r="2117" spans="1:21" x14ac:dyDescent="0.3">
      <c r="A2117">
        <v>2115</v>
      </c>
      <c r="B2117" s="47">
        <v>812.5103992297968</v>
      </c>
      <c r="C2117" s="46">
        <v>436.10728287278243</v>
      </c>
      <c r="D2117" s="1">
        <v>76</v>
      </c>
      <c r="E2117" s="1">
        <v>77</v>
      </c>
      <c r="F2117" s="1">
        <v>73</v>
      </c>
      <c r="G2117" s="1">
        <v>72</v>
      </c>
      <c r="H2117" s="1" t="s">
        <v>50</v>
      </c>
      <c r="I2117" s="1" t="s">
        <v>50</v>
      </c>
      <c r="J2117" s="1" t="s">
        <v>50</v>
      </c>
      <c r="K2117" s="1" t="s">
        <v>50</v>
      </c>
      <c r="L2117">
        <f t="shared" si="207"/>
        <v>473.00623656700782</v>
      </c>
      <c r="M2117">
        <f t="shared" si="212"/>
        <v>215.29992769227658</v>
      </c>
      <c r="N2117">
        <f t="shared" si="208"/>
        <v>303.05135811492471</v>
      </c>
      <c r="O2117">
        <f t="shared" si="209"/>
        <v>172.96798541727486</v>
      </c>
      <c r="P2117" t="e">
        <f t="shared" si="210"/>
        <v>#N/A</v>
      </c>
      <c r="Q2117" t="e">
        <f t="shared" si="211"/>
        <v>#N/A</v>
      </c>
      <c r="U2117">
        <f>C2117/Navio!$J$4</f>
        <v>23.547929786158694</v>
      </c>
    </row>
    <row r="2118" spans="1:21" x14ac:dyDescent="0.3">
      <c r="A2118">
        <v>2116</v>
      </c>
      <c r="B2118" s="47">
        <v>833.71358982102413</v>
      </c>
      <c r="C2118" s="46">
        <v>445.80875972083004</v>
      </c>
      <c r="D2118" s="1">
        <v>78</v>
      </c>
      <c r="E2118" s="1">
        <v>76</v>
      </c>
      <c r="F2118" s="1">
        <v>73</v>
      </c>
      <c r="G2118" s="1">
        <v>72</v>
      </c>
      <c r="H2118" s="1" t="s">
        <v>50</v>
      </c>
      <c r="I2118" s="1" t="s">
        <v>50</v>
      </c>
      <c r="J2118" s="1" t="s">
        <v>50</v>
      </c>
      <c r="K2118" s="1" t="s">
        <v>50</v>
      </c>
      <c r="L2118">
        <f t="shared" si="207"/>
        <v>473.00623656700782</v>
      </c>
      <c r="M2118">
        <f t="shared" si="212"/>
        <v>473.00623656700782</v>
      </c>
      <c r="N2118">
        <f t="shared" si="208"/>
        <v>303.05135811492471</v>
      </c>
      <c r="O2118">
        <f t="shared" si="209"/>
        <v>172.96798541727486</v>
      </c>
      <c r="P2118" t="e">
        <f t="shared" si="210"/>
        <v>#N/A</v>
      </c>
      <c r="Q2118" t="e">
        <f t="shared" si="211"/>
        <v>#N/A</v>
      </c>
      <c r="U2118">
        <f>C2118/Navio!$J$4</f>
        <v>24.071768081485924</v>
      </c>
    </row>
    <row r="2119" spans="1:21" x14ac:dyDescent="0.3">
      <c r="A2119">
        <v>2117</v>
      </c>
      <c r="B2119" s="47">
        <v>833.71358982102413</v>
      </c>
      <c r="C2119" s="46">
        <v>442.28321715873051</v>
      </c>
      <c r="D2119" s="1">
        <v>79</v>
      </c>
      <c r="E2119" s="1">
        <v>76</v>
      </c>
      <c r="F2119" s="1">
        <v>73</v>
      </c>
      <c r="G2119" s="1">
        <v>72</v>
      </c>
      <c r="H2119" s="1" t="s">
        <v>50</v>
      </c>
      <c r="I2119" s="1" t="s">
        <v>50</v>
      </c>
      <c r="J2119" s="1" t="s">
        <v>50</v>
      </c>
      <c r="K2119" s="1" t="s">
        <v>50</v>
      </c>
      <c r="L2119">
        <f t="shared" si="207"/>
        <v>473.00623656700782</v>
      </c>
      <c r="M2119">
        <f t="shared" si="212"/>
        <v>473.00623656700782</v>
      </c>
      <c r="N2119">
        <f t="shared" si="208"/>
        <v>303.05135811492471</v>
      </c>
      <c r="O2119">
        <f t="shared" si="209"/>
        <v>172.96798541727486</v>
      </c>
      <c r="P2119" t="e">
        <f t="shared" si="210"/>
        <v>#N/A</v>
      </c>
      <c r="Q2119" t="e">
        <f t="shared" si="211"/>
        <v>#N/A</v>
      </c>
      <c r="U2119">
        <f>C2119/Navio!$J$4</f>
        <v>23.881403847796548</v>
      </c>
    </row>
    <row r="2120" spans="1:21" x14ac:dyDescent="0.3">
      <c r="A2120">
        <v>2118</v>
      </c>
      <c r="B2120" s="47">
        <v>812.5103992297968</v>
      </c>
      <c r="C2120" s="46">
        <v>447.95637141765576</v>
      </c>
      <c r="D2120" s="1">
        <v>78</v>
      </c>
      <c r="E2120" s="1">
        <v>77</v>
      </c>
      <c r="F2120" s="1">
        <v>73</v>
      </c>
      <c r="G2120" s="1">
        <v>72</v>
      </c>
      <c r="H2120" s="1" t="s">
        <v>50</v>
      </c>
      <c r="I2120" s="1" t="s">
        <v>50</v>
      </c>
      <c r="J2120" s="1" t="s">
        <v>50</v>
      </c>
      <c r="K2120" s="1" t="s">
        <v>50</v>
      </c>
      <c r="L2120">
        <f t="shared" si="207"/>
        <v>473.00623656700782</v>
      </c>
      <c r="M2120">
        <f t="shared" si="212"/>
        <v>215.29992769227658</v>
      </c>
      <c r="N2120">
        <f t="shared" si="208"/>
        <v>303.05135811492471</v>
      </c>
      <c r="O2120">
        <f t="shared" si="209"/>
        <v>172.96798541727486</v>
      </c>
      <c r="P2120" t="e">
        <f t="shared" si="210"/>
        <v>#N/A</v>
      </c>
      <c r="Q2120" t="e">
        <f t="shared" si="211"/>
        <v>#N/A</v>
      </c>
      <c r="U2120">
        <f>C2120/Navio!$J$4</f>
        <v>24.187729936357165</v>
      </c>
    </row>
    <row r="2121" spans="1:21" x14ac:dyDescent="0.3">
      <c r="A2121">
        <v>2119</v>
      </c>
      <c r="B2121" s="47">
        <v>812.5103992297968</v>
      </c>
      <c r="C2121" s="46">
        <v>443.64950429256061</v>
      </c>
      <c r="D2121" s="1">
        <v>79</v>
      </c>
      <c r="E2121" s="1">
        <v>77</v>
      </c>
      <c r="F2121" s="1">
        <v>73</v>
      </c>
      <c r="G2121" s="1">
        <v>72</v>
      </c>
      <c r="H2121" s="1" t="s">
        <v>50</v>
      </c>
      <c r="I2121" s="1" t="s">
        <v>50</v>
      </c>
      <c r="J2121" s="1" t="s">
        <v>50</v>
      </c>
      <c r="K2121" s="1" t="s">
        <v>50</v>
      </c>
      <c r="L2121">
        <f t="shared" si="207"/>
        <v>473.00623656700782</v>
      </c>
      <c r="M2121">
        <f t="shared" si="212"/>
        <v>215.29992769227658</v>
      </c>
      <c r="N2121">
        <f t="shared" si="208"/>
        <v>303.05135811492471</v>
      </c>
      <c r="O2121">
        <f t="shared" si="209"/>
        <v>172.96798541727486</v>
      </c>
      <c r="P2121" t="e">
        <f t="shared" si="210"/>
        <v>#N/A</v>
      </c>
      <c r="Q2121" t="e">
        <f t="shared" si="211"/>
        <v>#N/A</v>
      </c>
      <c r="U2121">
        <f>C2121/Navio!$J$4</f>
        <v>23.955177514870456</v>
      </c>
    </row>
    <row r="2122" spans="1:21" x14ac:dyDescent="0.3">
      <c r="A2122">
        <v>2120</v>
      </c>
      <c r="B2122" s="47">
        <v>833.71358982102413</v>
      </c>
      <c r="C2122" s="46">
        <v>446.82293657032017</v>
      </c>
      <c r="D2122" s="1">
        <v>78</v>
      </c>
      <c r="E2122" s="1">
        <v>79</v>
      </c>
      <c r="F2122" s="1">
        <v>73</v>
      </c>
      <c r="G2122" s="1">
        <v>72</v>
      </c>
      <c r="H2122" s="1" t="s">
        <v>50</v>
      </c>
      <c r="I2122" s="1" t="s">
        <v>50</v>
      </c>
      <c r="J2122" s="1" t="s">
        <v>50</v>
      </c>
      <c r="K2122" s="1" t="s">
        <v>50</v>
      </c>
      <c r="L2122">
        <f t="shared" si="207"/>
        <v>473.00623656700782</v>
      </c>
      <c r="M2122">
        <f t="shared" si="212"/>
        <v>473.00623656700782</v>
      </c>
      <c r="N2122">
        <f t="shared" si="208"/>
        <v>303.05135811492471</v>
      </c>
      <c r="O2122">
        <f t="shared" si="209"/>
        <v>172.96798541727486</v>
      </c>
      <c r="P2122" t="e">
        <f t="shared" si="210"/>
        <v>#N/A</v>
      </c>
      <c r="Q2122" t="e">
        <f t="shared" si="211"/>
        <v>#N/A</v>
      </c>
      <c r="U2122">
        <f>C2122/Navio!$J$4</f>
        <v>24.126529297774781</v>
      </c>
    </row>
    <row r="2123" spans="1:21" x14ac:dyDescent="0.3">
      <c r="A2123">
        <v>2121</v>
      </c>
      <c r="B2123" s="47">
        <v>643.85847167978261</v>
      </c>
      <c r="C2123" s="46">
        <v>431.79113649468974</v>
      </c>
      <c r="D2123" s="1">
        <v>74</v>
      </c>
      <c r="E2123" s="1">
        <v>75</v>
      </c>
      <c r="F2123" s="1">
        <v>76</v>
      </c>
      <c r="G2123" s="1">
        <v>72</v>
      </c>
      <c r="H2123" s="1" t="s">
        <v>50</v>
      </c>
      <c r="I2123" s="1" t="s">
        <v>50</v>
      </c>
      <c r="J2123" s="1" t="s">
        <v>50</v>
      </c>
      <c r="K2123" s="1" t="s">
        <v>50</v>
      </c>
      <c r="L2123">
        <f t="shared" si="207"/>
        <v>128.33892814918858</v>
      </c>
      <c r="M2123">
        <f t="shared" si="212"/>
        <v>221.36043010799847</v>
      </c>
      <c r="N2123">
        <f t="shared" si="208"/>
        <v>473.00623656700782</v>
      </c>
      <c r="O2123">
        <f t="shared" si="209"/>
        <v>172.96798541727486</v>
      </c>
      <c r="P2123" t="e">
        <f t="shared" si="210"/>
        <v>#N/A</v>
      </c>
      <c r="Q2123" t="e">
        <f t="shared" si="211"/>
        <v>#N/A</v>
      </c>
      <c r="U2123">
        <f>C2123/Navio!$J$4</f>
        <v>23.314876324660418</v>
      </c>
    </row>
    <row r="2124" spans="1:21" x14ac:dyDescent="0.3">
      <c r="A2124">
        <v>2122</v>
      </c>
      <c r="B2124" s="47">
        <v>622.65528108855528</v>
      </c>
      <c r="C2124" s="46">
        <v>431.98693443444387</v>
      </c>
      <c r="D2124" s="1">
        <v>74</v>
      </c>
      <c r="E2124" s="1">
        <v>75</v>
      </c>
      <c r="F2124" s="1">
        <v>77</v>
      </c>
      <c r="G2124" s="1">
        <v>72</v>
      </c>
      <c r="H2124" s="1" t="s">
        <v>50</v>
      </c>
      <c r="I2124" s="1" t="s">
        <v>50</v>
      </c>
      <c r="J2124" s="1" t="s">
        <v>50</v>
      </c>
      <c r="K2124" s="1" t="s">
        <v>50</v>
      </c>
      <c r="L2124">
        <f t="shared" si="207"/>
        <v>128.33892814918858</v>
      </c>
      <c r="M2124">
        <f t="shared" si="212"/>
        <v>221.36043010799847</v>
      </c>
      <c r="N2124">
        <f t="shared" si="208"/>
        <v>215.29992769227658</v>
      </c>
      <c r="O2124">
        <f t="shared" si="209"/>
        <v>172.96798541727486</v>
      </c>
      <c r="P2124" t="e">
        <f t="shared" si="210"/>
        <v>#N/A</v>
      </c>
      <c r="Q2124" t="e">
        <f t="shared" si="211"/>
        <v>#N/A</v>
      </c>
      <c r="U2124">
        <f>C2124/Navio!$J$4</f>
        <v>23.325448576761396</v>
      </c>
    </row>
    <row r="2125" spans="1:21" x14ac:dyDescent="0.3">
      <c r="A2125">
        <v>2123</v>
      </c>
      <c r="B2125" s="47">
        <v>643.85847167978261</v>
      </c>
      <c r="C2125" s="46">
        <v>445.75726758713995</v>
      </c>
      <c r="D2125" s="1">
        <v>78</v>
      </c>
      <c r="E2125" s="1">
        <v>75</v>
      </c>
      <c r="F2125" s="1">
        <v>74</v>
      </c>
      <c r="G2125" s="1">
        <v>72</v>
      </c>
      <c r="H2125" s="1" t="s">
        <v>50</v>
      </c>
      <c r="I2125" s="1" t="s">
        <v>50</v>
      </c>
      <c r="J2125" s="1" t="s">
        <v>50</v>
      </c>
      <c r="K2125" s="1" t="s">
        <v>50</v>
      </c>
      <c r="L2125">
        <f t="shared" ref="L2125:L2169" si="213">VLOOKUP(D2125,$Y$2:$Z$80,2)</f>
        <v>473.00623656700782</v>
      </c>
      <c r="M2125">
        <f t="shared" si="212"/>
        <v>221.36043010799847</v>
      </c>
      <c r="N2125">
        <f t="shared" ref="N2125:N2169" si="214">VLOOKUP(F2125,$Y$2:$Z$80,2)</f>
        <v>128.33892814918858</v>
      </c>
      <c r="O2125">
        <f t="shared" ref="O2125:O2169" si="215">VLOOKUP(G2125,$Y$2:$Z$80,2)</f>
        <v>172.96798541727486</v>
      </c>
      <c r="P2125" t="e">
        <f t="shared" ref="P2125:P2169" si="216">VLOOKUP(H2125,$Y$2:$Z$80,2)</f>
        <v>#N/A</v>
      </c>
      <c r="Q2125" t="e">
        <f t="shared" ref="Q2125:Q2169" si="217">VLOOKUP(I2125,$Y$2:$Z$80,2)</f>
        <v>#N/A</v>
      </c>
      <c r="U2125">
        <f>C2125/Navio!$J$4</f>
        <v>24.06898772629285</v>
      </c>
    </row>
    <row r="2126" spans="1:21" x14ac:dyDescent="0.3">
      <c r="A2126">
        <v>2124</v>
      </c>
      <c r="B2126" s="47">
        <v>643.85847167978261</v>
      </c>
      <c r="C2126" s="46">
        <v>440.90295549771594</v>
      </c>
      <c r="D2126" s="1">
        <v>74</v>
      </c>
      <c r="E2126" s="1">
        <v>79</v>
      </c>
      <c r="F2126" s="1">
        <v>75</v>
      </c>
      <c r="G2126" s="1">
        <v>72</v>
      </c>
      <c r="H2126" s="1" t="s">
        <v>50</v>
      </c>
      <c r="I2126" s="1" t="s">
        <v>50</v>
      </c>
      <c r="J2126" s="1" t="s">
        <v>50</v>
      </c>
      <c r="K2126" s="1" t="s">
        <v>50</v>
      </c>
      <c r="L2126">
        <f t="shared" si="213"/>
        <v>128.33892814918858</v>
      </c>
      <c r="M2126">
        <f t="shared" si="212"/>
        <v>473.00623656700782</v>
      </c>
      <c r="N2126">
        <f t="shared" si="214"/>
        <v>221.36043010799847</v>
      </c>
      <c r="O2126">
        <f t="shared" si="215"/>
        <v>172.96798541727486</v>
      </c>
      <c r="P2126" t="e">
        <f t="shared" si="216"/>
        <v>#N/A</v>
      </c>
      <c r="Q2126" t="e">
        <f t="shared" si="217"/>
        <v>#N/A</v>
      </c>
      <c r="U2126">
        <f>C2126/Navio!$J$4</f>
        <v>23.806875615967915</v>
      </c>
    </row>
    <row r="2127" spans="1:21" x14ac:dyDescent="0.3">
      <c r="A2127">
        <v>2125</v>
      </c>
      <c r="B2127" s="47">
        <v>637.79796926406073</v>
      </c>
      <c r="C2127" s="46">
        <v>434.5373583195061</v>
      </c>
      <c r="D2127" s="1">
        <v>74</v>
      </c>
      <c r="E2127" s="1">
        <v>76</v>
      </c>
      <c r="F2127" s="1">
        <v>77</v>
      </c>
      <c r="G2127" s="1">
        <v>72</v>
      </c>
      <c r="H2127" s="1" t="s">
        <v>50</v>
      </c>
      <c r="I2127" s="1" t="s">
        <v>50</v>
      </c>
      <c r="J2127" s="1" t="s">
        <v>50</v>
      </c>
      <c r="K2127" s="1" t="s">
        <v>50</v>
      </c>
      <c r="L2127">
        <f t="shared" si="213"/>
        <v>128.33892814918858</v>
      </c>
      <c r="M2127">
        <f t="shared" si="212"/>
        <v>473.00623656700782</v>
      </c>
      <c r="N2127">
        <f t="shared" si="214"/>
        <v>215.29992769227658</v>
      </c>
      <c r="O2127">
        <f t="shared" si="215"/>
        <v>172.96798541727486</v>
      </c>
      <c r="P2127" t="e">
        <f t="shared" si="216"/>
        <v>#N/A</v>
      </c>
      <c r="Q2127" t="e">
        <f t="shared" si="217"/>
        <v>#N/A</v>
      </c>
      <c r="U2127">
        <f>C2127/Navio!$J$4</f>
        <v>23.463160568578573</v>
      </c>
    </row>
    <row r="2128" spans="1:21" x14ac:dyDescent="0.3">
      <c r="A2128">
        <v>2126</v>
      </c>
      <c r="B2128" s="47">
        <v>659.00115985528805</v>
      </c>
      <c r="C2128" s="46">
        <v>446.31070647040104</v>
      </c>
      <c r="D2128" s="1">
        <v>78</v>
      </c>
      <c r="E2128" s="1">
        <v>76</v>
      </c>
      <c r="F2128" s="1">
        <v>74</v>
      </c>
      <c r="G2128" s="1">
        <v>72</v>
      </c>
      <c r="H2128" s="1" t="s">
        <v>50</v>
      </c>
      <c r="I2128" s="1" t="s">
        <v>50</v>
      </c>
      <c r="J2128" s="1" t="s">
        <v>50</v>
      </c>
      <c r="K2128" s="1" t="s">
        <v>50</v>
      </c>
      <c r="L2128">
        <f t="shared" si="213"/>
        <v>473.00623656700782</v>
      </c>
      <c r="M2128">
        <f t="shared" si="212"/>
        <v>473.00623656700782</v>
      </c>
      <c r="N2128">
        <f t="shared" si="214"/>
        <v>128.33892814918858</v>
      </c>
      <c r="O2128">
        <f t="shared" si="215"/>
        <v>172.96798541727486</v>
      </c>
      <c r="P2128" t="e">
        <f t="shared" si="216"/>
        <v>#N/A</v>
      </c>
      <c r="Q2128" t="e">
        <f t="shared" si="217"/>
        <v>#N/A</v>
      </c>
      <c r="U2128">
        <f>C2128/Navio!$J$4</f>
        <v>24.098871061141359</v>
      </c>
    </row>
    <row r="2129" spans="1:21" x14ac:dyDescent="0.3">
      <c r="A2129">
        <v>2127</v>
      </c>
      <c r="B2129" s="47">
        <v>659.00115985528805</v>
      </c>
      <c r="C2129" s="46">
        <v>440.62895318002961</v>
      </c>
      <c r="D2129" s="1">
        <v>74</v>
      </c>
      <c r="E2129" s="1">
        <v>79</v>
      </c>
      <c r="F2129" s="1">
        <v>76</v>
      </c>
      <c r="G2129" s="1">
        <v>72</v>
      </c>
      <c r="H2129" s="1" t="s">
        <v>50</v>
      </c>
      <c r="I2129" s="1" t="s">
        <v>50</v>
      </c>
      <c r="J2129" s="1" t="s">
        <v>50</v>
      </c>
      <c r="K2129" s="1" t="s">
        <v>50</v>
      </c>
      <c r="L2129">
        <f t="shared" si="213"/>
        <v>128.33892814918858</v>
      </c>
      <c r="M2129">
        <f t="shared" si="212"/>
        <v>473.00623656700782</v>
      </c>
      <c r="N2129">
        <f t="shared" si="214"/>
        <v>473.00623656700782</v>
      </c>
      <c r="O2129">
        <f t="shared" si="215"/>
        <v>172.96798541727486</v>
      </c>
      <c r="P2129" t="e">
        <f t="shared" si="216"/>
        <v>#N/A</v>
      </c>
      <c r="Q2129" t="e">
        <f t="shared" si="217"/>
        <v>#N/A</v>
      </c>
      <c r="U2129">
        <f>C2129/Navio!$J$4</f>
        <v>23.792080661626361</v>
      </c>
    </row>
    <row r="2130" spans="1:21" x14ac:dyDescent="0.3">
      <c r="A2130">
        <v>2128</v>
      </c>
      <c r="B2130" s="47">
        <v>637.79796926406073</v>
      </c>
      <c r="C2130" s="46">
        <v>449.58891524382102</v>
      </c>
      <c r="D2130" s="1">
        <v>74</v>
      </c>
      <c r="E2130" s="1">
        <v>78</v>
      </c>
      <c r="F2130" s="1">
        <v>77</v>
      </c>
      <c r="G2130" s="1">
        <v>72</v>
      </c>
      <c r="H2130" s="1" t="s">
        <v>50</v>
      </c>
      <c r="I2130" s="1" t="s">
        <v>50</v>
      </c>
      <c r="J2130" s="1" t="s">
        <v>50</v>
      </c>
      <c r="K2130" s="1" t="s">
        <v>50</v>
      </c>
      <c r="L2130">
        <f t="shared" si="213"/>
        <v>128.33892814918858</v>
      </c>
      <c r="M2130">
        <f t="shared" si="212"/>
        <v>473.00623656700782</v>
      </c>
      <c r="N2130">
        <f t="shared" si="214"/>
        <v>215.29992769227658</v>
      </c>
      <c r="O2130">
        <f t="shared" si="215"/>
        <v>172.96798541727486</v>
      </c>
      <c r="P2130" t="e">
        <f t="shared" si="216"/>
        <v>#N/A</v>
      </c>
      <c r="Q2130" t="e">
        <f t="shared" si="217"/>
        <v>#N/A</v>
      </c>
      <c r="U2130">
        <f>C2130/Navio!$J$4</f>
        <v>24.275880327100769</v>
      </c>
    </row>
    <row r="2131" spans="1:21" x14ac:dyDescent="0.3">
      <c r="A2131">
        <v>2129</v>
      </c>
      <c r="B2131" s="47">
        <v>637.79796926406073</v>
      </c>
      <c r="C2131" s="46">
        <v>442.61164852801511</v>
      </c>
      <c r="D2131" s="1">
        <v>74</v>
      </c>
      <c r="E2131" s="1">
        <v>79</v>
      </c>
      <c r="F2131" s="1">
        <v>77</v>
      </c>
      <c r="G2131" s="1">
        <v>72</v>
      </c>
      <c r="H2131" s="1" t="s">
        <v>50</v>
      </c>
      <c r="I2131" s="1" t="s">
        <v>50</v>
      </c>
      <c r="J2131" s="1" t="s">
        <v>50</v>
      </c>
      <c r="K2131" s="1" t="s">
        <v>50</v>
      </c>
      <c r="L2131">
        <f t="shared" si="213"/>
        <v>128.33892814918858</v>
      </c>
      <c r="M2131">
        <f t="shared" si="212"/>
        <v>473.00623656700782</v>
      </c>
      <c r="N2131">
        <f t="shared" si="214"/>
        <v>215.29992769227658</v>
      </c>
      <c r="O2131">
        <f t="shared" si="215"/>
        <v>172.96798541727486</v>
      </c>
      <c r="P2131" t="e">
        <f t="shared" si="216"/>
        <v>#N/A</v>
      </c>
      <c r="Q2131" t="e">
        <f t="shared" si="217"/>
        <v>#N/A</v>
      </c>
      <c r="U2131">
        <f>C2131/Navio!$J$4</f>
        <v>23.899137738348752</v>
      </c>
    </row>
    <row r="2132" spans="1:21" x14ac:dyDescent="0.3">
      <c r="A2132">
        <v>2130</v>
      </c>
      <c r="B2132" s="47">
        <v>659.00115985528805</v>
      </c>
      <c r="C2132" s="46">
        <v>446.48203701170848</v>
      </c>
      <c r="D2132" s="1">
        <v>78</v>
      </c>
      <c r="E2132" s="1">
        <v>79</v>
      </c>
      <c r="F2132" s="1">
        <v>74</v>
      </c>
      <c r="G2132" s="1">
        <v>72</v>
      </c>
      <c r="H2132" s="1" t="s">
        <v>50</v>
      </c>
      <c r="I2132" s="1" t="s">
        <v>50</v>
      </c>
      <c r="J2132" s="1" t="s">
        <v>50</v>
      </c>
      <c r="K2132" s="1" t="s">
        <v>50</v>
      </c>
      <c r="L2132">
        <f t="shared" si="213"/>
        <v>473.00623656700782</v>
      </c>
      <c r="M2132">
        <f t="shared" si="212"/>
        <v>473.00623656700782</v>
      </c>
      <c r="N2132">
        <f t="shared" si="214"/>
        <v>128.33892814918858</v>
      </c>
      <c r="O2132">
        <f t="shared" si="215"/>
        <v>172.96798541727486</v>
      </c>
      <c r="P2132" t="e">
        <f t="shared" si="216"/>
        <v>#N/A</v>
      </c>
      <c r="Q2132" t="e">
        <f t="shared" si="217"/>
        <v>#N/A</v>
      </c>
      <c r="U2132">
        <f>C2132/Navio!$J$4</f>
        <v>24.108122178275558</v>
      </c>
    </row>
    <row r="2133" spans="1:21" x14ac:dyDescent="0.3">
      <c r="A2133">
        <v>2131</v>
      </c>
      <c r="B2133" s="47">
        <v>730.81947122287056</v>
      </c>
      <c r="C2133" s="46">
        <v>434.68265521349514</v>
      </c>
      <c r="D2133" s="1">
        <v>75</v>
      </c>
      <c r="E2133" s="1">
        <v>76</v>
      </c>
      <c r="F2133" s="1">
        <v>77</v>
      </c>
      <c r="G2133" s="1">
        <v>72</v>
      </c>
      <c r="H2133" s="1" t="s">
        <v>50</v>
      </c>
      <c r="I2133" s="1" t="s">
        <v>50</v>
      </c>
      <c r="J2133" s="1" t="s">
        <v>50</v>
      </c>
      <c r="K2133" s="1" t="s">
        <v>50</v>
      </c>
      <c r="L2133">
        <f t="shared" si="213"/>
        <v>221.36043010799847</v>
      </c>
      <c r="M2133">
        <f t="shared" si="212"/>
        <v>473.00623656700782</v>
      </c>
      <c r="N2133">
        <f t="shared" si="214"/>
        <v>215.29992769227658</v>
      </c>
      <c r="O2133">
        <f t="shared" si="215"/>
        <v>172.96798541727486</v>
      </c>
      <c r="P2133" t="e">
        <f t="shared" si="216"/>
        <v>#N/A</v>
      </c>
      <c r="Q2133" t="e">
        <f t="shared" si="217"/>
        <v>#N/A</v>
      </c>
      <c r="U2133">
        <f>C2133/Navio!$J$4</f>
        <v>23.471005979999504</v>
      </c>
    </row>
    <row r="2134" spans="1:21" x14ac:dyDescent="0.3">
      <c r="A2134">
        <v>2132</v>
      </c>
      <c r="B2134" s="47">
        <v>752.02266181409789</v>
      </c>
      <c r="C2134" s="46">
        <v>444.09368105368685</v>
      </c>
      <c r="D2134" s="1">
        <v>78</v>
      </c>
      <c r="E2134" s="1">
        <v>76</v>
      </c>
      <c r="F2134" s="1">
        <v>75</v>
      </c>
      <c r="G2134" s="1">
        <v>72</v>
      </c>
      <c r="H2134" s="1" t="s">
        <v>50</v>
      </c>
      <c r="I2134" s="1" t="s">
        <v>50</v>
      </c>
      <c r="J2134" s="1" t="s">
        <v>50</v>
      </c>
      <c r="K2134" s="1" t="s">
        <v>50</v>
      </c>
      <c r="L2134">
        <f t="shared" si="213"/>
        <v>473.00623656700782</v>
      </c>
      <c r="M2134">
        <f t="shared" si="212"/>
        <v>473.00623656700782</v>
      </c>
      <c r="N2134">
        <f t="shared" si="214"/>
        <v>221.36043010799847</v>
      </c>
      <c r="O2134">
        <f t="shared" si="215"/>
        <v>172.96798541727486</v>
      </c>
      <c r="P2134" t="e">
        <f t="shared" si="216"/>
        <v>#N/A</v>
      </c>
      <c r="Q2134" t="e">
        <f t="shared" si="217"/>
        <v>#N/A</v>
      </c>
      <c r="U2134">
        <f>C2134/Navio!$J$4</f>
        <v>23.979161162001372</v>
      </c>
    </row>
    <row r="2135" spans="1:21" x14ac:dyDescent="0.3">
      <c r="A2135">
        <v>2133</v>
      </c>
      <c r="B2135" s="47">
        <v>752.02266181409789</v>
      </c>
      <c r="C2135" s="46">
        <v>440.56813849158726</v>
      </c>
      <c r="D2135" s="1">
        <v>79</v>
      </c>
      <c r="E2135" s="1">
        <v>76</v>
      </c>
      <c r="F2135" s="1">
        <v>75</v>
      </c>
      <c r="G2135" s="1">
        <v>72</v>
      </c>
      <c r="H2135" s="1" t="s">
        <v>50</v>
      </c>
      <c r="I2135" s="1" t="s">
        <v>50</v>
      </c>
      <c r="J2135" s="1" t="s">
        <v>50</v>
      </c>
      <c r="K2135" s="1" t="s">
        <v>50</v>
      </c>
      <c r="L2135">
        <f t="shared" si="213"/>
        <v>473.00623656700782</v>
      </c>
      <c r="M2135">
        <f t="shared" si="212"/>
        <v>473.00623656700782</v>
      </c>
      <c r="N2135">
        <f t="shared" si="214"/>
        <v>221.36043010799847</v>
      </c>
      <c r="O2135">
        <f t="shared" si="215"/>
        <v>172.96798541727486</v>
      </c>
      <c r="P2135" t="e">
        <f t="shared" si="216"/>
        <v>#N/A</v>
      </c>
      <c r="Q2135" t="e">
        <f t="shared" si="217"/>
        <v>#N/A</v>
      </c>
      <c r="U2135">
        <f>C2135/Navio!$J$4</f>
        <v>23.788796928311992</v>
      </c>
    </row>
    <row r="2136" spans="1:21" x14ac:dyDescent="0.3">
      <c r="A2136">
        <v>2134</v>
      </c>
      <c r="B2136" s="47">
        <v>730.81947122287056</v>
      </c>
      <c r="C2136" s="46">
        <v>448.98614903905701</v>
      </c>
      <c r="D2136" s="1">
        <v>78</v>
      </c>
      <c r="E2136" s="1">
        <v>75</v>
      </c>
      <c r="F2136" s="1">
        <v>77</v>
      </c>
      <c r="G2136" s="1">
        <v>72</v>
      </c>
      <c r="H2136" s="1" t="s">
        <v>50</v>
      </c>
      <c r="I2136" s="1" t="s">
        <v>50</v>
      </c>
      <c r="J2136" s="1" t="s">
        <v>50</v>
      </c>
      <c r="K2136" s="1" t="s">
        <v>50</v>
      </c>
      <c r="L2136">
        <f t="shared" si="213"/>
        <v>473.00623656700782</v>
      </c>
      <c r="M2136">
        <f t="shared" si="212"/>
        <v>221.36043010799847</v>
      </c>
      <c r="N2136">
        <f t="shared" si="214"/>
        <v>215.29992769227658</v>
      </c>
      <c r="O2136">
        <f t="shared" si="215"/>
        <v>172.96798541727486</v>
      </c>
      <c r="P2136" t="e">
        <f t="shared" si="216"/>
        <v>#N/A</v>
      </c>
      <c r="Q2136" t="e">
        <f t="shared" si="217"/>
        <v>#N/A</v>
      </c>
      <c r="U2136">
        <f>C2136/Navio!$J$4</f>
        <v>24.243333527667033</v>
      </c>
    </row>
    <row r="2137" spans="1:21" x14ac:dyDescent="0.3">
      <c r="A2137">
        <v>2135</v>
      </c>
      <c r="B2137" s="47">
        <v>730.81947122287056</v>
      </c>
      <c r="C2137" s="46">
        <v>443.44309317872899</v>
      </c>
      <c r="D2137" s="1">
        <v>75</v>
      </c>
      <c r="E2137" s="1">
        <v>79</v>
      </c>
      <c r="F2137" s="1">
        <v>77</v>
      </c>
      <c r="G2137" s="1">
        <v>72</v>
      </c>
      <c r="H2137" s="1" t="s">
        <v>50</v>
      </c>
      <c r="I2137" s="1" t="s">
        <v>50</v>
      </c>
      <c r="J2137" s="1" t="s">
        <v>50</v>
      </c>
      <c r="K2137" s="1" t="s">
        <v>50</v>
      </c>
      <c r="L2137">
        <f t="shared" si="213"/>
        <v>221.36043010799847</v>
      </c>
      <c r="M2137">
        <f t="shared" si="212"/>
        <v>473.00623656700782</v>
      </c>
      <c r="N2137">
        <f t="shared" si="214"/>
        <v>215.29992769227658</v>
      </c>
      <c r="O2137">
        <f t="shared" si="215"/>
        <v>172.96798541727486</v>
      </c>
      <c r="P2137" t="e">
        <f t="shared" si="216"/>
        <v>#N/A</v>
      </c>
      <c r="Q2137" t="e">
        <f t="shared" si="217"/>
        <v>#N/A</v>
      </c>
      <c r="U2137">
        <f>C2137/Navio!$J$4</f>
        <v>23.944032196719444</v>
      </c>
    </row>
    <row r="2138" spans="1:21" x14ac:dyDescent="0.3">
      <c r="A2138">
        <v>2136</v>
      </c>
      <c r="B2138" s="47">
        <v>752.02266181409789</v>
      </c>
      <c r="C2138" s="46">
        <v>444.95115935171918</v>
      </c>
      <c r="D2138" s="1">
        <v>78</v>
      </c>
      <c r="E2138" s="1">
        <v>79</v>
      </c>
      <c r="F2138" s="1">
        <v>75</v>
      </c>
      <c r="G2138" s="1">
        <v>72</v>
      </c>
      <c r="H2138" s="1" t="s">
        <v>50</v>
      </c>
      <c r="I2138" s="1" t="s">
        <v>50</v>
      </c>
      <c r="J2138" s="1" t="s">
        <v>50</v>
      </c>
      <c r="K2138" s="1" t="s">
        <v>50</v>
      </c>
      <c r="L2138">
        <f t="shared" si="213"/>
        <v>473.00623656700782</v>
      </c>
      <c r="M2138">
        <f t="shared" si="212"/>
        <v>473.00623656700782</v>
      </c>
      <c r="N2138">
        <f t="shared" si="214"/>
        <v>221.36043010799847</v>
      </c>
      <c r="O2138">
        <f t="shared" si="215"/>
        <v>172.96798541727486</v>
      </c>
      <c r="P2138" t="e">
        <f t="shared" si="216"/>
        <v>#N/A</v>
      </c>
      <c r="Q2138" t="e">
        <f t="shared" si="217"/>
        <v>#N/A</v>
      </c>
      <c r="U2138">
        <f>C2138/Navio!$J$4</f>
        <v>24.025461326085335</v>
      </c>
    </row>
    <row r="2139" spans="1:21" x14ac:dyDescent="0.3">
      <c r="A2139">
        <v>2137</v>
      </c>
      <c r="B2139" s="47">
        <v>745.962159398376</v>
      </c>
      <c r="C2139" s="46">
        <v>446.75950138878727</v>
      </c>
      <c r="D2139" s="1">
        <v>78</v>
      </c>
      <c r="E2139" s="1">
        <v>76</v>
      </c>
      <c r="F2139" s="1">
        <v>77</v>
      </c>
      <c r="G2139" s="1">
        <v>72</v>
      </c>
      <c r="H2139" s="1" t="s">
        <v>50</v>
      </c>
      <c r="I2139" s="1" t="s">
        <v>50</v>
      </c>
      <c r="J2139" s="1" t="s">
        <v>50</v>
      </c>
      <c r="K2139" s="1" t="s">
        <v>50</v>
      </c>
      <c r="L2139">
        <f t="shared" si="213"/>
        <v>473.00623656700782</v>
      </c>
      <c r="M2139">
        <f t="shared" si="212"/>
        <v>473.00623656700782</v>
      </c>
      <c r="N2139">
        <f t="shared" si="214"/>
        <v>215.29992769227658</v>
      </c>
      <c r="O2139">
        <f t="shared" si="215"/>
        <v>172.96798541727486</v>
      </c>
      <c r="P2139" t="e">
        <f t="shared" si="216"/>
        <v>#N/A</v>
      </c>
      <c r="Q2139" t="e">
        <f t="shared" si="217"/>
        <v>#N/A</v>
      </c>
      <c r="U2139">
        <f>C2139/Navio!$J$4</f>
        <v>24.123104069030905</v>
      </c>
    </row>
    <row r="2140" spans="1:21" x14ac:dyDescent="0.3">
      <c r="A2140">
        <v>2138</v>
      </c>
      <c r="B2140" s="47">
        <v>745.962159398376</v>
      </c>
      <c r="C2140" s="46">
        <v>443.23395882668774</v>
      </c>
      <c r="D2140" s="1">
        <v>79</v>
      </c>
      <c r="E2140" s="1">
        <v>76</v>
      </c>
      <c r="F2140" s="1">
        <v>77</v>
      </c>
      <c r="G2140" s="1">
        <v>72</v>
      </c>
      <c r="H2140" s="1" t="s">
        <v>50</v>
      </c>
      <c r="I2140" s="1" t="s">
        <v>50</v>
      </c>
      <c r="J2140" s="1" t="s">
        <v>50</v>
      </c>
      <c r="K2140" s="1" t="s">
        <v>50</v>
      </c>
      <c r="L2140">
        <f t="shared" si="213"/>
        <v>473.00623656700782</v>
      </c>
      <c r="M2140">
        <f t="shared" si="212"/>
        <v>473.00623656700782</v>
      </c>
      <c r="N2140">
        <f t="shared" si="214"/>
        <v>215.29992769227658</v>
      </c>
      <c r="O2140">
        <f t="shared" si="215"/>
        <v>172.96798541727486</v>
      </c>
      <c r="P2140" t="e">
        <f t="shared" si="216"/>
        <v>#N/A</v>
      </c>
      <c r="Q2140" t="e">
        <f t="shared" si="217"/>
        <v>#N/A</v>
      </c>
      <c r="U2140">
        <f>C2140/Navio!$J$4</f>
        <v>23.932739835341525</v>
      </c>
    </row>
    <row r="2141" spans="1:21" x14ac:dyDescent="0.3">
      <c r="A2141">
        <v>2139</v>
      </c>
      <c r="B2141" s="47">
        <v>767.16534998960333</v>
      </c>
      <c r="C2141" s="46">
        <v>444.6771570340328</v>
      </c>
      <c r="D2141" s="1">
        <v>78</v>
      </c>
      <c r="E2141" s="1">
        <v>79</v>
      </c>
      <c r="F2141" s="1">
        <v>76</v>
      </c>
      <c r="G2141" s="1">
        <v>72</v>
      </c>
      <c r="H2141" s="1" t="s">
        <v>50</v>
      </c>
      <c r="I2141" s="1" t="s">
        <v>50</v>
      </c>
      <c r="J2141" s="1" t="s">
        <v>50</v>
      </c>
      <c r="K2141" s="1" t="s">
        <v>50</v>
      </c>
      <c r="L2141">
        <f t="shared" si="213"/>
        <v>473.00623656700782</v>
      </c>
      <c r="M2141">
        <f t="shared" si="212"/>
        <v>473.00623656700782</v>
      </c>
      <c r="N2141">
        <f t="shared" si="214"/>
        <v>473.00623656700782</v>
      </c>
      <c r="O2141">
        <f t="shared" si="215"/>
        <v>172.96798541727486</v>
      </c>
      <c r="P2141" t="e">
        <f t="shared" si="216"/>
        <v>#N/A</v>
      </c>
      <c r="Q2141" t="e">
        <f t="shared" si="217"/>
        <v>#N/A</v>
      </c>
      <c r="U2141">
        <f>C2141/Navio!$J$4</f>
        <v>24.010666371743778</v>
      </c>
    </row>
    <row r="2142" spans="1:21" x14ac:dyDescent="0.3">
      <c r="A2142">
        <v>2140</v>
      </c>
      <c r="B2142" s="47">
        <v>745.962159398376</v>
      </c>
      <c r="C2142" s="46">
        <v>446.65985238201836</v>
      </c>
      <c r="D2142" s="1">
        <v>78</v>
      </c>
      <c r="E2142" s="1">
        <v>79</v>
      </c>
      <c r="F2142" s="1">
        <v>77</v>
      </c>
      <c r="G2142" s="1">
        <v>72</v>
      </c>
      <c r="H2142" s="1" t="s">
        <v>50</v>
      </c>
      <c r="I2142" s="1" t="s">
        <v>50</v>
      </c>
      <c r="J2142" s="1" t="s">
        <v>50</v>
      </c>
      <c r="K2142" s="1" t="s">
        <v>50</v>
      </c>
      <c r="L2142">
        <f t="shared" si="213"/>
        <v>473.00623656700782</v>
      </c>
      <c r="M2142">
        <f t="shared" si="212"/>
        <v>473.00623656700782</v>
      </c>
      <c r="N2142">
        <f t="shared" si="214"/>
        <v>215.29992769227658</v>
      </c>
      <c r="O2142">
        <f t="shared" si="215"/>
        <v>172.96798541727486</v>
      </c>
      <c r="P2142" t="e">
        <f t="shared" si="216"/>
        <v>#N/A</v>
      </c>
      <c r="Q2142" t="e">
        <f t="shared" si="217"/>
        <v>#N/A</v>
      </c>
      <c r="U2142">
        <f>C2142/Navio!$J$4</f>
        <v>24.117723448466172</v>
      </c>
    </row>
    <row r="2143" spans="1:21" x14ac:dyDescent="0.3">
      <c r="A2143">
        <v>2141</v>
      </c>
      <c r="B2143" s="47">
        <v>889.25383465561572</v>
      </c>
      <c r="C2143" s="46">
        <v>433.38508742348472</v>
      </c>
      <c r="D2143" s="1">
        <v>74</v>
      </c>
      <c r="E2143" s="1">
        <v>75</v>
      </c>
      <c r="F2143" s="1">
        <v>76</v>
      </c>
      <c r="G2143" s="1">
        <v>73</v>
      </c>
      <c r="H2143" s="1" t="s">
        <v>50</v>
      </c>
      <c r="I2143" s="1" t="s">
        <v>50</v>
      </c>
      <c r="J2143" s="1" t="s">
        <v>50</v>
      </c>
      <c r="K2143" s="1" t="s">
        <v>50</v>
      </c>
      <c r="L2143">
        <f t="shared" si="213"/>
        <v>128.33892814918858</v>
      </c>
      <c r="M2143">
        <f t="shared" si="212"/>
        <v>221.36043010799847</v>
      </c>
      <c r="N2143">
        <f t="shared" si="214"/>
        <v>473.00623656700782</v>
      </c>
      <c r="O2143">
        <f t="shared" si="215"/>
        <v>303.05135811492471</v>
      </c>
      <c r="P2143" t="e">
        <f t="shared" si="216"/>
        <v>#N/A</v>
      </c>
      <c r="Q2143" t="e">
        <f t="shared" si="217"/>
        <v>#N/A</v>
      </c>
      <c r="U2143">
        <f>C2143/Navio!$J$4</f>
        <v>23.4009428638537</v>
      </c>
    </row>
    <row r="2144" spans="1:21" x14ac:dyDescent="0.3">
      <c r="A2144">
        <v>2142</v>
      </c>
      <c r="B2144" s="47">
        <v>868.05064406438828</v>
      </c>
      <c r="C2144" s="46">
        <v>432.96447714908345</v>
      </c>
      <c r="D2144" s="1">
        <v>74</v>
      </c>
      <c r="E2144" s="1">
        <v>75</v>
      </c>
      <c r="F2144" s="1">
        <v>77</v>
      </c>
      <c r="G2144" s="1">
        <v>73</v>
      </c>
      <c r="H2144" s="1" t="s">
        <v>50</v>
      </c>
      <c r="I2144" s="1" t="s">
        <v>50</v>
      </c>
      <c r="J2144" s="1" t="s">
        <v>50</v>
      </c>
      <c r="K2144" s="1" t="s">
        <v>50</v>
      </c>
      <c r="L2144">
        <f t="shared" si="213"/>
        <v>128.33892814918858</v>
      </c>
      <c r="M2144">
        <f t="shared" si="212"/>
        <v>221.36043010799847</v>
      </c>
      <c r="N2144">
        <f t="shared" si="214"/>
        <v>215.29992769227658</v>
      </c>
      <c r="O2144">
        <f t="shared" si="215"/>
        <v>303.05135811492471</v>
      </c>
      <c r="P2144" t="e">
        <f t="shared" si="216"/>
        <v>#N/A</v>
      </c>
      <c r="Q2144" t="e">
        <f t="shared" si="217"/>
        <v>#N/A</v>
      </c>
      <c r="U2144">
        <f>C2144/Navio!$J$4</f>
        <v>23.378231706306195</v>
      </c>
    </row>
    <row r="2145" spans="1:21" x14ac:dyDescent="0.3">
      <c r="A2145">
        <v>2143</v>
      </c>
      <c r="B2145" s="47">
        <v>889.25383465561572</v>
      </c>
      <c r="C2145" s="46">
        <v>447.86334259555304</v>
      </c>
      <c r="D2145" s="1">
        <v>78</v>
      </c>
      <c r="E2145" s="1">
        <v>75</v>
      </c>
      <c r="F2145" s="1">
        <v>74</v>
      </c>
      <c r="G2145" s="1">
        <v>73</v>
      </c>
      <c r="H2145" s="1" t="s">
        <v>50</v>
      </c>
      <c r="I2145" s="1" t="s">
        <v>50</v>
      </c>
      <c r="J2145" s="1" t="s">
        <v>50</v>
      </c>
      <c r="K2145" s="1" t="s">
        <v>50</v>
      </c>
      <c r="L2145">
        <f t="shared" si="213"/>
        <v>473.00623656700782</v>
      </c>
      <c r="M2145">
        <f t="shared" si="212"/>
        <v>221.36043010799847</v>
      </c>
      <c r="N2145">
        <f t="shared" si="214"/>
        <v>128.33892814918858</v>
      </c>
      <c r="O2145">
        <f t="shared" si="215"/>
        <v>303.05135811492471</v>
      </c>
      <c r="P2145" t="e">
        <f t="shared" si="216"/>
        <v>#N/A</v>
      </c>
      <c r="Q2145" t="e">
        <f t="shared" si="217"/>
        <v>#N/A</v>
      </c>
      <c r="U2145">
        <f>C2145/Navio!$J$4</f>
        <v>24.182706777476319</v>
      </c>
    </row>
    <row r="2146" spans="1:21" x14ac:dyDescent="0.3">
      <c r="A2146">
        <v>2144</v>
      </c>
      <c r="B2146" s="47">
        <v>889.25383465561572</v>
      </c>
      <c r="C2146" s="46">
        <v>442.68516721788524</v>
      </c>
      <c r="D2146" s="1">
        <v>74</v>
      </c>
      <c r="E2146" s="1">
        <v>79</v>
      </c>
      <c r="F2146" s="1">
        <v>75</v>
      </c>
      <c r="G2146" s="1">
        <v>73</v>
      </c>
      <c r="H2146" s="1" t="s">
        <v>50</v>
      </c>
      <c r="I2146" s="1" t="s">
        <v>50</v>
      </c>
      <c r="J2146" s="1" t="s">
        <v>50</v>
      </c>
      <c r="K2146" s="1" t="s">
        <v>50</v>
      </c>
      <c r="L2146">
        <f t="shared" si="213"/>
        <v>128.33892814918858</v>
      </c>
      <c r="M2146">
        <f t="shared" si="212"/>
        <v>473.00623656700782</v>
      </c>
      <c r="N2146">
        <f t="shared" si="214"/>
        <v>221.36043010799847</v>
      </c>
      <c r="O2146">
        <f t="shared" si="215"/>
        <v>303.05135811492471</v>
      </c>
      <c r="P2146" t="e">
        <f t="shared" si="216"/>
        <v>#N/A</v>
      </c>
      <c r="Q2146" t="e">
        <f t="shared" si="217"/>
        <v>#N/A</v>
      </c>
      <c r="U2146">
        <f>C2146/Navio!$J$4</f>
        <v>23.903107433455947</v>
      </c>
    </row>
    <row r="2147" spans="1:21" x14ac:dyDescent="0.3">
      <c r="A2147">
        <v>2145</v>
      </c>
      <c r="B2147" s="47">
        <v>883.19333223989383</v>
      </c>
      <c r="C2147" s="46">
        <v>435.51490103414574</v>
      </c>
      <c r="D2147" s="1">
        <v>74</v>
      </c>
      <c r="E2147" s="1">
        <v>76</v>
      </c>
      <c r="F2147" s="1">
        <v>77</v>
      </c>
      <c r="G2147" s="1">
        <v>73</v>
      </c>
      <c r="H2147" s="1" t="s">
        <v>50</v>
      </c>
      <c r="I2147" s="1" t="s">
        <v>50</v>
      </c>
      <c r="J2147" s="1" t="s">
        <v>50</v>
      </c>
      <c r="K2147" s="1" t="s">
        <v>50</v>
      </c>
      <c r="L2147">
        <f t="shared" si="213"/>
        <v>128.33892814918858</v>
      </c>
      <c r="M2147">
        <f t="shared" si="212"/>
        <v>473.00623656700782</v>
      </c>
      <c r="N2147">
        <f t="shared" si="214"/>
        <v>215.29992769227658</v>
      </c>
      <c r="O2147">
        <f t="shared" si="215"/>
        <v>303.05135811492471</v>
      </c>
      <c r="P2147" t="e">
        <f t="shared" si="216"/>
        <v>#N/A</v>
      </c>
      <c r="Q2147" t="e">
        <f t="shared" si="217"/>
        <v>#N/A</v>
      </c>
      <c r="U2147">
        <f>C2147/Navio!$J$4</f>
        <v>23.515943698123372</v>
      </c>
    </row>
    <row r="2148" spans="1:21" x14ac:dyDescent="0.3">
      <c r="A2148">
        <v>2146</v>
      </c>
      <c r="B2148" s="47">
        <v>883.19333223989383</v>
      </c>
      <c r="C2148" s="46">
        <v>450.5664579584606</v>
      </c>
      <c r="D2148" s="1">
        <v>74</v>
      </c>
      <c r="E2148" s="1">
        <v>78</v>
      </c>
      <c r="F2148" s="1">
        <v>77</v>
      </c>
      <c r="G2148" s="1">
        <v>73</v>
      </c>
      <c r="H2148" s="1" t="s">
        <v>50</v>
      </c>
      <c r="I2148" s="1" t="s">
        <v>50</v>
      </c>
      <c r="J2148" s="1" t="s">
        <v>50</v>
      </c>
      <c r="K2148" s="1" t="s">
        <v>50</v>
      </c>
      <c r="L2148">
        <f t="shared" si="213"/>
        <v>128.33892814918858</v>
      </c>
      <c r="M2148">
        <f t="shared" si="212"/>
        <v>473.00623656700782</v>
      </c>
      <c r="N2148">
        <f t="shared" si="214"/>
        <v>215.29992769227658</v>
      </c>
      <c r="O2148">
        <f t="shared" si="215"/>
        <v>303.05135811492471</v>
      </c>
      <c r="P2148" t="e">
        <f t="shared" si="216"/>
        <v>#N/A</v>
      </c>
      <c r="Q2148" t="e">
        <f t="shared" si="217"/>
        <v>#N/A</v>
      </c>
      <c r="U2148">
        <f>C2148/Navio!$J$4</f>
        <v>24.328663456645565</v>
      </c>
    </row>
    <row r="2149" spans="1:21" x14ac:dyDescent="0.3">
      <c r="A2149">
        <v>2147</v>
      </c>
      <c r="B2149" s="47">
        <v>883.19333223989383</v>
      </c>
      <c r="C2149" s="46">
        <v>443.58919124265469</v>
      </c>
      <c r="D2149" s="1">
        <v>74</v>
      </c>
      <c r="E2149" s="1">
        <v>79</v>
      </c>
      <c r="F2149" s="1">
        <v>77</v>
      </c>
      <c r="G2149" s="1">
        <v>73</v>
      </c>
      <c r="H2149" s="1" t="s">
        <v>50</v>
      </c>
      <c r="I2149" s="1" t="s">
        <v>50</v>
      </c>
      <c r="J2149" s="1" t="s">
        <v>50</v>
      </c>
      <c r="K2149" s="1" t="s">
        <v>50</v>
      </c>
      <c r="L2149">
        <f t="shared" si="213"/>
        <v>128.33892814918858</v>
      </c>
      <c r="M2149">
        <f t="shared" si="212"/>
        <v>473.00623656700782</v>
      </c>
      <c r="N2149">
        <f t="shared" si="214"/>
        <v>215.29992769227658</v>
      </c>
      <c r="O2149">
        <f t="shared" si="215"/>
        <v>303.05135811492471</v>
      </c>
      <c r="P2149" t="e">
        <f t="shared" si="216"/>
        <v>#N/A</v>
      </c>
      <c r="Q2149" t="e">
        <f t="shared" si="217"/>
        <v>#N/A</v>
      </c>
      <c r="U2149">
        <f>C2149/Navio!$J$4</f>
        <v>23.951920867893552</v>
      </c>
    </row>
    <row r="2150" spans="1:21" x14ac:dyDescent="0.3">
      <c r="A2150">
        <v>2148</v>
      </c>
      <c r="B2150" s="47">
        <v>801.50240423296759</v>
      </c>
      <c r="C2150" s="46">
        <v>433.06312781069039</v>
      </c>
      <c r="D2150" s="1">
        <v>77</v>
      </c>
      <c r="E2150" s="1">
        <v>76</v>
      </c>
      <c r="F2150" s="1">
        <v>75</v>
      </c>
      <c r="G2150" s="1">
        <v>74</v>
      </c>
      <c r="H2150" s="1" t="s">
        <v>50</v>
      </c>
      <c r="I2150" s="1" t="s">
        <v>50</v>
      </c>
      <c r="J2150" s="1" t="s">
        <v>50</v>
      </c>
      <c r="K2150" s="1" t="s">
        <v>50</v>
      </c>
      <c r="L2150">
        <f t="shared" si="213"/>
        <v>215.29992769227658</v>
      </c>
      <c r="M2150">
        <f t="shared" si="212"/>
        <v>473.00623656700782</v>
      </c>
      <c r="N2150">
        <f t="shared" si="214"/>
        <v>221.36043010799847</v>
      </c>
      <c r="O2150">
        <f t="shared" si="215"/>
        <v>128.33892814918858</v>
      </c>
      <c r="P2150" t="e">
        <f t="shared" si="216"/>
        <v>#N/A</v>
      </c>
      <c r="Q2150" t="e">
        <f t="shared" si="217"/>
        <v>#N/A</v>
      </c>
      <c r="U2150">
        <f>C2150/Navio!$J$4</f>
        <v>23.383558420498115</v>
      </c>
    </row>
    <row r="2151" spans="1:21" x14ac:dyDescent="0.3">
      <c r="A2151">
        <v>2149</v>
      </c>
      <c r="B2151" s="47">
        <v>822.7055948241948</v>
      </c>
      <c r="C2151" s="46">
        <v>437.90019067672756</v>
      </c>
      <c r="D2151" s="1">
        <v>78</v>
      </c>
      <c r="E2151" s="1">
        <v>76</v>
      </c>
      <c r="F2151" s="1">
        <v>75</v>
      </c>
      <c r="G2151" s="1">
        <v>74</v>
      </c>
      <c r="H2151" s="1" t="s">
        <v>50</v>
      </c>
      <c r="I2151" s="1" t="s">
        <v>50</v>
      </c>
      <c r="J2151" s="1" t="s">
        <v>50</v>
      </c>
      <c r="K2151" s="1" t="s">
        <v>50</v>
      </c>
      <c r="L2151">
        <f t="shared" si="213"/>
        <v>473.00623656700782</v>
      </c>
      <c r="M2151">
        <f t="shared" si="212"/>
        <v>473.00623656700782</v>
      </c>
      <c r="N2151">
        <f t="shared" si="214"/>
        <v>221.36043010799847</v>
      </c>
      <c r="O2151">
        <f t="shared" si="215"/>
        <v>128.33892814918858</v>
      </c>
      <c r="P2151" t="e">
        <f t="shared" si="216"/>
        <v>#N/A</v>
      </c>
      <c r="Q2151" t="e">
        <f t="shared" si="217"/>
        <v>#N/A</v>
      </c>
      <c r="U2151">
        <f>C2151/Navio!$J$4</f>
        <v>23.644739146466193</v>
      </c>
    </row>
    <row r="2152" spans="1:21" x14ac:dyDescent="0.3">
      <c r="A2152">
        <v>2150</v>
      </c>
      <c r="B2152" s="47">
        <v>822.7055948241948</v>
      </c>
      <c r="C2152" s="46">
        <v>434.37464811462797</v>
      </c>
      <c r="D2152" s="1">
        <v>79</v>
      </c>
      <c r="E2152" s="1">
        <v>76</v>
      </c>
      <c r="F2152" s="1">
        <v>75</v>
      </c>
      <c r="G2152" s="1">
        <v>74</v>
      </c>
      <c r="H2152" s="1" t="s">
        <v>50</v>
      </c>
      <c r="I2152" s="1" t="s">
        <v>50</v>
      </c>
      <c r="J2152" s="1" t="s">
        <v>50</v>
      </c>
      <c r="K2152" s="1" t="s">
        <v>50</v>
      </c>
      <c r="L2152">
        <f t="shared" si="213"/>
        <v>473.00623656700782</v>
      </c>
      <c r="M2152">
        <f t="shared" si="212"/>
        <v>473.00623656700782</v>
      </c>
      <c r="N2152">
        <f t="shared" si="214"/>
        <v>221.36043010799847</v>
      </c>
      <c r="O2152">
        <f t="shared" si="215"/>
        <v>128.33892814918858</v>
      </c>
      <c r="P2152" t="e">
        <f t="shared" si="216"/>
        <v>#N/A</v>
      </c>
      <c r="Q2152" t="e">
        <f t="shared" si="217"/>
        <v>#N/A</v>
      </c>
      <c r="U2152">
        <f>C2152/Navio!$J$4</f>
        <v>23.45437491277681</v>
      </c>
    </row>
    <row r="2153" spans="1:21" x14ac:dyDescent="0.3">
      <c r="A2153">
        <v>2151</v>
      </c>
      <c r="B2153" s="47">
        <v>801.50240423296759</v>
      </c>
      <c r="C2153" s="46">
        <v>447.64750949701374</v>
      </c>
      <c r="D2153" s="1">
        <v>78</v>
      </c>
      <c r="E2153" s="1">
        <v>77</v>
      </c>
      <c r="F2153" s="1">
        <v>75</v>
      </c>
      <c r="G2153" s="1">
        <v>74</v>
      </c>
      <c r="H2153" s="1" t="s">
        <v>50</v>
      </c>
      <c r="I2153" s="1" t="s">
        <v>50</v>
      </c>
      <c r="J2153" s="1" t="s">
        <v>50</v>
      </c>
      <c r="K2153" s="1" t="s">
        <v>50</v>
      </c>
      <c r="L2153">
        <f t="shared" si="213"/>
        <v>473.00623656700782</v>
      </c>
      <c r="M2153">
        <f t="shared" si="212"/>
        <v>215.29992769227658</v>
      </c>
      <c r="N2153">
        <f t="shared" si="214"/>
        <v>221.36043010799847</v>
      </c>
      <c r="O2153">
        <f t="shared" si="215"/>
        <v>128.33892814918858</v>
      </c>
      <c r="P2153" t="e">
        <f t="shared" si="216"/>
        <v>#N/A</v>
      </c>
      <c r="Q2153" t="e">
        <f t="shared" si="217"/>
        <v>#N/A</v>
      </c>
      <c r="U2153">
        <f>C2153/Navio!$J$4</f>
        <v>24.171052712411292</v>
      </c>
    </row>
    <row r="2154" spans="1:21" x14ac:dyDescent="0.3">
      <c r="A2154">
        <v>2152</v>
      </c>
      <c r="B2154" s="47">
        <v>801.50240423296759</v>
      </c>
      <c r="C2154" s="46">
        <v>441.82356577592429</v>
      </c>
      <c r="D2154" s="1">
        <v>77</v>
      </c>
      <c r="E2154" s="1">
        <v>79</v>
      </c>
      <c r="F2154" s="1">
        <v>75</v>
      </c>
      <c r="G2154" s="1">
        <v>74</v>
      </c>
      <c r="H2154" s="1" t="s">
        <v>50</v>
      </c>
      <c r="I2154" s="1" t="s">
        <v>50</v>
      </c>
      <c r="J2154" s="1" t="s">
        <v>50</v>
      </c>
      <c r="K2154" s="1" t="s">
        <v>50</v>
      </c>
      <c r="L2154">
        <f t="shared" si="213"/>
        <v>215.29992769227658</v>
      </c>
      <c r="M2154">
        <f t="shared" si="212"/>
        <v>473.00623656700782</v>
      </c>
      <c r="N2154">
        <f t="shared" si="214"/>
        <v>221.36043010799847</v>
      </c>
      <c r="O2154">
        <f t="shared" si="215"/>
        <v>128.33892814918858</v>
      </c>
      <c r="P2154" t="e">
        <f t="shared" si="216"/>
        <v>#N/A</v>
      </c>
      <c r="Q2154" t="e">
        <f t="shared" si="217"/>
        <v>#N/A</v>
      </c>
      <c r="U2154">
        <f>C2154/Navio!$J$4</f>
        <v>23.856584637218059</v>
      </c>
    </row>
    <row r="2155" spans="1:21" x14ac:dyDescent="0.3">
      <c r="A2155">
        <v>2153</v>
      </c>
      <c r="B2155" s="47">
        <v>822.7055948241948</v>
      </c>
      <c r="C2155" s="46">
        <v>438.75766897475989</v>
      </c>
      <c r="D2155" s="1">
        <v>78</v>
      </c>
      <c r="E2155" s="1">
        <v>79</v>
      </c>
      <c r="F2155" s="1">
        <v>75</v>
      </c>
      <c r="G2155" s="1">
        <v>74</v>
      </c>
      <c r="H2155" s="1" t="s">
        <v>50</v>
      </c>
      <c r="I2155" s="1" t="s">
        <v>50</v>
      </c>
      <c r="J2155" s="1" t="s">
        <v>50</v>
      </c>
      <c r="K2155" s="1" t="s">
        <v>50</v>
      </c>
      <c r="L2155">
        <f t="shared" si="213"/>
        <v>473.00623656700782</v>
      </c>
      <c r="M2155">
        <f t="shared" si="212"/>
        <v>473.00623656700782</v>
      </c>
      <c r="N2155">
        <f t="shared" si="214"/>
        <v>221.36043010799847</v>
      </c>
      <c r="O2155">
        <f t="shared" si="215"/>
        <v>128.33892814918858</v>
      </c>
      <c r="P2155" t="e">
        <f t="shared" si="216"/>
        <v>#N/A</v>
      </c>
      <c r="Q2155" t="e">
        <f t="shared" si="217"/>
        <v>#N/A</v>
      </c>
      <c r="U2155">
        <f>C2155/Navio!$J$4</f>
        <v>23.691039310550153</v>
      </c>
    </row>
    <row r="2156" spans="1:21" x14ac:dyDescent="0.3">
      <c r="A2156">
        <v>2154</v>
      </c>
      <c r="B2156" s="47">
        <v>816.64509240847292</v>
      </c>
      <c r="C2156" s="46">
        <v>447.69428681276537</v>
      </c>
      <c r="D2156" s="1">
        <v>78</v>
      </c>
      <c r="E2156" s="1">
        <v>76</v>
      </c>
      <c r="F2156" s="1">
        <v>77</v>
      </c>
      <c r="G2156" s="1">
        <v>74</v>
      </c>
      <c r="H2156" s="1" t="s">
        <v>50</v>
      </c>
      <c r="I2156" s="1" t="s">
        <v>50</v>
      </c>
      <c r="J2156" s="1" t="s">
        <v>50</v>
      </c>
      <c r="K2156" s="1" t="s">
        <v>50</v>
      </c>
      <c r="L2156">
        <f t="shared" si="213"/>
        <v>473.00623656700782</v>
      </c>
      <c r="M2156">
        <f t="shared" si="212"/>
        <v>473.00623656700782</v>
      </c>
      <c r="N2156">
        <f t="shared" si="214"/>
        <v>215.29992769227658</v>
      </c>
      <c r="O2156">
        <f t="shared" si="215"/>
        <v>128.33892814918858</v>
      </c>
      <c r="P2156" t="e">
        <f t="shared" si="216"/>
        <v>#N/A</v>
      </c>
      <c r="Q2156" t="e">
        <f t="shared" si="217"/>
        <v>#N/A</v>
      </c>
      <c r="U2156">
        <f>C2156/Navio!$J$4</f>
        <v>24.173578487582134</v>
      </c>
    </row>
    <row r="2157" spans="1:21" x14ac:dyDescent="0.3">
      <c r="A2157">
        <v>2155</v>
      </c>
      <c r="B2157" s="47">
        <v>816.64509240847292</v>
      </c>
      <c r="C2157" s="46">
        <v>441.62996494795379</v>
      </c>
      <c r="D2157" s="1">
        <v>77</v>
      </c>
      <c r="E2157" s="1">
        <v>79</v>
      </c>
      <c r="F2157" s="1">
        <v>76</v>
      </c>
      <c r="G2157" s="1">
        <v>74</v>
      </c>
      <c r="H2157" s="1" t="s">
        <v>50</v>
      </c>
      <c r="I2157" s="1" t="s">
        <v>50</v>
      </c>
      <c r="J2157" s="1" t="s">
        <v>50</v>
      </c>
      <c r="K2157" s="1" t="s">
        <v>50</v>
      </c>
      <c r="L2157">
        <f t="shared" si="213"/>
        <v>215.29992769227658</v>
      </c>
      <c r="M2157">
        <f t="shared" si="212"/>
        <v>473.00623656700782</v>
      </c>
      <c r="N2157">
        <f t="shared" si="214"/>
        <v>473.00623656700782</v>
      </c>
      <c r="O2157">
        <f t="shared" si="215"/>
        <v>128.33892814918858</v>
      </c>
      <c r="P2157" t="e">
        <f t="shared" si="216"/>
        <v>#N/A</v>
      </c>
      <c r="Q2157" t="e">
        <f t="shared" si="217"/>
        <v>#N/A</v>
      </c>
      <c r="U2157">
        <f>C2157/Navio!$J$4</f>
        <v>23.846131019765124</v>
      </c>
    </row>
    <row r="2158" spans="1:21" x14ac:dyDescent="0.3">
      <c r="A2158">
        <v>2156</v>
      </c>
      <c r="B2158" s="47">
        <v>837.84828299970036</v>
      </c>
      <c r="C2158" s="46">
        <v>438.5640681467894</v>
      </c>
      <c r="D2158" s="1">
        <v>78</v>
      </c>
      <c r="E2158" s="1">
        <v>79</v>
      </c>
      <c r="F2158" s="1">
        <v>76</v>
      </c>
      <c r="G2158" s="1">
        <v>74</v>
      </c>
      <c r="H2158" s="1" t="s">
        <v>50</v>
      </c>
      <c r="I2158" s="1" t="s">
        <v>50</v>
      </c>
      <c r="J2158" s="1" t="s">
        <v>50</v>
      </c>
      <c r="K2158" s="1" t="s">
        <v>50</v>
      </c>
      <c r="L2158">
        <f t="shared" si="213"/>
        <v>473.00623656700782</v>
      </c>
      <c r="M2158">
        <f t="shared" si="212"/>
        <v>473.00623656700782</v>
      </c>
      <c r="N2158">
        <f t="shared" si="214"/>
        <v>473.00623656700782</v>
      </c>
      <c r="O2158">
        <f t="shared" si="215"/>
        <v>128.33892814918858</v>
      </c>
      <c r="P2158" t="e">
        <f t="shared" si="216"/>
        <v>#N/A</v>
      </c>
      <c r="Q2158" t="e">
        <f t="shared" si="217"/>
        <v>#N/A</v>
      </c>
      <c r="U2158">
        <f>C2158/Navio!$J$4</f>
        <v>23.680585693097218</v>
      </c>
    </row>
    <row r="2159" spans="1:21" x14ac:dyDescent="0.3">
      <c r="A2159">
        <v>2157</v>
      </c>
      <c r="B2159" s="47">
        <v>816.64509240847292</v>
      </c>
      <c r="C2159" s="46">
        <v>447.5946378059964</v>
      </c>
      <c r="D2159" s="1">
        <v>78</v>
      </c>
      <c r="E2159" s="1">
        <v>79</v>
      </c>
      <c r="F2159" s="1">
        <v>77</v>
      </c>
      <c r="G2159" s="1">
        <v>74</v>
      </c>
      <c r="H2159" s="1" t="s">
        <v>50</v>
      </c>
      <c r="I2159" s="1" t="s">
        <v>50</v>
      </c>
      <c r="J2159" s="1" t="s">
        <v>50</v>
      </c>
      <c r="K2159" s="1" t="s">
        <v>50</v>
      </c>
      <c r="L2159">
        <f t="shared" si="213"/>
        <v>473.00623656700782</v>
      </c>
      <c r="M2159">
        <f t="shared" si="212"/>
        <v>473.00623656700782</v>
      </c>
      <c r="N2159">
        <f t="shared" si="214"/>
        <v>215.29992769227658</v>
      </c>
      <c r="O2159">
        <f t="shared" si="215"/>
        <v>128.33892814918858</v>
      </c>
      <c r="P2159" t="e">
        <f t="shared" si="216"/>
        <v>#N/A</v>
      </c>
      <c r="Q2159" t="e">
        <f t="shared" si="217"/>
        <v>#N/A</v>
      </c>
      <c r="U2159">
        <f>C2159/Navio!$J$4</f>
        <v>24.168197867017401</v>
      </c>
    </row>
    <row r="2160" spans="1:21" x14ac:dyDescent="0.3">
      <c r="A2160">
        <v>2158</v>
      </c>
      <c r="B2160" s="47">
        <v>859.15839937205919</v>
      </c>
      <c r="C2160" s="46">
        <v>434.93430246418541</v>
      </c>
      <c r="D2160" s="1">
        <v>74</v>
      </c>
      <c r="E2160" s="1">
        <v>75</v>
      </c>
      <c r="F2160" s="1">
        <v>76</v>
      </c>
      <c r="G2160" s="1">
        <v>77</v>
      </c>
      <c r="H2160" s="1">
        <v>72</v>
      </c>
      <c r="I2160" s="1" t="s">
        <v>50</v>
      </c>
      <c r="J2160" s="1" t="s">
        <v>50</v>
      </c>
      <c r="K2160" s="1" t="s">
        <v>50</v>
      </c>
      <c r="L2160">
        <f t="shared" si="213"/>
        <v>128.33892814918858</v>
      </c>
      <c r="M2160">
        <f t="shared" si="212"/>
        <v>221.36043010799847</v>
      </c>
      <c r="N2160">
        <f t="shared" si="214"/>
        <v>473.00623656700782</v>
      </c>
      <c r="O2160">
        <f t="shared" si="215"/>
        <v>215.29992769227658</v>
      </c>
      <c r="P2160">
        <f t="shared" si="216"/>
        <v>172.96798541727486</v>
      </c>
      <c r="Q2160" t="e">
        <f t="shared" si="217"/>
        <v>#N/A</v>
      </c>
      <c r="U2160">
        <f>C2160/Navio!$J$4</f>
        <v>23.484593856246605</v>
      </c>
    </row>
    <row r="2161" spans="1:21" x14ac:dyDescent="0.3">
      <c r="A2161">
        <v>2159</v>
      </c>
      <c r="B2161" s="47">
        <v>880.36158996328652</v>
      </c>
      <c r="C2161" s="46">
        <v>446.7076506150803</v>
      </c>
      <c r="D2161" s="1">
        <v>78</v>
      </c>
      <c r="E2161" s="1">
        <v>76</v>
      </c>
      <c r="F2161" s="1">
        <v>75</v>
      </c>
      <c r="G2161" s="1">
        <v>74</v>
      </c>
      <c r="H2161" s="1">
        <v>72</v>
      </c>
      <c r="I2161" s="1" t="s">
        <v>50</v>
      </c>
      <c r="J2161" s="1" t="s">
        <v>50</v>
      </c>
      <c r="K2161" s="1" t="s">
        <v>50</v>
      </c>
      <c r="L2161">
        <f t="shared" si="213"/>
        <v>473.00623656700782</v>
      </c>
      <c r="M2161">
        <f t="shared" si="212"/>
        <v>473.00623656700782</v>
      </c>
      <c r="N2161">
        <f t="shared" si="214"/>
        <v>221.36043010799847</v>
      </c>
      <c r="O2161">
        <f t="shared" si="215"/>
        <v>128.33892814918858</v>
      </c>
      <c r="P2161">
        <f t="shared" si="216"/>
        <v>172.96798541727486</v>
      </c>
      <c r="Q2161" t="e">
        <f t="shared" si="217"/>
        <v>#N/A</v>
      </c>
      <c r="U2161">
        <f>C2161/Navio!$J$4</f>
        <v>24.120304348809388</v>
      </c>
    </row>
    <row r="2162" spans="1:21" x14ac:dyDescent="0.3">
      <c r="A2162">
        <v>2160</v>
      </c>
      <c r="B2162" s="47">
        <v>880.36158996328652</v>
      </c>
      <c r="C2162" s="46">
        <v>441.1062988144248</v>
      </c>
      <c r="D2162" s="1">
        <v>74</v>
      </c>
      <c r="E2162" s="1">
        <v>79</v>
      </c>
      <c r="F2162" s="1">
        <v>76</v>
      </c>
      <c r="G2162" s="1">
        <v>75</v>
      </c>
      <c r="H2162" s="1">
        <v>72</v>
      </c>
      <c r="I2162" s="1" t="s">
        <v>50</v>
      </c>
      <c r="J2162" s="1" t="s">
        <v>50</v>
      </c>
      <c r="K2162" s="1" t="s">
        <v>50</v>
      </c>
      <c r="L2162">
        <f t="shared" si="213"/>
        <v>128.33892814918858</v>
      </c>
      <c r="M2162">
        <f t="shared" si="212"/>
        <v>473.00623656700782</v>
      </c>
      <c r="N2162">
        <f t="shared" si="214"/>
        <v>473.00623656700782</v>
      </c>
      <c r="O2162">
        <f t="shared" si="215"/>
        <v>221.36043010799847</v>
      </c>
      <c r="P2162">
        <f t="shared" si="216"/>
        <v>172.96798541727486</v>
      </c>
      <c r="Q2162" t="e">
        <f t="shared" si="217"/>
        <v>#N/A</v>
      </c>
      <c r="U2162">
        <f>C2162/Navio!$J$4</f>
        <v>23.817855286183011</v>
      </c>
    </row>
    <row r="2163" spans="1:21" x14ac:dyDescent="0.3">
      <c r="A2163">
        <v>2161</v>
      </c>
      <c r="B2163" s="47">
        <v>859.15839937205919</v>
      </c>
      <c r="C2163" s="46">
        <v>451.79488685612898</v>
      </c>
      <c r="D2163" s="1">
        <v>74</v>
      </c>
      <c r="E2163" s="1">
        <v>75</v>
      </c>
      <c r="F2163" s="1">
        <v>78</v>
      </c>
      <c r="G2163" s="1">
        <v>77</v>
      </c>
      <c r="H2163" s="1">
        <v>72</v>
      </c>
      <c r="I2163" s="1" t="s">
        <v>50</v>
      </c>
      <c r="J2163" s="1" t="s">
        <v>50</v>
      </c>
      <c r="K2163" s="1" t="s">
        <v>50</v>
      </c>
      <c r="L2163">
        <f t="shared" si="213"/>
        <v>128.33892814918858</v>
      </c>
      <c r="M2163">
        <f t="shared" si="212"/>
        <v>221.36043010799847</v>
      </c>
      <c r="N2163">
        <f t="shared" si="214"/>
        <v>473.00623656700782</v>
      </c>
      <c r="O2163">
        <f t="shared" si="215"/>
        <v>215.29992769227658</v>
      </c>
      <c r="P2163">
        <f t="shared" si="216"/>
        <v>172.96798541727486</v>
      </c>
      <c r="Q2163" t="e">
        <f t="shared" si="217"/>
        <v>#N/A</v>
      </c>
      <c r="U2163">
        <f>C2163/Navio!$J$4</f>
        <v>24.394993368035792</v>
      </c>
    </row>
    <row r="2164" spans="1:21" x14ac:dyDescent="0.3">
      <c r="A2164">
        <v>2162</v>
      </c>
      <c r="B2164" s="47">
        <v>859.15839937205919</v>
      </c>
      <c r="C2164" s="46">
        <v>443.69474042941926</v>
      </c>
      <c r="D2164" s="1">
        <v>74</v>
      </c>
      <c r="E2164" s="1">
        <v>75</v>
      </c>
      <c r="F2164" s="1">
        <v>79</v>
      </c>
      <c r="G2164" s="1">
        <v>77</v>
      </c>
      <c r="H2164" s="1">
        <v>72</v>
      </c>
      <c r="I2164" s="1" t="s">
        <v>50</v>
      </c>
      <c r="J2164" s="1" t="s">
        <v>50</v>
      </c>
      <c r="K2164" s="1" t="s">
        <v>50</v>
      </c>
      <c r="L2164">
        <f t="shared" si="213"/>
        <v>128.33892814918858</v>
      </c>
      <c r="M2164">
        <f t="shared" si="212"/>
        <v>221.36043010799847</v>
      </c>
      <c r="N2164">
        <f t="shared" si="214"/>
        <v>473.00623656700782</v>
      </c>
      <c r="O2164">
        <f t="shared" si="215"/>
        <v>215.29992769227658</v>
      </c>
      <c r="P2164">
        <f t="shared" si="216"/>
        <v>172.96798541727486</v>
      </c>
      <c r="Q2164" t="e">
        <f t="shared" si="217"/>
        <v>#N/A</v>
      </c>
      <c r="U2164">
        <f>C2164/Navio!$J$4</f>
        <v>23.957620072966545</v>
      </c>
    </row>
    <row r="2165" spans="1:21" x14ac:dyDescent="0.3">
      <c r="A2165">
        <v>2163</v>
      </c>
      <c r="B2165" s="47">
        <v>880.36158996328652</v>
      </c>
      <c r="C2165" s="46">
        <v>447.56512891311263</v>
      </c>
      <c r="D2165" s="1">
        <v>78</v>
      </c>
      <c r="E2165" s="1">
        <v>79</v>
      </c>
      <c r="F2165" s="1">
        <v>75</v>
      </c>
      <c r="G2165" s="1">
        <v>74</v>
      </c>
      <c r="H2165" s="1">
        <v>72</v>
      </c>
      <c r="I2165" s="1" t="s">
        <v>50</v>
      </c>
      <c r="J2165" s="1" t="s">
        <v>50</v>
      </c>
      <c r="K2165" s="1" t="s">
        <v>50</v>
      </c>
      <c r="L2165">
        <f t="shared" si="213"/>
        <v>473.00623656700782</v>
      </c>
      <c r="M2165">
        <f t="shared" si="212"/>
        <v>473.00623656700782</v>
      </c>
      <c r="N2165">
        <f t="shared" si="214"/>
        <v>221.36043010799847</v>
      </c>
      <c r="O2165">
        <f t="shared" si="215"/>
        <v>128.33892814918858</v>
      </c>
      <c r="P2165">
        <f t="shared" si="216"/>
        <v>172.96798541727486</v>
      </c>
      <c r="Q2165" t="e">
        <f t="shared" si="217"/>
        <v>#N/A</v>
      </c>
      <c r="U2165">
        <f>C2165/Navio!$J$4</f>
        <v>24.166604512893347</v>
      </c>
    </row>
    <row r="2166" spans="1:21" x14ac:dyDescent="0.3">
      <c r="A2166">
        <v>2164</v>
      </c>
      <c r="B2166" s="47">
        <v>874.30108754756463</v>
      </c>
      <c r="C2166" s="46">
        <v>449.96806130233551</v>
      </c>
      <c r="D2166" s="1">
        <v>74</v>
      </c>
      <c r="E2166" s="1">
        <v>78</v>
      </c>
      <c r="F2166" s="1">
        <v>76</v>
      </c>
      <c r="G2166" s="1">
        <v>77</v>
      </c>
      <c r="H2166" s="1">
        <v>72</v>
      </c>
      <c r="I2166" s="1" t="s">
        <v>50</v>
      </c>
      <c r="J2166" s="1" t="s">
        <v>50</v>
      </c>
      <c r="K2166" s="1" t="s">
        <v>50</v>
      </c>
      <c r="L2166">
        <f t="shared" si="213"/>
        <v>128.33892814918858</v>
      </c>
      <c r="M2166">
        <f t="shared" si="212"/>
        <v>473.00623656700782</v>
      </c>
      <c r="N2166">
        <f t="shared" si="214"/>
        <v>473.00623656700782</v>
      </c>
      <c r="O2166">
        <f t="shared" si="215"/>
        <v>215.29992769227658</v>
      </c>
      <c r="P2166">
        <f t="shared" si="216"/>
        <v>172.96798541727486</v>
      </c>
      <c r="Q2166" t="e">
        <f t="shared" si="217"/>
        <v>#N/A</v>
      </c>
      <c r="U2166">
        <f>C2166/Navio!$J$4</f>
        <v>24.296352594167224</v>
      </c>
    </row>
    <row r="2167" spans="1:21" x14ac:dyDescent="0.3">
      <c r="A2167">
        <v>2165</v>
      </c>
      <c r="B2167" s="47">
        <v>874.30108754756463</v>
      </c>
      <c r="C2167" s="46">
        <v>443.50113960144881</v>
      </c>
      <c r="D2167" s="1">
        <v>74</v>
      </c>
      <c r="E2167" s="1">
        <v>76</v>
      </c>
      <c r="F2167" s="1">
        <v>79</v>
      </c>
      <c r="G2167" s="1">
        <v>77</v>
      </c>
      <c r="H2167" s="1">
        <v>72</v>
      </c>
      <c r="I2167" s="1" t="s">
        <v>50</v>
      </c>
      <c r="J2167" s="1" t="s">
        <v>50</v>
      </c>
      <c r="K2167" s="1" t="s">
        <v>50</v>
      </c>
      <c r="L2167">
        <f t="shared" si="213"/>
        <v>128.33892814918858</v>
      </c>
      <c r="M2167">
        <f t="shared" si="212"/>
        <v>473.00623656700782</v>
      </c>
      <c r="N2167">
        <f t="shared" si="214"/>
        <v>473.00623656700782</v>
      </c>
      <c r="O2167">
        <f t="shared" si="215"/>
        <v>215.29992769227658</v>
      </c>
      <c r="P2167">
        <f t="shared" si="216"/>
        <v>172.96798541727486</v>
      </c>
      <c r="Q2167" t="e">
        <f t="shared" si="217"/>
        <v>#N/A</v>
      </c>
      <c r="U2167">
        <f>C2167/Navio!$J$4</f>
        <v>23.94716645551361</v>
      </c>
    </row>
    <row r="2168" spans="1:21" x14ac:dyDescent="0.3">
      <c r="A2168">
        <v>2166</v>
      </c>
      <c r="B2168" s="47">
        <v>895.50427813879196</v>
      </c>
      <c r="C2168" s="46">
        <v>447.37152808514219</v>
      </c>
      <c r="D2168" s="1">
        <v>78</v>
      </c>
      <c r="E2168" s="1">
        <v>79</v>
      </c>
      <c r="F2168" s="1">
        <v>76</v>
      </c>
      <c r="G2168" s="1">
        <v>74</v>
      </c>
      <c r="H2168" s="1">
        <v>72</v>
      </c>
      <c r="I2168" s="1" t="s">
        <v>50</v>
      </c>
      <c r="J2168" s="1" t="s">
        <v>50</v>
      </c>
      <c r="K2168" s="1" t="s">
        <v>50</v>
      </c>
      <c r="L2168">
        <f t="shared" si="213"/>
        <v>473.00623656700782</v>
      </c>
      <c r="M2168">
        <f t="shared" si="212"/>
        <v>473.00623656700782</v>
      </c>
      <c r="N2168">
        <f t="shared" si="214"/>
        <v>473.00623656700782</v>
      </c>
      <c r="O2168">
        <f t="shared" si="215"/>
        <v>128.33892814918858</v>
      </c>
      <c r="P2168">
        <f t="shared" si="216"/>
        <v>172.96798541727486</v>
      </c>
      <c r="Q2168" t="e">
        <f t="shared" si="217"/>
        <v>#N/A</v>
      </c>
      <c r="U2168">
        <f>C2168/Navio!$J$4</f>
        <v>24.156150895440415</v>
      </c>
    </row>
    <row r="2169" spans="1:21" x14ac:dyDescent="0.3">
      <c r="A2169">
        <v>2167</v>
      </c>
      <c r="B2169" s="47">
        <v>874.30108754756463</v>
      </c>
      <c r="C2169" s="46">
        <v>449.8684122955666</v>
      </c>
      <c r="D2169" s="1">
        <v>74</v>
      </c>
      <c r="E2169" s="1">
        <v>78</v>
      </c>
      <c r="F2169" s="1">
        <v>79</v>
      </c>
      <c r="G2169" s="1">
        <v>77</v>
      </c>
      <c r="H2169" s="1">
        <v>72</v>
      </c>
      <c r="I2169" s="1" t="s">
        <v>50</v>
      </c>
      <c r="J2169" s="1" t="s">
        <v>50</v>
      </c>
      <c r="K2169" s="1" t="s">
        <v>50</v>
      </c>
      <c r="L2169">
        <f t="shared" si="213"/>
        <v>128.33892814918858</v>
      </c>
      <c r="M2169">
        <f t="shared" si="212"/>
        <v>473.00623656700782</v>
      </c>
      <c r="N2169">
        <f t="shared" si="214"/>
        <v>473.00623656700782</v>
      </c>
      <c r="O2169">
        <f t="shared" si="215"/>
        <v>215.29992769227658</v>
      </c>
      <c r="P2169">
        <f t="shared" si="216"/>
        <v>172.96798541727486</v>
      </c>
      <c r="Q2169" t="e">
        <f t="shared" si="217"/>
        <v>#N/A</v>
      </c>
      <c r="U2169">
        <f>C2169/Navio!$J$4</f>
        <v>24.290971973602492</v>
      </c>
    </row>
    <row r="2170" spans="1:21" x14ac:dyDescent="0.3">
      <c r="D2170" s="1" t="s">
        <v>50</v>
      </c>
      <c r="E2170" s="1" t="s">
        <v>50</v>
      </c>
      <c r="F2170" s="1" t="s">
        <v>50</v>
      </c>
      <c r="G2170" s="1" t="s">
        <v>50</v>
      </c>
      <c r="H2170" s="1" t="s">
        <v>50</v>
      </c>
      <c r="I2170" s="1" t="s">
        <v>50</v>
      </c>
      <c r="J2170" s="1" t="s">
        <v>50</v>
      </c>
      <c r="K2170" s="1" t="s">
        <v>50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92C7A-C6AC-410D-A5C0-2A8002EEF65D}">
  <dimension ref="A1:A2168"/>
  <sheetViews>
    <sheetView tabSelected="1" workbookViewId="0">
      <selection activeCell="C1" sqref="C1"/>
    </sheetView>
  </sheetViews>
  <sheetFormatPr defaultRowHeight="14.4" x14ac:dyDescent="0.3"/>
  <sheetData>
    <row r="1" spans="1:1" x14ac:dyDescent="0.3">
      <c r="A1" s="47">
        <v>118.28447587559023</v>
      </c>
    </row>
    <row r="2" spans="1:1" x14ac:dyDescent="0.3">
      <c r="A2" s="47">
        <v>272.88821340404297</v>
      </c>
    </row>
    <row r="3" spans="1:1" x14ac:dyDescent="0.3">
      <c r="A3" s="47">
        <v>234.72817983270724</v>
      </c>
    </row>
    <row r="4" spans="1:1" x14ac:dyDescent="0.3">
      <c r="A4" s="47">
        <v>69.126040277960172</v>
      </c>
    </row>
    <row r="5" spans="1:1" x14ac:dyDescent="0.3">
      <c r="A5" s="47">
        <v>293.57481955364551</v>
      </c>
    </row>
    <row r="6" spans="1:1" x14ac:dyDescent="0.3">
      <c r="A6" s="47">
        <v>360.92797644763806</v>
      </c>
    </row>
    <row r="7" spans="1:1" x14ac:dyDescent="0.3">
      <c r="A7" s="47">
        <v>391.17268927963323</v>
      </c>
    </row>
    <row r="8" spans="1:1" x14ac:dyDescent="0.3">
      <c r="A8" s="47">
        <v>353.01265570829747</v>
      </c>
    </row>
    <row r="9" spans="1:1" x14ac:dyDescent="0.3">
      <c r="A9" s="47">
        <v>187.41051615355042</v>
      </c>
    </row>
    <row r="10" spans="1:1" x14ac:dyDescent="0.3">
      <c r="A10" s="47">
        <v>411.85929542923577</v>
      </c>
    </row>
    <row r="11" spans="1:1" x14ac:dyDescent="0.3">
      <c r="A11" s="47">
        <v>479.21245232322826</v>
      </c>
    </row>
    <row r="12" spans="1:1" x14ac:dyDescent="0.3">
      <c r="A12" s="47">
        <v>507.61639323675024</v>
      </c>
    </row>
    <row r="13" spans="1:1" x14ac:dyDescent="0.3">
      <c r="A13" s="47">
        <v>342.01425368200313</v>
      </c>
    </row>
    <row r="14" spans="1:1" x14ac:dyDescent="0.3">
      <c r="A14" s="47">
        <v>566.46303295768848</v>
      </c>
    </row>
    <row r="15" spans="1:1" x14ac:dyDescent="0.3">
      <c r="A15" s="47">
        <v>633.81618985168097</v>
      </c>
    </row>
    <row r="16" spans="1:1" x14ac:dyDescent="0.3">
      <c r="A16" s="47">
        <v>303.85422011066743</v>
      </c>
    </row>
    <row r="17" spans="1:1" x14ac:dyDescent="0.3">
      <c r="A17" s="47">
        <v>528.30299938635278</v>
      </c>
    </row>
    <row r="18" spans="1:1" x14ac:dyDescent="0.3">
      <c r="A18" s="47">
        <v>595.65615628034527</v>
      </c>
    </row>
    <row r="19" spans="1:1" x14ac:dyDescent="0.3">
      <c r="A19" s="47">
        <v>362.70085983160567</v>
      </c>
    </row>
    <row r="20" spans="1:1" x14ac:dyDescent="0.3">
      <c r="A20" s="47">
        <v>430.05401672559822</v>
      </c>
    </row>
    <row r="21" spans="1:1" x14ac:dyDescent="0.3">
      <c r="A21" s="47">
        <v>654.50279600128351</v>
      </c>
    </row>
    <row r="22" spans="1:1" x14ac:dyDescent="0.3">
      <c r="A22" s="47">
        <v>625.90086911234039</v>
      </c>
    </row>
    <row r="23" spans="1:1" x14ac:dyDescent="0.3">
      <c r="A23" s="47">
        <v>460.29872955759339</v>
      </c>
    </row>
    <row r="24" spans="1:1" x14ac:dyDescent="0.3">
      <c r="A24" s="47">
        <v>684.74750883327874</v>
      </c>
    </row>
    <row r="25" spans="1:1" x14ac:dyDescent="0.3">
      <c r="A25" s="47">
        <v>752.10066572727123</v>
      </c>
    </row>
    <row r="26" spans="1:1" x14ac:dyDescent="0.3">
      <c r="A26" s="47">
        <v>422.13869598625763</v>
      </c>
    </row>
    <row r="27" spans="1:1" x14ac:dyDescent="0.3">
      <c r="A27" s="47">
        <v>646.58747526194293</v>
      </c>
    </row>
    <row r="28" spans="1:1" x14ac:dyDescent="0.3">
      <c r="A28" s="47">
        <v>713.94063215593553</v>
      </c>
    </row>
    <row r="29" spans="1:1" x14ac:dyDescent="0.3">
      <c r="A29" s="47">
        <v>480.98533570719593</v>
      </c>
    </row>
    <row r="30" spans="1:1" x14ac:dyDescent="0.3">
      <c r="A30" s="47">
        <v>548.33849260118848</v>
      </c>
    </row>
    <row r="31" spans="1:1" x14ac:dyDescent="0.3">
      <c r="A31" s="47">
        <v>772.78727187687377</v>
      </c>
    </row>
    <row r="32" spans="1:1" x14ac:dyDescent="0.3">
      <c r="A32" s="47">
        <v>576.74243351471034</v>
      </c>
    </row>
    <row r="33" spans="1:1" x14ac:dyDescent="0.3">
      <c r="A33" s="47">
        <v>801.19121279039575</v>
      </c>
    </row>
    <row r="34" spans="1:1" x14ac:dyDescent="0.3">
      <c r="A34" s="47">
        <v>868.54436968438824</v>
      </c>
    </row>
    <row r="35" spans="1:1" x14ac:dyDescent="0.3">
      <c r="A35" s="47">
        <v>635.5890732356487</v>
      </c>
    </row>
    <row r="36" spans="1:1" x14ac:dyDescent="0.3">
      <c r="A36" s="47">
        <v>702.94223012964119</v>
      </c>
    </row>
    <row r="37" spans="1:1" x14ac:dyDescent="0.3">
      <c r="A37" s="47">
        <v>597.42903966431288</v>
      </c>
    </row>
    <row r="38" spans="1:1" x14ac:dyDescent="0.3">
      <c r="A38" s="47">
        <v>664.78219655830549</v>
      </c>
    </row>
    <row r="39" spans="1:1" x14ac:dyDescent="0.3">
      <c r="A39" s="47">
        <v>889.23097583399078</v>
      </c>
    </row>
    <row r="40" spans="1:1" x14ac:dyDescent="0.3">
      <c r="A40" s="47">
        <v>723.62883627924373</v>
      </c>
    </row>
    <row r="41" spans="1:1" x14ac:dyDescent="0.3">
      <c r="A41" s="47">
        <v>695.0269093903006</v>
      </c>
    </row>
    <row r="42" spans="1:1" x14ac:dyDescent="0.3">
      <c r="A42" s="47">
        <v>753.87354911123884</v>
      </c>
    </row>
    <row r="43" spans="1:1" x14ac:dyDescent="0.3">
      <c r="A43" s="47">
        <v>821.22670600523145</v>
      </c>
    </row>
    <row r="44" spans="1:1" x14ac:dyDescent="0.3">
      <c r="A44" s="47">
        <v>715.71351553990314</v>
      </c>
    </row>
    <row r="45" spans="1:1" x14ac:dyDescent="0.3">
      <c r="A45" s="47">
        <v>783.06667243389575</v>
      </c>
    </row>
    <row r="46" spans="1:1" x14ac:dyDescent="0.3">
      <c r="A46" s="47">
        <v>841.91331215483399</v>
      </c>
    </row>
    <row r="47" spans="1:1" x14ac:dyDescent="0.3">
      <c r="A47" s="47">
        <v>870.31725306835585</v>
      </c>
    </row>
    <row r="48" spans="1:1" x14ac:dyDescent="0.3">
      <c r="A48" s="47">
        <v>155</v>
      </c>
    </row>
    <row r="49" spans="1:1" x14ac:dyDescent="0.3">
      <c r="A49" s="47">
        <v>155</v>
      </c>
    </row>
    <row r="50" spans="1:1" x14ac:dyDescent="0.3">
      <c r="A50" s="47">
        <v>155</v>
      </c>
    </row>
    <row r="51" spans="1:1" x14ac:dyDescent="0.3">
      <c r="A51" s="47">
        <v>290.36739528320618</v>
      </c>
    </row>
    <row r="52" spans="1:1" x14ac:dyDescent="0.3">
      <c r="A52" s="47">
        <v>278.99258318037374</v>
      </c>
    </row>
    <row r="53" spans="1:1" x14ac:dyDescent="0.3">
      <c r="A53" s="47">
        <v>27.358853815103657</v>
      </c>
    </row>
    <row r="54" spans="1:1" x14ac:dyDescent="0.3">
      <c r="A54" s="47">
        <v>185.56448544286178</v>
      </c>
    </row>
    <row r="55" spans="1:1" x14ac:dyDescent="0.3">
      <c r="A55" s="47">
        <v>96.197414256198073</v>
      </c>
    </row>
    <row r="56" spans="1:1" x14ac:dyDescent="0.3">
      <c r="A56" s="47">
        <v>210.14742667389368</v>
      </c>
    </row>
    <row r="57" spans="1:1" x14ac:dyDescent="0.3">
      <c r="A57" s="47">
        <v>57.655995139091623</v>
      </c>
    </row>
    <row r="58" spans="1:1" x14ac:dyDescent="0.3">
      <c r="A58" s="47">
        <v>304.39567777634272</v>
      </c>
    </row>
    <row r="59" spans="1:1" x14ac:dyDescent="0.3">
      <c r="A59" s="47">
        <v>310</v>
      </c>
    </row>
    <row r="60" spans="1:1" x14ac:dyDescent="0.3">
      <c r="A60" s="47">
        <v>310</v>
      </c>
    </row>
    <row r="61" spans="1:1" x14ac:dyDescent="0.3">
      <c r="A61" s="47">
        <v>445.36739528320618</v>
      </c>
    </row>
    <row r="62" spans="1:1" x14ac:dyDescent="0.3">
      <c r="A62" s="47">
        <v>433.99258318037374</v>
      </c>
    </row>
    <row r="63" spans="1:1" x14ac:dyDescent="0.3">
      <c r="A63" s="47">
        <v>182.35885381510366</v>
      </c>
    </row>
    <row r="64" spans="1:1" x14ac:dyDescent="0.3">
      <c r="A64" s="47">
        <v>340.56448544286178</v>
      </c>
    </row>
    <row r="65" spans="1:1" x14ac:dyDescent="0.3">
      <c r="A65" s="47">
        <v>251.19741425619807</v>
      </c>
    </row>
    <row r="66" spans="1:1" x14ac:dyDescent="0.3">
      <c r="A66" s="47">
        <v>365.14742667389368</v>
      </c>
    </row>
    <row r="67" spans="1:1" x14ac:dyDescent="0.3">
      <c r="A67" s="47">
        <v>212.65599513909163</v>
      </c>
    </row>
    <row r="68" spans="1:1" x14ac:dyDescent="0.3">
      <c r="A68" s="47">
        <v>459.39567777634272</v>
      </c>
    </row>
    <row r="69" spans="1:1" x14ac:dyDescent="0.3">
      <c r="A69" s="47">
        <v>310</v>
      </c>
    </row>
    <row r="70" spans="1:1" x14ac:dyDescent="0.3">
      <c r="A70" s="47">
        <v>445.36739528320618</v>
      </c>
    </row>
    <row r="71" spans="1:1" x14ac:dyDescent="0.3">
      <c r="A71" s="47">
        <v>433.99258318037374</v>
      </c>
    </row>
    <row r="72" spans="1:1" x14ac:dyDescent="0.3">
      <c r="A72" s="47">
        <v>182.35885381510366</v>
      </c>
    </row>
    <row r="73" spans="1:1" x14ac:dyDescent="0.3">
      <c r="A73" s="47">
        <v>340.56448544286178</v>
      </c>
    </row>
    <row r="74" spans="1:1" x14ac:dyDescent="0.3">
      <c r="A74" s="47">
        <v>251.19741425619807</v>
      </c>
    </row>
    <row r="75" spans="1:1" x14ac:dyDescent="0.3">
      <c r="A75" s="47">
        <v>365.14742667389368</v>
      </c>
    </row>
    <row r="76" spans="1:1" x14ac:dyDescent="0.3">
      <c r="A76" s="47">
        <v>212.65599513909163</v>
      </c>
    </row>
    <row r="77" spans="1:1" x14ac:dyDescent="0.3">
      <c r="A77" s="47">
        <v>459.39567777634272</v>
      </c>
    </row>
    <row r="78" spans="1:1" x14ac:dyDescent="0.3">
      <c r="A78" s="47">
        <v>445.36739528320618</v>
      </c>
    </row>
    <row r="79" spans="1:1" x14ac:dyDescent="0.3">
      <c r="A79" s="47">
        <v>433.99258318037374</v>
      </c>
    </row>
    <row r="80" spans="1:1" x14ac:dyDescent="0.3">
      <c r="A80" s="47">
        <v>182.35885381510366</v>
      </c>
    </row>
    <row r="81" spans="1:1" x14ac:dyDescent="0.3">
      <c r="A81" s="47">
        <v>340.56448544286178</v>
      </c>
    </row>
    <row r="82" spans="1:1" x14ac:dyDescent="0.3">
      <c r="A82" s="47">
        <v>251.19741425619807</v>
      </c>
    </row>
    <row r="83" spans="1:1" x14ac:dyDescent="0.3">
      <c r="A83" s="47">
        <v>365.14742667389368</v>
      </c>
    </row>
    <row r="84" spans="1:1" x14ac:dyDescent="0.3">
      <c r="A84" s="47">
        <v>212.65599513909163</v>
      </c>
    </row>
    <row r="85" spans="1:1" x14ac:dyDescent="0.3">
      <c r="A85" s="47">
        <v>459.39567777634272</v>
      </c>
    </row>
    <row r="86" spans="1:1" x14ac:dyDescent="0.3">
      <c r="A86" s="47">
        <v>569.35997846357986</v>
      </c>
    </row>
    <row r="87" spans="1:1" x14ac:dyDescent="0.3">
      <c r="A87" s="47">
        <v>317.72624909830984</v>
      </c>
    </row>
    <row r="88" spans="1:1" x14ac:dyDescent="0.3">
      <c r="A88" s="47">
        <v>475.93188072606796</v>
      </c>
    </row>
    <row r="89" spans="1:1" x14ac:dyDescent="0.3">
      <c r="A89" s="47">
        <v>386.56480953940422</v>
      </c>
    </row>
    <row r="90" spans="1:1" x14ac:dyDescent="0.3">
      <c r="A90" s="47">
        <v>500.51482195709985</v>
      </c>
    </row>
    <row r="91" spans="1:1" x14ac:dyDescent="0.3">
      <c r="A91" s="47">
        <v>348.02339042229778</v>
      </c>
    </row>
    <row r="92" spans="1:1" x14ac:dyDescent="0.3">
      <c r="A92" s="47">
        <v>594.7630730595489</v>
      </c>
    </row>
    <row r="93" spans="1:1" x14ac:dyDescent="0.3">
      <c r="A93" s="47">
        <v>306.3514369954774</v>
      </c>
    </row>
    <row r="94" spans="1:1" x14ac:dyDescent="0.3">
      <c r="A94" s="47">
        <v>464.55706862323552</v>
      </c>
    </row>
    <row r="95" spans="1:1" x14ac:dyDescent="0.3">
      <c r="A95" s="47">
        <v>375.18999743657184</v>
      </c>
    </row>
    <row r="96" spans="1:1" x14ac:dyDescent="0.3">
      <c r="A96" s="47">
        <v>489.14000985426742</v>
      </c>
    </row>
    <row r="97" spans="1:1" x14ac:dyDescent="0.3">
      <c r="A97" s="47">
        <v>336.64857831946534</v>
      </c>
    </row>
    <row r="98" spans="1:1" x14ac:dyDescent="0.3">
      <c r="A98" s="47">
        <v>583.38826095671652</v>
      </c>
    </row>
    <row r="99" spans="1:1" x14ac:dyDescent="0.3">
      <c r="A99" s="47">
        <v>212.92333925796544</v>
      </c>
    </row>
    <row r="100" spans="1:1" x14ac:dyDescent="0.3">
      <c r="A100" s="47">
        <v>123.55626807130173</v>
      </c>
    </row>
    <row r="101" spans="1:1" x14ac:dyDescent="0.3">
      <c r="A101" s="47">
        <v>237.50628048899733</v>
      </c>
    </row>
    <row r="102" spans="1:1" x14ac:dyDescent="0.3">
      <c r="A102" s="47">
        <v>85.014848954195273</v>
      </c>
    </row>
    <row r="103" spans="1:1" x14ac:dyDescent="0.3">
      <c r="A103" s="47">
        <v>331.75453159144638</v>
      </c>
    </row>
    <row r="104" spans="1:1" x14ac:dyDescent="0.3">
      <c r="A104" s="47">
        <v>281.76189969905988</v>
      </c>
    </row>
    <row r="105" spans="1:1" x14ac:dyDescent="0.3">
      <c r="A105" s="47">
        <v>395.71191211675546</v>
      </c>
    </row>
    <row r="106" spans="1:1" x14ac:dyDescent="0.3">
      <c r="A106" s="47">
        <v>243.22048058195341</v>
      </c>
    </row>
    <row r="107" spans="1:1" x14ac:dyDescent="0.3">
      <c r="A107" s="47">
        <v>489.9601632192045</v>
      </c>
    </row>
    <row r="108" spans="1:1" x14ac:dyDescent="0.3">
      <c r="A108" s="47">
        <v>306.34484093009178</v>
      </c>
    </row>
    <row r="109" spans="1:1" x14ac:dyDescent="0.3">
      <c r="A109" s="47">
        <v>153.8534093952897</v>
      </c>
    </row>
    <row r="110" spans="1:1" x14ac:dyDescent="0.3">
      <c r="A110" s="47">
        <v>400.59309203254077</v>
      </c>
    </row>
    <row r="111" spans="1:1" x14ac:dyDescent="0.3">
      <c r="A111" s="47">
        <v>267.80342181298528</v>
      </c>
    </row>
    <row r="112" spans="1:1" x14ac:dyDescent="0.3">
      <c r="A112" s="47">
        <v>514.54310445023634</v>
      </c>
    </row>
    <row r="113" spans="1:1" x14ac:dyDescent="0.3">
      <c r="A113" s="47">
        <v>362.05167291543432</v>
      </c>
    </row>
    <row r="114" spans="1:1" x14ac:dyDescent="0.3">
      <c r="A114" s="47">
        <v>465</v>
      </c>
    </row>
    <row r="115" spans="1:1" x14ac:dyDescent="0.3">
      <c r="A115" s="47">
        <v>600.36739528320618</v>
      </c>
    </row>
    <row r="116" spans="1:1" x14ac:dyDescent="0.3">
      <c r="A116" s="47">
        <v>588.99258318037369</v>
      </c>
    </row>
    <row r="117" spans="1:1" x14ac:dyDescent="0.3">
      <c r="A117" s="47">
        <v>337.35885381510366</v>
      </c>
    </row>
    <row r="118" spans="1:1" x14ac:dyDescent="0.3">
      <c r="A118" s="47">
        <v>495.56448544286178</v>
      </c>
    </row>
    <row r="119" spans="1:1" x14ac:dyDescent="0.3">
      <c r="A119" s="47">
        <v>406.19741425619804</v>
      </c>
    </row>
    <row r="120" spans="1:1" x14ac:dyDescent="0.3">
      <c r="A120" s="47">
        <v>520.14742667389373</v>
      </c>
    </row>
    <row r="121" spans="1:1" x14ac:dyDescent="0.3">
      <c r="A121" s="47">
        <v>367.6559951390916</v>
      </c>
    </row>
    <row r="122" spans="1:1" x14ac:dyDescent="0.3">
      <c r="A122" s="47">
        <v>614.39567777634272</v>
      </c>
    </row>
    <row r="123" spans="1:1" x14ac:dyDescent="0.3">
      <c r="A123" s="47">
        <v>600.36739528320618</v>
      </c>
    </row>
    <row r="124" spans="1:1" x14ac:dyDescent="0.3">
      <c r="A124" s="47">
        <v>588.99258318037369</v>
      </c>
    </row>
    <row r="125" spans="1:1" x14ac:dyDescent="0.3">
      <c r="A125" s="47">
        <v>337.35885381510366</v>
      </c>
    </row>
    <row r="126" spans="1:1" x14ac:dyDescent="0.3">
      <c r="A126" s="47">
        <v>495.56448544286178</v>
      </c>
    </row>
    <row r="127" spans="1:1" x14ac:dyDescent="0.3">
      <c r="A127" s="47">
        <v>406.19741425619804</v>
      </c>
    </row>
    <row r="128" spans="1:1" x14ac:dyDescent="0.3">
      <c r="A128" s="47">
        <v>520.14742667389373</v>
      </c>
    </row>
    <row r="129" spans="1:1" x14ac:dyDescent="0.3">
      <c r="A129" s="47">
        <v>367.6559951390916</v>
      </c>
    </row>
    <row r="130" spans="1:1" x14ac:dyDescent="0.3">
      <c r="A130" s="47">
        <v>614.39567777634272</v>
      </c>
    </row>
    <row r="131" spans="1:1" x14ac:dyDescent="0.3">
      <c r="A131" s="47">
        <v>724.35997846357986</v>
      </c>
    </row>
    <row r="132" spans="1:1" x14ac:dyDescent="0.3">
      <c r="A132" s="47">
        <v>472.72624909830984</v>
      </c>
    </row>
    <row r="133" spans="1:1" x14ac:dyDescent="0.3">
      <c r="A133" s="47">
        <v>630.9318807260679</v>
      </c>
    </row>
    <row r="134" spans="1:1" x14ac:dyDescent="0.3">
      <c r="A134" s="47">
        <v>541.56480953940422</v>
      </c>
    </row>
    <row r="135" spans="1:1" x14ac:dyDescent="0.3">
      <c r="A135" s="47">
        <v>655.51482195709991</v>
      </c>
    </row>
    <row r="136" spans="1:1" x14ac:dyDescent="0.3">
      <c r="A136" s="47">
        <v>503.02339042229778</v>
      </c>
    </row>
    <row r="137" spans="1:1" x14ac:dyDescent="0.3">
      <c r="A137" s="47">
        <v>749.7630730595489</v>
      </c>
    </row>
    <row r="138" spans="1:1" x14ac:dyDescent="0.3">
      <c r="A138" s="47">
        <v>461.3514369954774</v>
      </c>
    </row>
    <row r="139" spans="1:1" x14ac:dyDescent="0.3">
      <c r="A139" s="47">
        <v>619.55706862323552</v>
      </c>
    </row>
    <row r="140" spans="1:1" x14ac:dyDescent="0.3">
      <c r="A140" s="47">
        <v>530.18999743657184</v>
      </c>
    </row>
    <row r="141" spans="1:1" x14ac:dyDescent="0.3">
      <c r="A141" s="47">
        <v>644.14000985426742</v>
      </c>
    </row>
    <row r="142" spans="1:1" x14ac:dyDescent="0.3">
      <c r="A142" s="47">
        <v>491.64857831946534</v>
      </c>
    </row>
    <row r="143" spans="1:1" x14ac:dyDescent="0.3">
      <c r="A143" s="47">
        <v>738.38826095671652</v>
      </c>
    </row>
    <row r="144" spans="1:1" x14ac:dyDescent="0.3">
      <c r="A144" s="47">
        <v>367.92333925796544</v>
      </c>
    </row>
    <row r="145" spans="1:1" x14ac:dyDescent="0.3">
      <c r="A145" s="47">
        <v>278.5562680713017</v>
      </c>
    </row>
    <row r="146" spans="1:1" x14ac:dyDescent="0.3">
      <c r="A146" s="47">
        <v>392.50628048899733</v>
      </c>
    </row>
    <row r="147" spans="1:1" x14ac:dyDescent="0.3">
      <c r="A147" s="47">
        <v>240.01484895419529</v>
      </c>
    </row>
    <row r="148" spans="1:1" x14ac:dyDescent="0.3">
      <c r="A148" s="47">
        <v>486.75453159144638</v>
      </c>
    </row>
    <row r="149" spans="1:1" x14ac:dyDescent="0.3">
      <c r="A149" s="47">
        <v>436.76189969905988</v>
      </c>
    </row>
    <row r="150" spans="1:1" x14ac:dyDescent="0.3">
      <c r="A150" s="47">
        <v>550.71191211675546</v>
      </c>
    </row>
    <row r="151" spans="1:1" x14ac:dyDescent="0.3">
      <c r="A151" s="47">
        <v>398.22048058195338</v>
      </c>
    </row>
    <row r="152" spans="1:1" x14ac:dyDescent="0.3">
      <c r="A152" s="47">
        <v>644.96016321920456</v>
      </c>
    </row>
    <row r="153" spans="1:1" x14ac:dyDescent="0.3">
      <c r="A153" s="47">
        <v>461.34484093009178</v>
      </c>
    </row>
    <row r="154" spans="1:1" x14ac:dyDescent="0.3">
      <c r="A154" s="47">
        <v>308.8534093952897</v>
      </c>
    </row>
    <row r="155" spans="1:1" x14ac:dyDescent="0.3">
      <c r="A155" s="47">
        <v>555.59309203254077</v>
      </c>
    </row>
    <row r="156" spans="1:1" x14ac:dyDescent="0.3">
      <c r="A156" s="47">
        <v>422.80342181298528</v>
      </c>
    </row>
    <row r="157" spans="1:1" x14ac:dyDescent="0.3">
      <c r="A157" s="47">
        <v>669.54310445023634</v>
      </c>
    </row>
    <row r="158" spans="1:1" x14ac:dyDescent="0.3">
      <c r="A158" s="47">
        <v>517.05167291543432</v>
      </c>
    </row>
    <row r="159" spans="1:1" x14ac:dyDescent="0.3">
      <c r="A159" s="47">
        <v>600.36739528320618</v>
      </c>
    </row>
    <row r="160" spans="1:1" x14ac:dyDescent="0.3">
      <c r="A160" s="47">
        <v>588.99258318037369</v>
      </c>
    </row>
    <row r="161" spans="1:1" x14ac:dyDescent="0.3">
      <c r="A161" s="47">
        <v>337.35885381510366</v>
      </c>
    </row>
    <row r="162" spans="1:1" x14ac:dyDescent="0.3">
      <c r="A162" s="47">
        <v>495.56448544286178</v>
      </c>
    </row>
    <row r="163" spans="1:1" x14ac:dyDescent="0.3">
      <c r="A163" s="47">
        <v>406.19741425619804</v>
      </c>
    </row>
    <row r="164" spans="1:1" x14ac:dyDescent="0.3">
      <c r="A164" s="47">
        <v>520.14742667389373</v>
      </c>
    </row>
    <row r="165" spans="1:1" x14ac:dyDescent="0.3">
      <c r="A165" s="47">
        <v>367.6559951390916</v>
      </c>
    </row>
    <row r="166" spans="1:1" x14ac:dyDescent="0.3">
      <c r="A166" s="47">
        <v>614.39567777634272</v>
      </c>
    </row>
    <row r="167" spans="1:1" x14ac:dyDescent="0.3">
      <c r="A167" s="47">
        <v>724.35997846357986</v>
      </c>
    </row>
    <row r="168" spans="1:1" x14ac:dyDescent="0.3">
      <c r="A168" s="47">
        <v>472.72624909830984</v>
      </c>
    </row>
    <row r="169" spans="1:1" x14ac:dyDescent="0.3">
      <c r="A169" s="47">
        <v>630.9318807260679</v>
      </c>
    </row>
    <row r="170" spans="1:1" x14ac:dyDescent="0.3">
      <c r="A170" s="47">
        <v>541.56480953940422</v>
      </c>
    </row>
    <row r="171" spans="1:1" x14ac:dyDescent="0.3">
      <c r="A171" s="47">
        <v>655.51482195709991</v>
      </c>
    </row>
    <row r="172" spans="1:1" x14ac:dyDescent="0.3">
      <c r="A172" s="47">
        <v>503.02339042229778</v>
      </c>
    </row>
    <row r="173" spans="1:1" x14ac:dyDescent="0.3">
      <c r="A173" s="47">
        <v>749.7630730595489</v>
      </c>
    </row>
    <row r="174" spans="1:1" x14ac:dyDescent="0.3">
      <c r="A174" s="47">
        <v>461.3514369954774</v>
      </c>
    </row>
    <row r="175" spans="1:1" x14ac:dyDescent="0.3">
      <c r="A175" s="47">
        <v>619.55706862323552</v>
      </c>
    </row>
    <row r="176" spans="1:1" x14ac:dyDescent="0.3">
      <c r="A176" s="47">
        <v>530.18999743657184</v>
      </c>
    </row>
    <row r="177" spans="1:1" x14ac:dyDescent="0.3">
      <c r="A177" s="47">
        <v>644.14000985426742</v>
      </c>
    </row>
    <row r="178" spans="1:1" x14ac:dyDescent="0.3">
      <c r="A178" s="47">
        <v>491.64857831946534</v>
      </c>
    </row>
    <row r="179" spans="1:1" x14ac:dyDescent="0.3">
      <c r="A179" s="47">
        <v>738.38826095671652</v>
      </c>
    </row>
    <row r="180" spans="1:1" x14ac:dyDescent="0.3">
      <c r="A180" s="47">
        <v>367.92333925796544</v>
      </c>
    </row>
    <row r="181" spans="1:1" x14ac:dyDescent="0.3">
      <c r="A181" s="47">
        <v>278.5562680713017</v>
      </c>
    </row>
    <row r="182" spans="1:1" x14ac:dyDescent="0.3">
      <c r="A182" s="47">
        <v>392.50628048899733</v>
      </c>
    </row>
    <row r="183" spans="1:1" x14ac:dyDescent="0.3">
      <c r="A183" s="47">
        <v>240.01484895419529</v>
      </c>
    </row>
    <row r="184" spans="1:1" x14ac:dyDescent="0.3">
      <c r="A184" s="47">
        <v>486.75453159144638</v>
      </c>
    </row>
    <row r="185" spans="1:1" x14ac:dyDescent="0.3">
      <c r="A185" s="47">
        <v>436.76189969905988</v>
      </c>
    </row>
    <row r="186" spans="1:1" x14ac:dyDescent="0.3">
      <c r="A186" s="47">
        <v>550.71191211675546</v>
      </c>
    </row>
    <row r="187" spans="1:1" x14ac:dyDescent="0.3">
      <c r="A187" s="47">
        <v>398.22048058195338</v>
      </c>
    </row>
    <row r="188" spans="1:1" x14ac:dyDescent="0.3">
      <c r="A188" s="47">
        <v>644.96016321920456</v>
      </c>
    </row>
    <row r="189" spans="1:1" x14ac:dyDescent="0.3">
      <c r="A189" s="47">
        <v>461.34484093009178</v>
      </c>
    </row>
    <row r="190" spans="1:1" x14ac:dyDescent="0.3">
      <c r="A190" s="47">
        <v>308.8534093952897</v>
      </c>
    </row>
    <row r="191" spans="1:1" x14ac:dyDescent="0.3">
      <c r="A191" s="47">
        <v>555.59309203254077</v>
      </c>
    </row>
    <row r="192" spans="1:1" x14ac:dyDescent="0.3">
      <c r="A192" s="47">
        <v>422.80342181298528</v>
      </c>
    </row>
    <row r="193" spans="1:1" x14ac:dyDescent="0.3">
      <c r="A193" s="47">
        <v>669.54310445023634</v>
      </c>
    </row>
    <row r="194" spans="1:1" x14ac:dyDescent="0.3">
      <c r="A194" s="47">
        <v>517.05167291543432</v>
      </c>
    </row>
    <row r="195" spans="1:1" x14ac:dyDescent="0.3">
      <c r="A195" s="47">
        <v>724.35997846357986</v>
      </c>
    </row>
    <row r="196" spans="1:1" x14ac:dyDescent="0.3">
      <c r="A196" s="47">
        <v>472.72624909830984</v>
      </c>
    </row>
    <row r="197" spans="1:1" x14ac:dyDescent="0.3">
      <c r="A197" s="47">
        <v>630.9318807260679</v>
      </c>
    </row>
    <row r="198" spans="1:1" x14ac:dyDescent="0.3">
      <c r="A198" s="47">
        <v>541.56480953940422</v>
      </c>
    </row>
    <row r="199" spans="1:1" x14ac:dyDescent="0.3">
      <c r="A199" s="47">
        <v>655.51482195709991</v>
      </c>
    </row>
    <row r="200" spans="1:1" x14ac:dyDescent="0.3">
      <c r="A200" s="47">
        <v>503.02339042229778</v>
      </c>
    </row>
    <row r="201" spans="1:1" x14ac:dyDescent="0.3">
      <c r="A201" s="47">
        <v>749.7630730595489</v>
      </c>
    </row>
    <row r="202" spans="1:1" x14ac:dyDescent="0.3">
      <c r="A202" s="47">
        <v>461.3514369954774</v>
      </c>
    </row>
    <row r="203" spans="1:1" x14ac:dyDescent="0.3">
      <c r="A203" s="47">
        <v>619.55706862323552</v>
      </c>
    </row>
    <row r="204" spans="1:1" x14ac:dyDescent="0.3">
      <c r="A204" s="47">
        <v>530.18999743657184</v>
      </c>
    </row>
    <row r="205" spans="1:1" x14ac:dyDescent="0.3">
      <c r="A205" s="47">
        <v>644.14000985426742</v>
      </c>
    </row>
    <row r="206" spans="1:1" x14ac:dyDescent="0.3">
      <c r="A206" s="47">
        <v>491.64857831946534</v>
      </c>
    </row>
    <row r="207" spans="1:1" x14ac:dyDescent="0.3">
      <c r="A207" s="47">
        <v>738.38826095671652</v>
      </c>
    </row>
    <row r="208" spans="1:1" x14ac:dyDescent="0.3">
      <c r="A208" s="47">
        <v>367.92333925796544</v>
      </c>
    </row>
    <row r="209" spans="1:1" x14ac:dyDescent="0.3">
      <c r="A209" s="47">
        <v>278.5562680713017</v>
      </c>
    </row>
    <row r="210" spans="1:1" x14ac:dyDescent="0.3">
      <c r="A210" s="47">
        <v>392.50628048899733</v>
      </c>
    </row>
    <row r="211" spans="1:1" x14ac:dyDescent="0.3">
      <c r="A211" s="47">
        <v>240.01484895419529</v>
      </c>
    </row>
    <row r="212" spans="1:1" x14ac:dyDescent="0.3">
      <c r="A212" s="47">
        <v>486.75453159144638</v>
      </c>
    </row>
    <row r="213" spans="1:1" x14ac:dyDescent="0.3">
      <c r="A213" s="47">
        <v>436.76189969905988</v>
      </c>
    </row>
    <row r="214" spans="1:1" x14ac:dyDescent="0.3">
      <c r="A214" s="47">
        <v>550.71191211675546</v>
      </c>
    </row>
    <row r="215" spans="1:1" x14ac:dyDescent="0.3">
      <c r="A215" s="47">
        <v>398.22048058195338</v>
      </c>
    </row>
    <row r="216" spans="1:1" x14ac:dyDescent="0.3">
      <c r="A216" s="47">
        <v>644.96016321920456</v>
      </c>
    </row>
    <row r="217" spans="1:1" x14ac:dyDescent="0.3">
      <c r="A217" s="47">
        <v>461.34484093009178</v>
      </c>
    </row>
    <row r="218" spans="1:1" x14ac:dyDescent="0.3">
      <c r="A218" s="47">
        <v>308.8534093952897</v>
      </c>
    </row>
    <row r="219" spans="1:1" x14ac:dyDescent="0.3">
      <c r="A219" s="47">
        <v>555.59309203254077</v>
      </c>
    </row>
    <row r="220" spans="1:1" x14ac:dyDescent="0.3">
      <c r="A220" s="47">
        <v>422.80342181298528</v>
      </c>
    </row>
    <row r="221" spans="1:1" x14ac:dyDescent="0.3">
      <c r="A221" s="47">
        <v>669.54310445023634</v>
      </c>
    </row>
    <row r="222" spans="1:1" x14ac:dyDescent="0.3">
      <c r="A222" s="47">
        <v>517.05167291543432</v>
      </c>
    </row>
    <row r="223" spans="1:1" x14ac:dyDescent="0.3">
      <c r="A223" s="47">
        <v>596.71883227868352</v>
      </c>
    </row>
    <row r="224" spans="1:1" x14ac:dyDescent="0.3">
      <c r="A224" s="47">
        <v>754.9244639064417</v>
      </c>
    </row>
    <row r="225" spans="1:1" x14ac:dyDescent="0.3">
      <c r="A225" s="47">
        <v>665.55739271977802</v>
      </c>
    </row>
    <row r="226" spans="1:1" x14ac:dyDescent="0.3">
      <c r="A226" s="47">
        <v>779.5074051374736</v>
      </c>
    </row>
    <row r="227" spans="1:1" x14ac:dyDescent="0.3">
      <c r="A227" s="47">
        <v>627.01597360267158</v>
      </c>
    </row>
    <row r="228" spans="1:1" x14ac:dyDescent="0.3">
      <c r="A228" s="47">
        <v>873.7556562399227</v>
      </c>
    </row>
    <row r="229" spans="1:1" x14ac:dyDescent="0.3">
      <c r="A229" s="47">
        <v>503.29073454117162</v>
      </c>
    </row>
    <row r="230" spans="1:1" x14ac:dyDescent="0.3">
      <c r="A230" s="47">
        <v>413.92366335450788</v>
      </c>
    </row>
    <row r="231" spans="1:1" x14ac:dyDescent="0.3">
      <c r="A231" s="47">
        <v>527.87367577220357</v>
      </c>
    </row>
    <row r="232" spans="1:1" x14ac:dyDescent="0.3">
      <c r="A232" s="47">
        <v>375.38224423740144</v>
      </c>
    </row>
    <row r="233" spans="1:1" x14ac:dyDescent="0.3">
      <c r="A233" s="47">
        <v>622.12192687465256</v>
      </c>
    </row>
    <row r="234" spans="1:1" x14ac:dyDescent="0.3">
      <c r="A234" s="47">
        <v>572.12929498226606</v>
      </c>
    </row>
    <row r="235" spans="1:1" x14ac:dyDescent="0.3">
      <c r="A235" s="47">
        <v>686.07930739996164</v>
      </c>
    </row>
    <row r="236" spans="1:1" x14ac:dyDescent="0.3">
      <c r="A236" s="47">
        <v>533.58787586515962</v>
      </c>
    </row>
    <row r="237" spans="1:1" x14ac:dyDescent="0.3">
      <c r="A237" s="47">
        <v>780.32755850241074</v>
      </c>
    </row>
    <row r="238" spans="1:1" x14ac:dyDescent="0.3">
      <c r="A238" s="47">
        <v>596.71223621329796</v>
      </c>
    </row>
    <row r="239" spans="1:1" x14ac:dyDescent="0.3">
      <c r="A239" s="47">
        <v>444.22080467849588</v>
      </c>
    </row>
    <row r="240" spans="1:1" x14ac:dyDescent="0.3">
      <c r="A240" s="47">
        <v>690.96048731574695</v>
      </c>
    </row>
    <row r="241" spans="1:1" x14ac:dyDescent="0.3">
      <c r="A241" s="47">
        <v>558.17081709619151</v>
      </c>
    </row>
    <row r="242" spans="1:1" x14ac:dyDescent="0.3">
      <c r="A242" s="47">
        <v>804.91049973344252</v>
      </c>
    </row>
    <row r="243" spans="1:1" x14ac:dyDescent="0.3">
      <c r="A243" s="47">
        <v>652.4190681986405</v>
      </c>
    </row>
    <row r="244" spans="1:1" x14ac:dyDescent="0.3">
      <c r="A244" s="47">
        <v>491.91592243833918</v>
      </c>
    </row>
    <row r="245" spans="1:1" x14ac:dyDescent="0.3">
      <c r="A245" s="47">
        <v>402.5488512516755</v>
      </c>
    </row>
    <row r="246" spans="1:1" x14ac:dyDescent="0.3">
      <c r="A246" s="47">
        <v>516.49886366937108</v>
      </c>
    </row>
    <row r="247" spans="1:1" x14ac:dyDescent="0.3">
      <c r="A247" s="47">
        <v>364.007432134569</v>
      </c>
    </row>
    <row r="248" spans="1:1" x14ac:dyDescent="0.3">
      <c r="A248" s="47">
        <v>610.74711477182018</v>
      </c>
    </row>
    <row r="249" spans="1:1" x14ac:dyDescent="0.3">
      <c r="A249" s="47">
        <v>560.75448287943357</v>
      </c>
    </row>
    <row r="250" spans="1:1" x14ac:dyDescent="0.3">
      <c r="A250" s="47">
        <v>674.70449529712914</v>
      </c>
    </row>
    <row r="251" spans="1:1" x14ac:dyDescent="0.3">
      <c r="A251" s="47">
        <v>522.21306376232712</v>
      </c>
    </row>
    <row r="252" spans="1:1" x14ac:dyDescent="0.3">
      <c r="A252" s="47">
        <v>768.95274639957825</v>
      </c>
    </row>
    <row r="253" spans="1:1" x14ac:dyDescent="0.3">
      <c r="A253" s="47">
        <v>585.33742411046546</v>
      </c>
    </row>
    <row r="254" spans="1:1" x14ac:dyDescent="0.3">
      <c r="A254" s="47">
        <v>432.84599257566344</v>
      </c>
    </row>
    <row r="255" spans="1:1" x14ac:dyDescent="0.3">
      <c r="A255" s="47">
        <v>679.58567521291457</v>
      </c>
    </row>
    <row r="256" spans="1:1" x14ac:dyDescent="0.3">
      <c r="A256" s="47">
        <v>546.79600499335902</v>
      </c>
    </row>
    <row r="257" spans="1:1" x14ac:dyDescent="0.3">
      <c r="A257" s="47">
        <v>793.53568763061014</v>
      </c>
    </row>
    <row r="258" spans="1:1" x14ac:dyDescent="0.3">
      <c r="A258" s="47">
        <v>641.04425609580812</v>
      </c>
    </row>
    <row r="259" spans="1:1" x14ac:dyDescent="0.3">
      <c r="A259" s="47">
        <v>309.12075351416354</v>
      </c>
    </row>
    <row r="260" spans="1:1" x14ac:dyDescent="0.3">
      <c r="A260" s="47">
        <v>423.07076593185911</v>
      </c>
    </row>
    <row r="261" spans="1:1" x14ac:dyDescent="0.3">
      <c r="A261" s="47">
        <v>270.57933439705704</v>
      </c>
    </row>
    <row r="262" spans="1:1" x14ac:dyDescent="0.3">
      <c r="A262" s="47">
        <v>517.31901703430822</v>
      </c>
    </row>
    <row r="263" spans="1:1" x14ac:dyDescent="0.3">
      <c r="A263" s="47">
        <v>333.70369474519543</v>
      </c>
    </row>
    <row r="264" spans="1:1" x14ac:dyDescent="0.3">
      <c r="A264" s="47">
        <v>181.21226321039336</v>
      </c>
    </row>
    <row r="265" spans="1:1" x14ac:dyDescent="0.3">
      <c r="A265" s="47">
        <v>427.95194584764442</v>
      </c>
    </row>
    <row r="266" spans="1:1" x14ac:dyDescent="0.3">
      <c r="A266" s="47">
        <v>295.16227562808893</v>
      </c>
    </row>
    <row r="267" spans="1:1" x14ac:dyDescent="0.3">
      <c r="A267" s="47">
        <v>541.90195826534</v>
      </c>
    </row>
    <row r="268" spans="1:1" x14ac:dyDescent="0.3">
      <c r="A268" s="47">
        <v>389.41052673053798</v>
      </c>
    </row>
    <row r="269" spans="1:1" x14ac:dyDescent="0.3">
      <c r="A269" s="47">
        <v>491.9093263729535</v>
      </c>
    </row>
    <row r="270" spans="1:1" x14ac:dyDescent="0.3">
      <c r="A270" s="47">
        <v>339.41789483815148</v>
      </c>
    </row>
    <row r="271" spans="1:1" x14ac:dyDescent="0.3">
      <c r="A271" s="47">
        <v>586.1575774754026</v>
      </c>
    </row>
    <row r="272" spans="1:1" x14ac:dyDescent="0.3">
      <c r="A272" s="47">
        <v>453.36790725584706</v>
      </c>
    </row>
    <row r="273" spans="1:1" x14ac:dyDescent="0.3">
      <c r="A273" s="47">
        <v>700.10758989309818</v>
      </c>
    </row>
    <row r="274" spans="1:1" x14ac:dyDescent="0.3">
      <c r="A274" s="47">
        <v>547.61615835829616</v>
      </c>
    </row>
    <row r="275" spans="1:1" x14ac:dyDescent="0.3">
      <c r="A275" s="47">
        <v>364.00083606918338</v>
      </c>
    </row>
    <row r="276" spans="1:1" x14ac:dyDescent="0.3">
      <c r="A276" s="47">
        <v>610.7405187064345</v>
      </c>
    </row>
    <row r="277" spans="1:1" x14ac:dyDescent="0.3">
      <c r="A277" s="47">
        <v>458.24908717163242</v>
      </c>
    </row>
    <row r="278" spans="1:1" x14ac:dyDescent="0.3">
      <c r="A278" s="47">
        <v>572.19909958932806</v>
      </c>
    </row>
    <row r="279" spans="1:1" x14ac:dyDescent="0.3">
      <c r="A279" s="47">
        <v>755.36739528320618</v>
      </c>
    </row>
    <row r="280" spans="1:1" x14ac:dyDescent="0.3">
      <c r="A280" s="47">
        <v>743.99258318037369</v>
      </c>
    </row>
    <row r="281" spans="1:1" x14ac:dyDescent="0.3">
      <c r="A281" s="47">
        <v>492.35885381510366</v>
      </c>
    </row>
    <row r="282" spans="1:1" x14ac:dyDescent="0.3">
      <c r="A282" s="47">
        <v>650.56448544286172</v>
      </c>
    </row>
    <row r="283" spans="1:1" x14ac:dyDescent="0.3">
      <c r="A283" s="47">
        <v>561.19741425619804</v>
      </c>
    </row>
    <row r="284" spans="1:1" x14ac:dyDescent="0.3">
      <c r="A284" s="47">
        <v>675.14742667389373</v>
      </c>
    </row>
    <row r="285" spans="1:1" x14ac:dyDescent="0.3">
      <c r="A285" s="47">
        <v>522.6559951390916</v>
      </c>
    </row>
    <row r="286" spans="1:1" x14ac:dyDescent="0.3">
      <c r="A286" s="47">
        <v>769.39567777634272</v>
      </c>
    </row>
    <row r="287" spans="1:1" x14ac:dyDescent="0.3">
      <c r="A287" s="47">
        <v>879.35997846357986</v>
      </c>
    </row>
    <row r="288" spans="1:1" x14ac:dyDescent="0.3">
      <c r="A288" s="47">
        <v>627.72624909830984</v>
      </c>
    </row>
    <row r="289" spans="1:1" x14ac:dyDescent="0.3">
      <c r="A289" s="47">
        <v>785.9318807260679</v>
      </c>
    </row>
    <row r="290" spans="1:1" x14ac:dyDescent="0.3">
      <c r="A290" s="47">
        <v>696.56480953940422</v>
      </c>
    </row>
    <row r="291" spans="1:1" x14ac:dyDescent="0.3">
      <c r="A291" s="47">
        <v>810.51482195709991</v>
      </c>
    </row>
    <row r="292" spans="1:1" x14ac:dyDescent="0.3">
      <c r="A292" s="47">
        <v>658.02339042229778</v>
      </c>
    </row>
    <row r="293" spans="1:1" x14ac:dyDescent="0.3">
      <c r="A293" s="47">
        <v>616.35143699547734</v>
      </c>
    </row>
    <row r="294" spans="1:1" x14ac:dyDescent="0.3">
      <c r="A294" s="47">
        <v>774.55706862323552</v>
      </c>
    </row>
    <row r="295" spans="1:1" x14ac:dyDescent="0.3">
      <c r="A295" s="47">
        <v>685.18999743657184</v>
      </c>
    </row>
    <row r="296" spans="1:1" x14ac:dyDescent="0.3">
      <c r="A296" s="47">
        <v>799.14000985426742</v>
      </c>
    </row>
    <row r="297" spans="1:1" x14ac:dyDescent="0.3">
      <c r="A297" s="47">
        <v>646.6485783194654</v>
      </c>
    </row>
    <row r="298" spans="1:1" x14ac:dyDescent="0.3">
      <c r="A298" s="47">
        <v>893.38826095671652</v>
      </c>
    </row>
    <row r="299" spans="1:1" x14ac:dyDescent="0.3">
      <c r="A299" s="47">
        <v>522.92333925796538</v>
      </c>
    </row>
    <row r="300" spans="1:1" x14ac:dyDescent="0.3">
      <c r="A300" s="47">
        <v>433.5562680713017</v>
      </c>
    </row>
    <row r="301" spans="1:1" x14ac:dyDescent="0.3">
      <c r="A301" s="47">
        <v>547.50628048899739</v>
      </c>
    </row>
    <row r="302" spans="1:1" x14ac:dyDescent="0.3">
      <c r="A302" s="47">
        <v>395.01484895419526</v>
      </c>
    </row>
    <row r="303" spans="1:1" x14ac:dyDescent="0.3">
      <c r="A303" s="47">
        <v>641.75453159144638</v>
      </c>
    </row>
    <row r="304" spans="1:1" x14ac:dyDescent="0.3">
      <c r="A304" s="47">
        <v>591.76189969905988</v>
      </c>
    </row>
    <row r="305" spans="1:1" x14ac:dyDescent="0.3">
      <c r="A305" s="47">
        <v>705.71191211675546</v>
      </c>
    </row>
    <row r="306" spans="1:1" x14ac:dyDescent="0.3">
      <c r="A306" s="47">
        <v>553.22048058195344</v>
      </c>
    </row>
    <row r="307" spans="1:1" x14ac:dyDescent="0.3">
      <c r="A307" s="47">
        <v>799.96016321920456</v>
      </c>
    </row>
    <row r="308" spans="1:1" x14ac:dyDescent="0.3">
      <c r="A308" s="47">
        <v>616.34484093009178</v>
      </c>
    </row>
    <row r="309" spans="1:1" x14ac:dyDescent="0.3">
      <c r="A309" s="47">
        <v>463.8534093952897</v>
      </c>
    </row>
    <row r="310" spans="1:1" x14ac:dyDescent="0.3">
      <c r="A310" s="47">
        <v>710.59309203254077</v>
      </c>
    </row>
    <row r="311" spans="1:1" x14ac:dyDescent="0.3">
      <c r="A311" s="47">
        <v>577.80342181298533</v>
      </c>
    </row>
    <row r="312" spans="1:1" x14ac:dyDescent="0.3">
      <c r="A312" s="47">
        <v>824.54310445023634</v>
      </c>
    </row>
    <row r="313" spans="1:1" x14ac:dyDescent="0.3">
      <c r="A313" s="47">
        <v>672.05167291543432</v>
      </c>
    </row>
    <row r="314" spans="1:1" x14ac:dyDescent="0.3">
      <c r="A314" s="47">
        <v>879.35997846357986</v>
      </c>
    </row>
    <row r="315" spans="1:1" x14ac:dyDescent="0.3">
      <c r="A315" s="47">
        <v>627.72624909830984</v>
      </c>
    </row>
    <row r="316" spans="1:1" x14ac:dyDescent="0.3">
      <c r="A316" s="47">
        <v>785.9318807260679</v>
      </c>
    </row>
    <row r="317" spans="1:1" x14ac:dyDescent="0.3">
      <c r="A317" s="47">
        <v>696.56480953940422</v>
      </c>
    </row>
    <row r="318" spans="1:1" x14ac:dyDescent="0.3">
      <c r="A318" s="47">
        <v>810.51482195709991</v>
      </c>
    </row>
    <row r="319" spans="1:1" x14ac:dyDescent="0.3">
      <c r="A319" s="47">
        <v>658.02339042229778</v>
      </c>
    </row>
    <row r="320" spans="1:1" x14ac:dyDescent="0.3">
      <c r="A320" s="47">
        <v>616.35143699547734</v>
      </c>
    </row>
    <row r="321" spans="1:1" x14ac:dyDescent="0.3">
      <c r="A321" s="47">
        <v>774.55706862323552</v>
      </c>
    </row>
    <row r="322" spans="1:1" x14ac:dyDescent="0.3">
      <c r="A322" s="47">
        <v>685.18999743657184</v>
      </c>
    </row>
    <row r="323" spans="1:1" x14ac:dyDescent="0.3">
      <c r="A323" s="47">
        <v>799.14000985426742</v>
      </c>
    </row>
    <row r="324" spans="1:1" x14ac:dyDescent="0.3">
      <c r="A324" s="47">
        <v>646.6485783194654</v>
      </c>
    </row>
    <row r="325" spans="1:1" x14ac:dyDescent="0.3">
      <c r="A325" s="47">
        <v>893.38826095671652</v>
      </c>
    </row>
    <row r="326" spans="1:1" x14ac:dyDescent="0.3">
      <c r="A326" s="47">
        <v>522.92333925796538</v>
      </c>
    </row>
    <row r="327" spans="1:1" x14ac:dyDescent="0.3">
      <c r="A327" s="47">
        <v>433.5562680713017</v>
      </c>
    </row>
    <row r="328" spans="1:1" x14ac:dyDescent="0.3">
      <c r="A328" s="47">
        <v>547.50628048899739</v>
      </c>
    </row>
    <row r="329" spans="1:1" x14ac:dyDescent="0.3">
      <c r="A329" s="47">
        <v>395.01484895419526</v>
      </c>
    </row>
    <row r="330" spans="1:1" x14ac:dyDescent="0.3">
      <c r="A330" s="47">
        <v>641.75453159144638</v>
      </c>
    </row>
    <row r="331" spans="1:1" x14ac:dyDescent="0.3">
      <c r="A331" s="47">
        <v>591.76189969905988</v>
      </c>
    </row>
    <row r="332" spans="1:1" x14ac:dyDescent="0.3">
      <c r="A332" s="47">
        <v>705.71191211675546</v>
      </c>
    </row>
    <row r="333" spans="1:1" x14ac:dyDescent="0.3">
      <c r="A333" s="47">
        <v>553.22048058195344</v>
      </c>
    </row>
    <row r="334" spans="1:1" x14ac:dyDescent="0.3">
      <c r="A334" s="47">
        <v>799.96016321920456</v>
      </c>
    </row>
    <row r="335" spans="1:1" x14ac:dyDescent="0.3">
      <c r="A335" s="47">
        <v>616.34484093009178</v>
      </c>
    </row>
    <row r="336" spans="1:1" x14ac:dyDescent="0.3">
      <c r="A336" s="47">
        <v>463.8534093952897</v>
      </c>
    </row>
    <row r="337" spans="1:1" x14ac:dyDescent="0.3">
      <c r="A337" s="47">
        <v>710.59309203254077</v>
      </c>
    </row>
    <row r="338" spans="1:1" x14ac:dyDescent="0.3">
      <c r="A338" s="47">
        <v>577.80342181298533</v>
      </c>
    </row>
    <row r="339" spans="1:1" x14ac:dyDescent="0.3">
      <c r="A339" s="47">
        <v>824.54310445023634</v>
      </c>
    </row>
    <row r="340" spans="1:1" x14ac:dyDescent="0.3">
      <c r="A340" s="47">
        <v>672.05167291543432</v>
      </c>
    </row>
    <row r="341" spans="1:1" x14ac:dyDescent="0.3">
      <c r="A341" s="47">
        <v>751.71883227868352</v>
      </c>
    </row>
    <row r="342" spans="1:1" x14ac:dyDescent="0.3">
      <c r="A342" s="47">
        <v>820.55739271977802</v>
      </c>
    </row>
    <row r="343" spans="1:1" x14ac:dyDescent="0.3">
      <c r="A343" s="47">
        <v>782.01597360267158</v>
      </c>
    </row>
    <row r="344" spans="1:1" x14ac:dyDescent="0.3">
      <c r="A344" s="47">
        <v>658.29073454117156</v>
      </c>
    </row>
    <row r="345" spans="1:1" x14ac:dyDescent="0.3">
      <c r="A345" s="47">
        <v>568.92366335450788</v>
      </c>
    </row>
    <row r="346" spans="1:1" x14ac:dyDescent="0.3">
      <c r="A346" s="47">
        <v>682.87367577220357</v>
      </c>
    </row>
    <row r="347" spans="1:1" x14ac:dyDescent="0.3">
      <c r="A347" s="47">
        <v>530.38224423740144</v>
      </c>
    </row>
    <row r="348" spans="1:1" x14ac:dyDescent="0.3">
      <c r="A348" s="47">
        <v>777.12192687465256</v>
      </c>
    </row>
    <row r="349" spans="1:1" x14ac:dyDescent="0.3">
      <c r="A349" s="47">
        <v>727.12929498226606</v>
      </c>
    </row>
    <row r="350" spans="1:1" x14ac:dyDescent="0.3">
      <c r="A350" s="47">
        <v>841.07930739996164</v>
      </c>
    </row>
    <row r="351" spans="1:1" x14ac:dyDescent="0.3">
      <c r="A351" s="47">
        <v>688.58787586515962</v>
      </c>
    </row>
    <row r="352" spans="1:1" x14ac:dyDescent="0.3">
      <c r="A352" s="47">
        <v>751.71223621329796</v>
      </c>
    </row>
    <row r="353" spans="1:1" x14ac:dyDescent="0.3">
      <c r="A353" s="47">
        <v>599.22080467849582</v>
      </c>
    </row>
    <row r="354" spans="1:1" x14ac:dyDescent="0.3">
      <c r="A354" s="47">
        <v>845.96048731574695</v>
      </c>
    </row>
    <row r="355" spans="1:1" x14ac:dyDescent="0.3">
      <c r="A355" s="47">
        <v>713.17081709619151</v>
      </c>
    </row>
    <row r="356" spans="1:1" x14ac:dyDescent="0.3">
      <c r="A356" s="47">
        <v>807.4190681986405</v>
      </c>
    </row>
    <row r="357" spans="1:1" x14ac:dyDescent="0.3">
      <c r="A357" s="47">
        <v>646.91592243833918</v>
      </c>
    </row>
    <row r="358" spans="1:1" x14ac:dyDescent="0.3">
      <c r="A358" s="47">
        <v>557.5488512516755</v>
      </c>
    </row>
    <row r="359" spans="1:1" x14ac:dyDescent="0.3">
      <c r="A359" s="47">
        <v>671.49886366937108</v>
      </c>
    </row>
    <row r="360" spans="1:1" x14ac:dyDescent="0.3">
      <c r="A360" s="47">
        <v>519.00743213456906</v>
      </c>
    </row>
    <row r="361" spans="1:1" x14ac:dyDescent="0.3">
      <c r="A361" s="47">
        <v>765.74711477182018</v>
      </c>
    </row>
    <row r="362" spans="1:1" x14ac:dyDescent="0.3">
      <c r="A362" s="47">
        <v>715.75448287943357</v>
      </c>
    </row>
    <row r="363" spans="1:1" x14ac:dyDescent="0.3">
      <c r="A363" s="47">
        <v>829.70449529712914</v>
      </c>
    </row>
    <row r="364" spans="1:1" x14ac:dyDescent="0.3">
      <c r="A364" s="47">
        <v>677.21306376232712</v>
      </c>
    </row>
    <row r="365" spans="1:1" x14ac:dyDescent="0.3">
      <c r="A365" s="47">
        <v>740.33742411046546</v>
      </c>
    </row>
    <row r="366" spans="1:1" x14ac:dyDescent="0.3">
      <c r="A366" s="47">
        <v>587.84599257566344</v>
      </c>
    </row>
    <row r="367" spans="1:1" x14ac:dyDescent="0.3">
      <c r="A367" s="47">
        <v>834.58567521291457</v>
      </c>
    </row>
    <row r="368" spans="1:1" x14ac:dyDescent="0.3">
      <c r="A368" s="47">
        <v>701.79600499335902</v>
      </c>
    </row>
    <row r="369" spans="1:1" x14ac:dyDescent="0.3">
      <c r="A369" s="47">
        <v>796.04425609580812</v>
      </c>
    </row>
    <row r="370" spans="1:1" x14ac:dyDescent="0.3">
      <c r="A370" s="47">
        <v>464.12075351416354</v>
      </c>
    </row>
    <row r="371" spans="1:1" x14ac:dyDescent="0.3">
      <c r="A371" s="47">
        <v>578.07076593185911</v>
      </c>
    </row>
    <row r="372" spans="1:1" x14ac:dyDescent="0.3">
      <c r="A372" s="47">
        <v>425.57933439705704</v>
      </c>
    </row>
    <row r="373" spans="1:1" x14ac:dyDescent="0.3">
      <c r="A373" s="47">
        <v>672.31901703430822</v>
      </c>
    </row>
    <row r="374" spans="1:1" x14ac:dyDescent="0.3">
      <c r="A374" s="47">
        <v>488.70369474519543</v>
      </c>
    </row>
    <row r="375" spans="1:1" x14ac:dyDescent="0.3">
      <c r="A375" s="47">
        <v>336.21226321039336</v>
      </c>
    </row>
    <row r="376" spans="1:1" x14ac:dyDescent="0.3">
      <c r="A376" s="47">
        <v>582.95194584764442</v>
      </c>
    </row>
    <row r="377" spans="1:1" x14ac:dyDescent="0.3">
      <c r="A377" s="47">
        <v>450.16227562808893</v>
      </c>
    </row>
    <row r="378" spans="1:1" x14ac:dyDescent="0.3">
      <c r="A378" s="47">
        <v>696.90195826534</v>
      </c>
    </row>
    <row r="379" spans="1:1" x14ac:dyDescent="0.3">
      <c r="A379" s="47">
        <v>544.41052673053798</v>
      </c>
    </row>
    <row r="380" spans="1:1" x14ac:dyDescent="0.3">
      <c r="A380" s="47">
        <v>646.9093263729535</v>
      </c>
    </row>
    <row r="381" spans="1:1" x14ac:dyDescent="0.3">
      <c r="A381" s="47">
        <v>494.41789483815148</v>
      </c>
    </row>
    <row r="382" spans="1:1" x14ac:dyDescent="0.3">
      <c r="A382" s="47">
        <v>741.1575774754026</v>
      </c>
    </row>
    <row r="383" spans="1:1" x14ac:dyDescent="0.3">
      <c r="A383" s="47">
        <v>608.36790725584706</v>
      </c>
    </row>
    <row r="384" spans="1:1" x14ac:dyDescent="0.3">
      <c r="A384" s="47">
        <v>855.10758989309818</v>
      </c>
    </row>
    <row r="385" spans="1:1" x14ac:dyDescent="0.3">
      <c r="A385" s="47">
        <v>702.61615835829616</v>
      </c>
    </row>
    <row r="386" spans="1:1" x14ac:dyDescent="0.3">
      <c r="A386" s="47">
        <v>519.00083606918338</v>
      </c>
    </row>
    <row r="387" spans="1:1" x14ac:dyDescent="0.3">
      <c r="A387" s="47">
        <v>765.7405187064345</v>
      </c>
    </row>
    <row r="388" spans="1:1" x14ac:dyDescent="0.3">
      <c r="A388" s="47">
        <v>613.24908717163237</v>
      </c>
    </row>
    <row r="389" spans="1:1" x14ac:dyDescent="0.3">
      <c r="A389" s="47">
        <v>727.19909958932806</v>
      </c>
    </row>
    <row r="390" spans="1:1" x14ac:dyDescent="0.3">
      <c r="A390" s="47">
        <v>879.35997846357986</v>
      </c>
    </row>
    <row r="391" spans="1:1" x14ac:dyDescent="0.3">
      <c r="A391" s="47">
        <v>627.72624909830984</v>
      </c>
    </row>
    <row r="392" spans="1:1" x14ac:dyDescent="0.3">
      <c r="A392" s="47">
        <v>785.9318807260679</v>
      </c>
    </row>
    <row r="393" spans="1:1" x14ac:dyDescent="0.3">
      <c r="A393" s="47">
        <v>696.56480953940422</v>
      </c>
    </row>
    <row r="394" spans="1:1" x14ac:dyDescent="0.3">
      <c r="A394" s="47">
        <v>810.51482195709991</v>
      </c>
    </row>
    <row r="395" spans="1:1" x14ac:dyDescent="0.3">
      <c r="A395" s="47">
        <v>658.02339042229778</v>
      </c>
    </row>
    <row r="396" spans="1:1" x14ac:dyDescent="0.3">
      <c r="A396" s="47">
        <v>616.35143699547734</v>
      </c>
    </row>
    <row r="397" spans="1:1" x14ac:dyDescent="0.3">
      <c r="A397" s="47">
        <v>774.55706862323552</v>
      </c>
    </row>
    <row r="398" spans="1:1" x14ac:dyDescent="0.3">
      <c r="A398" s="47">
        <v>685.18999743657184</v>
      </c>
    </row>
    <row r="399" spans="1:1" x14ac:dyDescent="0.3">
      <c r="A399" s="47">
        <v>799.14000985426742</v>
      </c>
    </row>
    <row r="400" spans="1:1" x14ac:dyDescent="0.3">
      <c r="A400" s="47">
        <v>646.6485783194654</v>
      </c>
    </row>
    <row r="401" spans="1:1" x14ac:dyDescent="0.3">
      <c r="A401" s="47">
        <v>893.38826095671652</v>
      </c>
    </row>
    <row r="402" spans="1:1" x14ac:dyDescent="0.3">
      <c r="A402" s="47">
        <v>522.92333925796538</v>
      </c>
    </row>
    <row r="403" spans="1:1" x14ac:dyDescent="0.3">
      <c r="A403" s="47">
        <v>433.5562680713017</v>
      </c>
    </row>
    <row r="404" spans="1:1" x14ac:dyDescent="0.3">
      <c r="A404" s="47">
        <v>547.50628048899739</v>
      </c>
    </row>
    <row r="405" spans="1:1" x14ac:dyDescent="0.3">
      <c r="A405" s="47">
        <v>395.01484895419526</v>
      </c>
    </row>
    <row r="406" spans="1:1" x14ac:dyDescent="0.3">
      <c r="A406" s="47">
        <v>641.75453159144638</v>
      </c>
    </row>
    <row r="407" spans="1:1" x14ac:dyDescent="0.3">
      <c r="A407" s="47">
        <v>591.76189969905988</v>
      </c>
    </row>
    <row r="408" spans="1:1" x14ac:dyDescent="0.3">
      <c r="A408" s="47">
        <v>705.71191211675546</v>
      </c>
    </row>
    <row r="409" spans="1:1" x14ac:dyDescent="0.3">
      <c r="A409" s="47">
        <v>553.22048058195344</v>
      </c>
    </row>
    <row r="410" spans="1:1" x14ac:dyDescent="0.3">
      <c r="A410" s="47">
        <v>799.96016321920456</v>
      </c>
    </row>
    <row r="411" spans="1:1" x14ac:dyDescent="0.3">
      <c r="A411" s="47">
        <v>616.34484093009178</v>
      </c>
    </row>
    <row r="412" spans="1:1" x14ac:dyDescent="0.3">
      <c r="A412" s="47">
        <v>463.8534093952897</v>
      </c>
    </row>
    <row r="413" spans="1:1" x14ac:dyDescent="0.3">
      <c r="A413" s="47">
        <v>710.59309203254077</v>
      </c>
    </row>
    <row r="414" spans="1:1" x14ac:dyDescent="0.3">
      <c r="A414" s="47">
        <v>577.80342181298533</v>
      </c>
    </row>
    <row r="415" spans="1:1" x14ac:dyDescent="0.3">
      <c r="A415" s="47">
        <v>824.54310445023634</v>
      </c>
    </row>
    <row r="416" spans="1:1" x14ac:dyDescent="0.3">
      <c r="A416" s="47">
        <v>672.05167291543432</v>
      </c>
    </row>
    <row r="417" spans="1:1" x14ac:dyDescent="0.3">
      <c r="A417" s="47">
        <v>751.71883227868352</v>
      </c>
    </row>
    <row r="418" spans="1:1" x14ac:dyDescent="0.3">
      <c r="A418" s="47">
        <v>820.55739271977802</v>
      </c>
    </row>
    <row r="419" spans="1:1" x14ac:dyDescent="0.3">
      <c r="A419" s="47">
        <v>782.01597360267158</v>
      </c>
    </row>
    <row r="420" spans="1:1" x14ac:dyDescent="0.3">
      <c r="A420" s="47">
        <v>658.29073454117156</v>
      </c>
    </row>
    <row r="421" spans="1:1" x14ac:dyDescent="0.3">
      <c r="A421" s="47">
        <v>568.92366335450788</v>
      </c>
    </row>
    <row r="422" spans="1:1" x14ac:dyDescent="0.3">
      <c r="A422" s="47">
        <v>682.87367577220357</v>
      </c>
    </row>
    <row r="423" spans="1:1" x14ac:dyDescent="0.3">
      <c r="A423" s="47">
        <v>530.38224423740144</v>
      </c>
    </row>
    <row r="424" spans="1:1" x14ac:dyDescent="0.3">
      <c r="A424" s="47">
        <v>777.12192687465256</v>
      </c>
    </row>
    <row r="425" spans="1:1" x14ac:dyDescent="0.3">
      <c r="A425" s="47">
        <v>727.12929498226606</v>
      </c>
    </row>
    <row r="426" spans="1:1" x14ac:dyDescent="0.3">
      <c r="A426" s="47">
        <v>841.07930739996164</v>
      </c>
    </row>
    <row r="427" spans="1:1" x14ac:dyDescent="0.3">
      <c r="A427" s="47">
        <v>688.58787586515962</v>
      </c>
    </row>
    <row r="428" spans="1:1" x14ac:dyDescent="0.3">
      <c r="A428" s="47">
        <v>751.71223621329796</v>
      </c>
    </row>
    <row r="429" spans="1:1" x14ac:dyDescent="0.3">
      <c r="A429" s="47">
        <v>599.22080467849582</v>
      </c>
    </row>
    <row r="430" spans="1:1" x14ac:dyDescent="0.3">
      <c r="A430" s="47">
        <v>845.96048731574695</v>
      </c>
    </row>
    <row r="431" spans="1:1" x14ac:dyDescent="0.3">
      <c r="A431" s="47">
        <v>713.17081709619151</v>
      </c>
    </row>
    <row r="432" spans="1:1" x14ac:dyDescent="0.3">
      <c r="A432" s="47">
        <v>807.4190681986405</v>
      </c>
    </row>
    <row r="433" spans="1:1" x14ac:dyDescent="0.3">
      <c r="A433" s="47">
        <v>646.91592243833918</v>
      </c>
    </row>
    <row r="434" spans="1:1" x14ac:dyDescent="0.3">
      <c r="A434" s="47">
        <v>557.5488512516755</v>
      </c>
    </row>
    <row r="435" spans="1:1" x14ac:dyDescent="0.3">
      <c r="A435" s="47">
        <v>671.49886366937108</v>
      </c>
    </row>
    <row r="436" spans="1:1" x14ac:dyDescent="0.3">
      <c r="A436" s="47">
        <v>519.00743213456906</v>
      </c>
    </row>
    <row r="437" spans="1:1" x14ac:dyDescent="0.3">
      <c r="A437" s="47">
        <v>765.74711477182018</v>
      </c>
    </row>
    <row r="438" spans="1:1" x14ac:dyDescent="0.3">
      <c r="A438" s="47">
        <v>715.75448287943357</v>
      </c>
    </row>
    <row r="439" spans="1:1" x14ac:dyDescent="0.3">
      <c r="A439" s="47">
        <v>829.70449529712914</v>
      </c>
    </row>
    <row r="440" spans="1:1" x14ac:dyDescent="0.3">
      <c r="A440" s="47">
        <v>677.21306376232712</v>
      </c>
    </row>
    <row r="441" spans="1:1" x14ac:dyDescent="0.3">
      <c r="A441" s="47">
        <v>740.33742411046546</v>
      </c>
    </row>
    <row r="442" spans="1:1" x14ac:dyDescent="0.3">
      <c r="A442" s="47">
        <v>587.84599257566344</v>
      </c>
    </row>
    <row r="443" spans="1:1" x14ac:dyDescent="0.3">
      <c r="A443" s="47">
        <v>834.58567521291457</v>
      </c>
    </row>
    <row r="444" spans="1:1" x14ac:dyDescent="0.3">
      <c r="A444" s="47">
        <v>701.79600499335902</v>
      </c>
    </row>
    <row r="445" spans="1:1" x14ac:dyDescent="0.3">
      <c r="A445" s="47">
        <v>796.04425609580812</v>
      </c>
    </row>
    <row r="446" spans="1:1" x14ac:dyDescent="0.3">
      <c r="A446" s="47">
        <v>464.12075351416354</v>
      </c>
    </row>
    <row r="447" spans="1:1" x14ac:dyDescent="0.3">
      <c r="A447" s="47">
        <v>578.07076593185911</v>
      </c>
    </row>
    <row r="448" spans="1:1" x14ac:dyDescent="0.3">
      <c r="A448" s="47">
        <v>425.57933439705704</v>
      </c>
    </row>
    <row r="449" spans="1:1" x14ac:dyDescent="0.3">
      <c r="A449" s="47">
        <v>672.31901703430822</v>
      </c>
    </row>
    <row r="450" spans="1:1" x14ac:dyDescent="0.3">
      <c r="A450" s="47">
        <v>488.70369474519543</v>
      </c>
    </row>
    <row r="451" spans="1:1" x14ac:dyDescent="0.3">
      <c r="A451" s="47">
        <v>336.21226321039336</v>
      </c>
    </row>
    <row r="452" spans="1:1" x14ac:dyDescent="0.3">
      <c r="A452" s="47">
        <v>582.95194584764442</v>
      </c>
    </row>
    <row r="453" spans="1:1" x14ac:dyDescent="0.3">
      <c r="A453" s="47">
        <v>450.16227562808893</v>
      </c>
    </row>
    <row r="454" spans="1:1" x14ac:dyDescent="0.3">
      <c r="A454" s="47">
        <v>696.90195826534</v>
      </c>
    </row>
    <row r="455" spans="1:1" x14ac:dyDescent="0.3">
      <c r="A455" s="47">
        <v>544.41052673053798</v>
      </c>
    </row>
    <row r="456" spans="1:1" x14ac:dyDescent="0.3">
      <c r="A456" s="47">
        <v>646.9093263729535</v>
      </c>
    </row>
    <row r="457" spans="1:1" x14ac:dyDescent="0.3">
      <c r="A457" s="47">
        <v>494.41789483815148</v>
      </c>
    </row>
    <row r="458" spans="1:1" x14ac:dyDescent="0.3">
      <c r="A458" s="47">
        <v>741.1575774754026</v>
      </c>
    </row>
    <row r="459" spans="1:1" x14ac:dyDescent="0.3">
      <c r="A459" s="47">
        <v>608.36790725584706</v>
      </c>
    </row>
    <row r="460" spans="1:1" x14ac:dyDescent="0.3">
      <c r="A460" s="47">
        <v>855.10758989309818</v>
      </c>
    </row>
    <row r="461" spans="1:1" x14ac:dyDescent="0.3">
      <c r="A461" s="47">
        <v>702.61615835829616</v>
      </c>
    </row>
    <row r="462" spans="1:1" x14ac:dyDescent="0.3">
      <c r="A462" s="47">
        <v>519.00083606918338</v>
      </c>
    </row>
    <row r="463" spans="1:1" x14ac:dyDescent="0.3">
      <c r="A463" s="47">
        <v>765.7405187064345</v>
      </c>
    </row>
    <row r="464" spans="1:1" x14ac:dyDescent="0.3">
      <c r="A464" s="47">
        <v>613.24908717163237</v>
      </c>
    </row>
    <row r="465" spans="1:1" x14ac:dyDescent="0.3">
      <c r="A465" s="47">
        <v>727.19909958932806</v>
      </c>
    </row>
    <row r="466" spans="1:1" x14ac:dyDescent="0.3">
      <c r="A466" s="47">
        <v>751.71883227868352</v>
      </c>
    </row>
    <row r="467" spans="1:1" x14ac:dyDescent="0.3">
      <c r="A467" s="47">
        <v>820.55739271977802</v>
      </c>
    </row>
    <row r="468" spans="1:1" x14ac:dyDescent="0.3">
      <c r="A468" s="47">
        <v>782.01597360267158</v>
      </c>
    </row>
    <row r="469" spans="1:1" x14ac:dyDescent="0.3">
      <c r="A469" s="47">
        <v>658.29073454117156</v>
      </c>
    </row>
    <row r="470" spans="1:1" x14ac:dyDescent="0.3">
      <c r="A470" s="47">
        <v>568.92366335450788</v>
      </c>
    </row>
    <row r="471" spans="1:1" x14ac:dyDescent="0.3">
      <c r="A471" s="47">
        <v>682.87367577220357</v>
      </c>
    </row>
    <row r="472" spans="1:1" x14ac:dyDescent="0.3">
      <c r="A472" s="47">
        <v>530.38224423740144</v>
      </c>
    </row>
    <row r="473" spans="1:1" x14ac:dyDescent="0.3">
      <c r="A473" s="47">
        <v>777.12192687465256</v>
      </c>
    </row>
    <row r="474" spans="1:1" x14ac:dyDescent="0.3">
      <c r="A474" s="47">
        <v>727.12929498226606</v>
      </c>
    </row>
    <row r="475" spans="1:1" x14ac:dyDescent="0.3">
      <c r="A475" s="47">
        <v>841.07930739996164</v>
      </c>
    </row>
    <row r="476" spans="1:1" x14ac:dyDescent="0.3">
      <c r="A476" s="47">
        <v>688.58787586515962</v>
      </c>
    </row>
    <row r="477" spans="1:1" x14ac:dyDescent="0.3">
      <c r="A477" s="47">
        <v>751.71223621329796</v>
      </c>
    </row>
    <row r="478" spans="1:1" x14ac:dyDescent="0.3">
      <c r="A478" s="47">
        <v>599.22080467849582</v>
      </c>
    </row>
    <row r="479" spans="1:1" x14ac:dyDescent="0.3">
      <c r="A479" s="47">
        <v>845.96048731574695</v>
      </c>
    </row>
    <row r="480" spans="1:1" x14ac:dyDescent="0.3">
      <c r="A480" s="47">
        <v>713.17081709619151</v>
      </c>
    </row>
    <row r="481" spans="1:1" x14ac:dyDescent="0.3">
      <c r="A481" s="47">
        <v>807.4190681986405</v>
      </c>
    </row>
    <row r="482" spans="1:1" x14ac:dyDescent="0.3">
      <c r="A482" s="47">
        <v>646.91592243833918</v>
      </c>
    </row>
    <row r="483" spans="1:1" x14ac:dyDescent="0.3">
      <c r="A483" s="47">
        <v>557.5488512516755</v>
      </c>
    </row>
    <row r="484" spans="1:1" x14ac:dyDescent="0.3">
      <c r="A484" s="47">
        <v>671.49886366937108</v>
      </c>
    </row>
    <row r="485" spans="1:1" x14ac:dyDescent="0.3">
      <c r="A485" s="47">
        <v>519.00743213456906</v>
      </c>
    </row>
    <row r="486" spans="1:1" x14ac:dyDescent="0.3">
      <c r="A486" s="47">
        <v>765.74711477182018</v>
      </c>
    </row>
    <row r="487" spans="1:1" x14ac:dyDescent="0.3">
      <c r="A487" s="47">
        <v>715.75448287943357</v>
      </c>
    </row>
    <row r="488" spans="1:1" x14ac:dyDescent="0.3">
      <c r="A488" s="47">
        <v>829.70449529712914</v>
      </c>
    </row>
    <row r="489" spans="1:1" x14ac:dyDescent="0.3">
      <c r="A489" s="47">
        <v>677.21306376232712</v>
      </c>
    </row>
    <row r="490" spans="1:1" x14ac:dyDescent="0.3">
      <c r="A490" s="47">
        <v>740.33742411046546</v>
      </c>
    </row>
    <row r="491" spans="1:1" x14ac:dyDescent="0.3">
      <c r="A491" s="47">
        <v>587.84599257566344</v>
      </c>
    </row>
    <row r="492" spans="1:1" x14ac:dyDescent="0.3">
      <c r="A492" s="47">
        <v>834.58567521291457</v>
      </c>
    </row>
    <row r="493" spans="1:1" x14ac:dyDescent="0.3">
      <c r="A493" s="47">
        <v>701.79600499335902</v>
      </c>
    </row>
    <row r="494" spans="1:1" x14ac:dyDescent="0.3">
      <c r="A494" s="47">
        <v>796.04425609580812</v>
      </c>
    </row>
    <row r="495" spans="1:1" x14ac:dyDescent="0.3">
      <c r="A495" s="47">
        <v>464.12075351416354</v>
      </c>
    </row>
    <row r="496" spans="1:1" x14ac:dyDescent="0.3">
      <c r="A496" s="47">
        <v>578.07076593185911</v>
      </c>
    </row>
    <row r="497" spans="1:1" x14ac:dyDescent="0.3">
      <c r="A497" s="47">
        <v>425.57933439705704</v>
      </c>
    </row>
    <row r="498" spans="1:1" x14ac:dyDescent="0.3">
      <c r="A498" s="47">
        <v>672.31901703430822</v>
      </c>
    </row>
    <row r="499" spans="1:1" x14ac:dyDescent="0.3">
      <c r="A499" s="47">
        <v>488.70369474519543</v>
      </c>
    </row>
    <row r="500" spans="1:1" x14ac:dyDescent="0.3">
      <c r="A500" s="47">
        <v>336.21226321039336</v>
      </c>
    </row>
    <row r="501" spans="1:1" x14ac:dyDescent="0.3">
      <c r="A501" s="47">
        <v>582.95194584764442</v>
      </c>
    </row>
    <row r="502" spans="1:1" x14ac:dyDescent="0.3">
      <c r="A502" s="47">
        <v>450.16227562808893</v>
      </c>
    </row>
    <row r="503" spans="1:1" x14ac:dyDescent="0.3">
      <c r="A503" s="47">
        <v>696.90195826534</v>
      </c>
    </row>
    <row r="504" spans="1:1" x14ac:dyDescent="0.3">
      <c r="A504" s="47">
        <v>544.41052673053798</v>
      </c>
    </row>
    <row r="505" spans="1:1" x14ac:dyDescent="0.3">
      <c r="A505" s="47">
        <v>646.9093263729535</v>
      </c>
    </row>
    <row r="506" spans="1:1" x14ac:dyDescent="0.3">
      <c r="A506" s="47">
        <v>494.41789483815148</v>
      </c>
    </row>
    <row r="507" spans="1:1" x14ac:dyDescent="0.3">
      <c r="A507" s="47">
        <v>741.1575774754026</v>
      </c>
    </row>
    <row r="508" spans="1:1" x14ac:dyDescent="0.3">
      <c r="A508" s="47">
        <v>608.36790725584706</v>
      </c>
    </row>
    <row r="509" spans="1:1" x14ac:dyDescent="0.3">
      <c r="A509" s="47">
        <v>855.10758989309818</v>
      </c>
    </row>
    <row r="510" spans="1:1" x14ac:dyDescent="0.3">
      <c r="A510" s="47">
        <v>702.61615835829616</v>
      </c>
    </row>
    <row r="511" spans="1:1" x14ac:dyDescent="0.3">
      <c r="A511" s="47">
        <v>519.00083606918338</v>
      </c>
    </row>
    <row r="512" spans="1:1" x14ac:dyDescent="0.3">
      <c r="A512" s="47">
        <v>765.7405187064345</v>
      </c>
    </row>
    <row r="513" spans="1:1" x14ac:dyDescent="0.3">
      <c r="A513" s="47">
        <v>613.24908717163237</v>
      </c>
    </row>
    <row r="514" spans="1:1" x14ac:dyDescent="0.3">
      <c r="A514" s="47">
        <v>727.19909958932806</v>
      </c>
    </row>
    <row r="515" spans="1:1" x14ac:dyDescent="0.3">
      <c r="A515" s="47">
        <v>782.28331772154536</v>
      </c>
    </row>
    <row r="516" spans="1:1" x14ac:dyDescent="0.3">
      <c r="A516" s="47">
        <v>692.91624653488168</v>
      </c>
    </row>
    <row r="517" spans="1:1" x14ac:dyDescent="0.3">
      <c r="A517" s="47">
        <v>806.86625895257725</v>
      </c>
    </row>
    <row r="518" spans="1:1" x14ac:dyDescent="0.3">
      <c r="A518" s="47">
        <v>654.37482741777524</v>
      </c>
    </row>
    <row r="519" spans="1:1" x14ac:dyDescent="0.3">
      <c r="A519" s="47">
        <v>851.12187816263975</v>
      </c>
    </row>
    <row r="520" spans="1:1" x14ac:dyDescent="0.3">
      <c r="A520" s="47">
        <v>812.5804590455333</v>
      </c>
    </row>
    <row r="521" spans="1:1" x14ac:dyDescent="0.3">
      <c r="A521" s="47">
        <v>875.70481939367164</v>
      </c>
    </row>
    <row r="522" spans="1:1" x14ac:dyDescent="0.3">
      <c r="A522" s="47">
        <v>723.21338785886962</v>
      </c>
    </row>
    <row r="523" spans="1:1" x14ac:dyDescent="0.3">
      <c r="A523" s="47">
        <v>837.1634002765652</v>
      </c>
    </row>
    <row r="524" spans="1:1" x14ac:dyDescent="0.3">
      <c r="A524" s="47">
        <v>599.48814879736972</v>
      </c>
    </row>
    <row r="525" spans="1:1" x14ac:dyDescent="0.3">
      <c r="A525" s="47">
        <v>713.43816121506529</v>
      </c>
    </row>
    <row r="526" spans="1:1" x14ac:dyDescent="0.3">
      <c r="A526" s="47">
        <v>560.94672968026327</v>
      </c>
    </row>
    <row r="527" spans="1:1" x14ac:dyDescent="0.3">
      <c r="A527" s="47">
        <v>807.6864123175144</v>
      </c>
    </row>
    <row r="528" spans="1:1" x14ac:dyDescent="0.3">
      <c r="A528" s="47">
        <v>624.07109002840161</v>
      </c>
    </row>
    <row r="529" spans="1:1" x14ac:dyDescent="0.3">
      <c r="A529" s="47">
        <v>471.57965849359954</v>
      </c>
    </row>
    <row r="530" spans="1:1" x14ac:dyDescent="0.3">
      <c r="A530" s="47">
        <v>718.3193411308506</v>
      </c>
    </row>
    <row r="531" spans="1:1" x14ac:dyDescent="0.3">
      <c r="A531" s="47">
        <v>585.52967091129517</v>
      </c>
    </row>
    <row r="532" spans="1:1" x14ac:dyDescent="0.3">
      <c r="A532" s="47">
        <v>832.26935354854618</v>
      </c>
    </row>
    <row r="533" spans="1:1" x14ac:dyDescent="0.3">
      <c r="A533" s="47">
        <v>679.77792201374416</v>
      </c>
    </row>
    <row r="534" spans="1:1" x14ac:dyDescent="0.3">
      <c r="A534" s="47">
        <v>782.27672165615968</v>
      </c>
    </row>
    <row r="535" spans="1:1" x14ac:dyDescent="0.3">
      <c r="A535" s="47">
        <v>629.78529012135766</v>
      </c>
    </row>
    <row r="536" spans="1:1" x14ac:dyDescent="0.3">
      <c r="A536" s="47">
        <v>876.52497275860878</v>
      </c>
    </row>
    <row r="537" spans="1:1" x14ac:dyDescent="0.3">
      <c r="A537" s="47">
        <v>743.73530253905324</v>
      </c>
    </row>
    <row r="538" spans="1:1" x14ac:dyDescent="0.3">
      <c r="A538" s="47">
        <v>837.98355364150234</v>
      </c>
    </row>
    <row r="539" spans="1:1" x14ac:dyDescent="0.3">
      <c r="A539" s="47">
        <v>654.36823135238956</v>
      </c>
    </row>
    <row r="540" spans="1:1" x14ac:dyDescent="0.3">
      <c r="A540" s="47">
        <v>748.61648245483855</v>
      </c>
    </row>
    <row r="541" spans="1:1" x14ac:dyDescent="0.3">
      <c r="A541" s="47">
        <v>862.56649487253424</v>
      </c>
    </row>
    <row r="542" spans="1:1" x14ac:dyDescent="0.3">
      <c r="A542" s="47">
        <v>588.11333669453722</v>
      </c>
    </row>
    <row r="543" spans="1:1" x14ac:dyDescent="0.3">
      <c r="A543" s="47">
        <v>702.0633491122328</v>
      </c>
    </row>
    <row r="544" spans="1:1" x14ac:dyDescent="0.3">
      <c r="A544" s="47">
        <v>549.57191757743078</v>
      </c>
    </row>
    <row r="545" spans="1:1" x14ac:dyDescent="0.3">
      <c r="A545" s="47">
        <v>796.3116002146819</v>
      </c>
    </row>
    <row r="546" spans="1:1" x14ac:dyDescent="0.3">
      <c r="A546" s="47">
        <v>612.69627792556912</v>
      </c>
    </row>
    <row r="547" spans="1:1" x14ac:dyDescent="0.3">
      <c r="A547" s="47">
        <v>460.2048463907671</v>
      </c>
    </row>
    <row r="548" spans="1:1" x14ac:dyDescent="0.3">
      <c r="A548" s="47">
        <v>706.94452902801822</v>
      </c>
    </row>
    <row r="549" spans="1:1" x14ac:dyDescent="0.3">
      <c r="A549" s="47">
        <v>574.15485880846268</v>
      </c>
    </row>
    <row r="550" spans="1:1" x14ac:dyDescent="0.3">
      <c r="A550" s="47">
        <v>820.8945414457138</v>
      </c>
    </row>
    <row r="551" spans="1:1" x14ac:dyDescent="0.3">
      <c r="A551" s="47">
        <v>668.40310991091178</v>
      </c>
    </row>
    <row r="552" spans="1:1" x14ac:dyDescent="0.3">
      <c r="A552" s="47">
        <v>770.9019095533273</v>
      </c>
    </row>
    <row r="553" spans="1:1" x14ac:dyDescent="0.3">
      <c r="A553" s="47">
        <v>618.41047801852517</v>
      </c>
    </row>
    <row r="554" spans="1:1" x14ac:dyDescent="0.3">
      <c r="A554" s="47">
        <v>865.15016065577629</v>
      </c>
    </row>
    <row r="555" spans="1:1" x14ac:dyDescent="0.3">
      <c r="A555" s="47">
        <v>732.36049043622086</v>
      </c>
    </row>
    <row r="556" spans="1:1" x14ac:dyDescent="0.3">
      <c r="A556" s="47">
        <v>826.60874153866985</v>
      </c>
    </row>
    <row r="557" spans="1:1" x14ac:dyDescent="0.3">
      <c r="A557" s="47">
        <v>642.99341924955706</v>
      </c>
    </row>
    <row r="558" spans="1:1" x14ac:dyDescent="0.3">
      <c r="A558" s="47">
        <v>889.73310188680819</v>
      </c>
    </row>
    <row r="559" spans="1:1" x14ac:dyDescent="0.3">
      <c r="A559" s="47">
        <v>737.24167035200617</v>
      </c>
    </row>
    <row r="560" spans="1:1" x14ac:dyDescent="0.3">
      <c r="A560" s="47">
        <v>851.19168276970174</v>
      </c>
    </row>
    <row r="561" spans="1:1" x14ac:dyDescent="0.3">
      <c r="A561" s="47">
        <v>519.26818018805716</v>
      </c>
    </row>
    <row r="562" spans="1:1" x14ac:dyDescent="0.3">
      <c r="A562" s="47">
        <v>366.77674865325514</v>
      </c>
    </row>
    <row r="563" spans="1:1" x14ac:dyDescent="0.3">
      <c r="A563" s="47">
        <v>613.51643129050626</v>
      </c>
    </row>
    <row r="564" spans="1:1" x14ac:dyDescent="0.3">
      <c r="A564" s="47">
        <v>480.72676107095072</v>
      </c>
    </row>
    <row r="565" spans="1:1" x14ac:dyDescent="0.3">
      <c r="A565" s="47">
        <v>727.46644370820184</v>
      </c>
    </row>
    <row r="566" spans="1:1" x14ac:dyDescent="0.3">
      <c r="A566" s="47">
        <v>574.97501217339982</v>
      </c>
    </row>
    <row r="567" spans="1:1" x14ac:dyDescent="0.3">
      <c r="A567" s="47">
        <v>391.35968988428704</v>
      </c>
    </row>
    <row r="568" spans="1:1" x14ac:dyDescent="0.3">
      <c r="A568" s="47">
        <v>638.09937252153816</v>
      </c>
    </row>
    <row r="569" spans="1:1" x14ac:dyDescent="0.3">
      <c r="A569" s="47">
        <v>485.60794098673608</v>
      </c>
    </row>
    <row r="570" spans="1:1" x14ac:dyDescent="0.3">
      <c r="A570" s="47">
        <v>599.55795340443171</v>
      </c>
    </row>
    <row r="571" spans="1:1" x14ac:dyDescent="0.3">
      <c r="A571" s="47">
        <v>549.5653215120451</v>
      </c>
    </row>
    <row r="572" spans="1:1" x14ac:dyDescent="0.3">
      <c r="A572" s="47">
        <v>796.30500414929622</v>
      </c>
    </row>
    <row r="573" spans="1:1" x14ac:dyDescent="0.3">
      <c r="A573" s="47">
        <v>643.81357261449421</v>
      </c>
    </row>
    <row r="574" spans="1:1" x14ac:dyDescent="0.3">
      <c r="A574" s="47">
        <v>757.76358503218978</v>
      </c>
    </row>
    <row r="575" spans="1:1" x14ac:dyDescent="0.3">
      <c r="A575" s="47">
        <v>668.3965138455261</v>
      </c>
    </row>
    <row r="576" spans="1:1" x14ac:dyDescent="0.3">
      <c r="A576" s="47">
        <v>782.72624909830984</v>
      </c>
    </row>
    <row r="577" spans="1:1" x14ac:dyDescent="0.3">
      <c r="A577" s="47">
        <v>851.56480953940422</v>
      </c>
    </row>
    <row r="578" spans="1:1" x14ac:dyDescent="0.3">
      <c r="A578" s="47">
        <v>813.02339042229778</v>
      </c>
    </row>
    <row r="579" spans="1:1" x14ac:dyDescent="0.3">
      <c r="A579" s="47">
        <v>771.35143699547734</v>
      </c>
    </row>
    <row r="580" spans="1:1" x14ac:dyDescent="0.3">
      <c r="A580" s="47">
        <v>840.18999743657184</v>
      </c>
    </row>
    <row r="581" spans="1:1" x14ac:dyDescent="0.3">
      <c r="A581" s="47">
        <v>801.6485783194654</v>
      </c>
    </row>
    <row r="582" spans="1:1" x14ac:dyDescent="0.3">
      <c r="A582" s="47">
        <v>677.92333925796538</v>
      </c>
    </row>
    <row r="583" spans="1:1" x14ac:dyDescent="0.3">
      <c r="A583" s="47">
        <v>588.5562680713017</v>
      </c>
    </row>
    <row r="584" spans="1:1" x14ac:dyDescent="0.3">
      <c r="A584" s="47">
        <v>702.50628048899739</v>
      </c>
    </row>
    <row r="585" spans="1:1" x14ac:dyDescent="0.3">
      <c r="A585" s="47">
        <v>550.01484895419526</v>
      </c>
    </row>
    <row r="586" spans="1:1" x14ac:dyDescent="0.3">
      <c r="A586" s="47">
        <v>796.75453159144638</v>
      </c>
    </row>
    <row r="587" spans="1:1" x14ac:dyDescent="0.3">
      <c r="A587" s="47">
        <v>746.76189969905988</v>
      </c>
    </row>
    <row r="588" spans="1:1" x14ac:dyDescent="0.3">
      <c r="A588" s="47">
        <v>860.71191211675546</v>
      </c>
    </row>
    <row r="589" spans="1:1" x14ac:dyDescent="0.3">
      <c r="A589" s="47">
        <v>708.22048058195344</v>
      </c>
    </row>
    <row r="590" spans="1:1" x14ac:dyDescent="0.3">
      <c r="A590" s="47">
        <v>771.34484093009178</v>
      </c>
    </row>
    <row r="591" spans="1:1" x14ac:dyDescent="0.3">
      <c r="A591" s="47">
        <v>618.85340939528965</v>
      </c>
    </row>
    <row r="592" spans="1:1" x14ac:dyDescent="0.3">
      <c r="A592" s="47">
        <v>865.59309203254077</v>
      </c>
    </row>
    <row r="593" spans="1:1" x14ac:dyDescent="0.3">
      <c r="A593" s="47">
        <v>732.80342181298533</v>
      </c>
    </row>
    <row r="594" spans="1:1" x14ac:dyDescent="0.3">
      <c r="A594" s="47">
        <v>827.05167291543432</v>
      </c>
    </row>
    <row r="595" spans="1:1" x14ac:dyDescent="0.3">
      <c r="A595" s="47">
        <v>813.29073454117156</v>
      </c>
    </row>
    <row r="596" spans="1:1" x14ac:dyDescent="0.3">
      <c r="A596" s="47">
        <v>723.92366335450788</v>
      </c>
    </row>
    <row r="597" spans="1:1" x14ac:dyDescent="0.3">
      <c r="A597" s="47">
        <v>837.87367577220357</v>
      </c>
    </row>
    <row r="598" spans="1:1" x14ac:dyDescent="0.3">
      <c r="A598" s="47">
        <v>685.38224423740144</v>
      </c>
    </row>
    <row r="599" spans="1:1" x14ac:dyDescent="0.3">
      <c r="A599" s="47">
        <v>882.12929498226606</v>
      </c>
    </row>
    <row r="600" spans="1:1" x14ac:dyDescent="0.3">
      <c r="A600" s="47">
        <v>843.58787586515962</v>
      </c>
    </row>
    <row r="601" spans="1:1" x14ac:dyDescent="0.3">
      <c r="A601" s="47">
        <v>754.22080467849582</v>
      </c>
    </row>
    <row r="602" spans="1:1" x14ac:dyDescent="0.3">
      <c r="A602" s="47">
        <v>868.17081709619151</v>
      </c>
    </row>
    <row r="603" spans="1:1" x14ac:dyDescent="0.3">
      <c r="A603" s="47">
        <v>801.91592243833918</v>
      </c>
    </row>
    <row r="604" spans="1:1" x14ac:dyDescent="0.3">
      <c r="A604" s="47">
        <v>712.5488512516755</v>
      </c>
    </row>
    <row r="605" spans="1:1" x14ac:dyDescent="0.3">
      <c r="A605" s="47">
        <v>826.49886366937108</v>
      </c>
    </row>
    <row r="606" spans="1:1" x14ac:dyDescent="0.3">
      <c r="A606" s="47">
        <v>674.00743213456906</v>
      </c>
    </row>
    <row r="607" spans="1:1" x14ac:dyDescent="0.3">
      <c r="A607" s="47">
        <v>870.75448287943357</v>
      </c>
    </row>
    <row r="608" spans="1:1" x14ac:dyDescent="0.3">
      <c r="A608" s="47">
        <v>832.21306376232712</v>
      </c>
    </row>
    <row r="609" spans="1:1" x14ac:dyDescent="0.3">
      <c r="A609" s="47">
        <v>895.33742411046546</v>
      </c>
    </row>
    <row r="610" spans="1:1" x14ac:dyDescent="0.3">
      <c r="A610" s="47">
        <v>742.84599257566344</v>
      </c>
    </row>
    <row r="611" spans="1:1" x14ac:dyDescent="0.3">
      <c r="A611" s="47">
        <v>856.79600499335902</v>
      </c>
    </row>
    <row r="612" spans="1:1" x14ac:dyDescent="0.3">
      <c r="A612" s="47">
        <v>619.12075351416354</v>
      </c>
    </row>
    <row r="613" spans="1:1" x14ac:dyDescent="0.3">
      <c r="A613" s="47">
        <v>733.07076593185911</v>
      </c>
    </row>
    <row r="614" spans="1:1" x14ac:dyDescent="0.3">
      <c r="A614" s="47">
        <v>580.5793343970571</v>
      </c>
    </row>
    <row r="615" spans="1:1" x14ac:dyDescent="0.3">
      <c r="A615" s="47">
        <v>827.31901703430822</v>
      </c>
    </row>
    <row r="616" spans="1:1" x14ac:dyDescent="0.3">
      <c r="A616" s="47">
        <v>643.70369474519543</v>
      </c>
    </row>
    <row r="617" spans="1:1" x14ac:dyDescent="0.3">
      <c r="A617" s="47">
        <v>491.21226321039336</v>
      </c>
    </row>
    <row r="618" spans="1:1" x14ac:dyDescent="0.3">
      <c r="A618" s="47">
        <v>737.95194584764442</v>
      </c>
    </row>
    <row r="619" spans="1:1" x14ac:dyDescent="0.3">
      <c r="A619" s="47">
        <v>605.16227562808899</v>
      </c>
    </row>
    <row r="620" spans="1:1" x14ac:dyDescent="0.3">
      <c r="A620" s="47">
        <v>851.90195826534</v>
      </c>
    </row>
    <row r="621" spans="1:1" x14ac:dyDescent="0.3">
      <c r="A621" s="47">
        <v>699.41052673053798</v>
      </c>
    </row>
    <row r="622" spans="1:1" x14ac:dyDescent="0.3">
      <c r="A622" s="47">
        <v>801.9093263729535</v>
      </c>
    </row>
    <row r="623" spans="1:1" x14ac:dyDescent="0.3">
      <c r="A623" s="47">
        <v>649.41789483815148</v>
      </c>
    </row>
    <row r="624" spans="1:1" x14ac:dyDescent="0.3">
      <c r="A624" s="47">
        <v>896.1575774754026</v>
      </c>
    </row>
    <row r="625" spans="1:1" x14ac:dyDescent="0.3">
      <c r="A625" s="6">
        <v>763.36790725584706</v>
      </c>
    </row>
    <row r="626" spans="1:1" x14ac:dyDescent="0.3">
      <c r="A626" s="6">
        <v>857.61615835829616</v>
      </c>
    </row>
    <row r="627" spans="1:1" x14ac:dyDescent="0.3">
      <c r="A627" s="6">
        <v>674.00083606918338</v>
      </c>
    </row>
    <row r="628" spans="1:1" x14ac:dyDescent="0.3">
      <c r="A628" s="6">
        <v>768.24908717163237</v>
      </c>
    </row>
    <row r="629" spans="1:1" x14ac:dyDescent="0.3">
      <c r="A629" s="6">
        <v>882.19909958932806</v>
      </c>
    </row>
    <row r="630" spans="1:1" x14ac:dyDescent="0.3">
      <c r="A630" s="6">
        <v>813.29073454117156</v>
      </c>
    </row>
    <row r="631" spans="1:1" x14ac:dyDescent="0.3">
      <c r="A631" s="6">
        <v>723.92366335450788</v>
      </c>
    </row>
    <row r="632" spans="1:1" x14ac:dyDescent="0.3">
      <c r="A632" s="6">
        <v>837.87367577220357</v>
      </c>
    </row>
    <row r="633" spans="1:1" x14ac:dyDescent="0.3">
      <c r="A633" s="6">
        <v>685.38224423740144</v>
      </c>
    </row>
    <row r="634" spans="1:1" x14ac:dyDescent="0.3">
      <c r="A634" s="6">
        <v>882.12929498226606</v>
      </c>
    </row>
    <row r="635" spans="1:1" x14ac:dyDescent="0.3">
      <c r="A635" s="6">
        <v>843.58787586515962</v>
      </c>
    </row>
    <row r="636" spans="1:1" x14ac:dyDescent="0.3">
      <c r="A636" s="6">
        <v>754.22080467849582</v>
      </c>
    </row>
    <row r="637" spans="1:1" x14ac:dyDescent="0.3">
      <c r="A637" s="6">
        <v>868.17081709619151</v>
      </c>
    </row>
    <row r="638" spans="1:1" x14ac:dyDescent="0.3">
      <c r="A638" s="6">
        <v>801.91592243833918</v>
      </c>
    </row>
    <row r="639" spans="1:1" x14ac:dyDescent="0.3">
      <c r="A639" s="6">
        <v>712.5488512516755</v>
      </c>
    </row>
    <row r="640" spans="1:1" x14ac:dyDescent="0.3">
      <c r="A640" s="6">
        <v>826.49886366937108</v>
      </c>
    </row>
    <row r="641" spans="1:1" x14ac:dyDescent="0.3">
      <c r="A641" s="6">
        <v>674.00743213456906</v>
      </c>
    </row>
    <row r="642" spans="1:1" x14ac:dyDescent="0.3">
      <c r="A642" s="6">
        <v>870.75448287943357</v>
      </c>
    </row>
    <row r="643" spans="1:1" x14ac:dyDescent="0.3">
      <c r="A643" s="6">
        <v>832.21306376232712</v>
      </c>
    </row>
    <row r="644" spans="1:1" x14ac:dyDescent="0.3">
      <c r="A644" s="6">
        <v>895.33742411046546</v>
      </c>
    </row>
    <row r="645" spans="1:1" x14ac:dyDescent="0.3">
      <c r="A645" s="6">
        <v>742.84599257566344</v>
      </c>
    </row>
    <row r="646" spans="1:1" x14ac:dyDescent="0.3">
      <c r="A646" s="6">
        <v>856.79600499335902</v>
      </c>
    </row>
    <row r="647" spans="1:1" x14ac:dyDescent="0.3">
      <c r="A647" s="6">
        <v>619.12075351416354</v>
      </c>
    </row>
    <row r="648" spans="1:1" x14ac:dyDescent="0.3">
      <c r="A648" s="6">
        <v>733.07076593185911</v>
      </c>
    </row>
    <row r="649" spans="1:1" x14ac:dyDescent="0.3">
      <c r="A649" s="6">
        <v>580.5793343970571</v>
      </c>
    </row>
    <row r="650" spans="1:1" x14ac:dyDescent="0.3">
      <c r="A650" s="6">
        <v>827.31901703430822</v>
      </c>
    </row>
    <row r="651" spans="1:1" x14ac:dyDescent="0.3">
      <c r="A651" s="6">
        <v>643.70369474519543</v>
      </c>
    </row>
    <row r="652" spans="1:1" x14ac:dyDescent="0.3">
      <c r="A652" s="6">
        <v>491.21226321039336</v>
      </c>
    </row>
    <row r="653" spans="1:1" x14ac:dyDescent="0.3">
      <c r="A653" s="6">
        <v>737.95194584764442</v>
      </c>
    </row>
    <row r="654" spans="1:1" x14ac:dyDescent="0.3">
      <c r="A654" s="6">
        <v>605.16227562808899</v>
      </c>
    </row>
    <row r="655" spans="1:1" x14ac:dyDescent="0.3">
      <c r="A655" s="6">
        <v>851.90195826534</v>
      </c>
    </row>
    <row r="656" spans="1:1" x14ac:dyDescent="0.3">
      <c r="A656" s="6">
        <v>699.41052673053798</v>
      </c>
    </row>
    <row r="657" spans="1:1" x14ac:dyDescent="0.3">
      <c r="A657" s="6">
        <v>801.9093263729535</v>
      </c>
    </row>
    <row r="658" spans="1:1" x14ac:dyDescent="0.3">
      <c r="A658" s="6">
        <v>649.41789483815148</v>
      </c>
    </row>
    <row r="659" spans="1:1" x14ac:dyDescent="0.3">
      <c r="A659" s="6">
        <v>896.1575774754026</v>
      </c>
    </row>
    <row r="660" spans="1:1" x14ac:dyDescent="0.3">
      <c r="A660" s="6">
        <v>763.36790725584706</v>
      </c>
    </row>
    <row r="661" spans="1:1" x14ac:dyDescent="0.3">
      <c r="A661" s="6">
        <v>857.61615835829616</v>
      </c>
    </row>
    <row r="662" spans="1:1" x14ac:dyDescent="0.3">
      <c r="A662" s="6">
        <v>674.00083606918338</v>
      </c>
    </row>
    <row r="663" spans="1:1" x14ac:dyDescent="0.3">
      <c r="A663" s="6">
        <v>768.24908717163237</v>
      </c>
    </row>
    <row r="664" spans="1:1" x14ac:dyDescent="0.3">
      <c r="A664" s="6">
        <v>882.19909958932806</v>
      </c>
    </row>
    <row r="665" spans="1:1" x14ac:dyDescent="0.3">
      <c r="A665" s="6">
        <v>847.91624653488168</v>
      </c>
    </row>
    <row r="666" spans="1:1" x14ac:dyDescent="0.3">
      <c r="A666" s="6">
        <v>809.37482741777524</v>
      </c>
    </row>
    <row r="667" spans="1:1" x14ac:dyDescent="0.3">
      <c r="A667" s="6">
        <v>878.21338785886962</v>
      </c>
    </row>
    <row r="668" spans="1:1" x14ac:dyDescent="0.3">
      <c r="A668" s="6">
        <v>754.48814879736972</v>
      </c>
    </row>
    <row r="669" spans="1:1" x14ac:dyDescent="0.3">
      <c r="A669" s="6">
        <v>868.43816121506529</v>
      </c>
    </row>
    <row r="670" spans="1:1" x14ac:dyDescent="0.3">
      <c r="A670" s="6">
        <v>715.94672968026327</v>
      </c>
    </row>
    <row r="671" spans="1:1" x14ac:dyDescent="0.3">
      <c r="A671" s="6">
        <v>779.07109002840161</v>
      </c>
    </row>
    <row r="672" spans="1:1" x14ac:dyDescent="0.3">
      <c r="A672" s="6">
        <v>626.57965849359948</v>
      </c>
    </row>
    <row r="673" spans="1:1" x14ac:dyDescent="0.3">
      <c r="A673" s="6">
        <v>873.3193411308506</v>
      </c>
    </row>
    <row r="674" spans="1:1" x14ac:dyDescent="0.3">
      <c r="A674" s="6">
        <v>740.52967091129517</v>
      </c>
    </row>
    <row r="675" spans="1:1" x14ac:dyDescent="0.3">
      <c r="A675" s="6">
        <v>834.77792201374416</v>
      </c>
    </row>
    <row r="676" spans="1:1" x14ac:dyDescent="0.3">
      <c r="A676" s="6">
        <v>784.78529012135766</v>
      </c>
    </row>
    <row r="677" spans="1:1" x14ac:dyDescent="0.3">
      <c r="A677" s="6">
        <v>898.73530253905324</v>
      </c>
    </row>
    <row r="678" spans="1:1" x14ac:dyDescent="0.3">
      <c r="A678" s="6">
        <v>809.36823135238956</v>
      </c>
    </row>
    <row r="679" spans="1:1" x14ac:dyDescent="0.3">
      <c r="A679" s="6">
        <v>743.11333669453722</v>
      </c>
    </row>
    <row r="680" spans="1:1" x14ac:dyDescent="0.3">
      <c r="A680" s="6">
        <v>857.0633491122328</v>
      </c>
    </row>
    <row r="681" spans="1:1" x14ac:dyDescent="0.3">
      <c r="A681" s="6">
        <v>704.57191757743078</v>
      </c>
    </row>
    <row r="682" spans="1:1" x14ac:dyDescent="0.3">
      <c r="A682" s="6">
        <v>767.69627792556912</v>
      </c>
    </row>
    <row r="683" spans="1:1" x14ac:dyDescent="0.3">
      <c r="A683" s="6">
        <v>615.2048463907671</v>
      </c>
    </row>
    <row r="684" spans="1:1" x14ac:dyDescent="0.3">
      <c r="A684" s="6">
        <v>861.94452902801822</v>
      </c>
    </row>
    <row r="685" spans="1:1" x14ac:dyDescent="0.3">
      <c r="A685" s="6">
        <v>729.15485880846268</v>
      </c>
    </row>
    <row r="686" spans="1:1" x14ac:dyDescent="0.3">
      <c r="A686" s="6">
        <v>823.40310991091178</v>
      </c>
    </row>
    <row r="687" spans="1:1" x14ac:dyDescent="0.3">
      <c r="A687" s="6">
        <v>773.41047801852517</v>
      </c>
    </row>
    <row r="688" spans="1:1" x14ac:dyDescent="0.3">
      <c r="A688" s="6">
        <v>887.36049043622086</v>
      </c>
    </row>
    <row r="689" spans="1:1" x14ac:dyDescent="0.3">
      <c r="A689" s="6">
        <v>797.99341924955706</v>
      </c>
    </row>
    <row r="690" spans="1:1" x14ac:dyDescent="0.3">
      <c r="A690" s="6">
        <v>892.24167035200617</v>
      </c>
    </row>
    <row r="691" spans="1:1" x14ac:dyDescent="0.3">
      <c r="A691" s="6">
        <v>674.26818018805716</v>
      </c>
    </row>
    <row r="692" spans="1:1" x14ac:dyDescent="0.3">
      <c r="A692" s="6">
        <v>521.77674865325514</v>
      </c>
    </row>
    <row r="693" spans="1:1" x14ac:dyDescent="0.3">
      <c r="A693" s="6">
        <v>768.51643129050626</v>
      </c>
    </row>
    <row r="694" spans="1:1" x14ac:dyDescent="0.3">
      <c r="A694" s="6">
        <v>635.72676107095072</v>
      </c>
    </row>
    <row r="695" spans="1:1" x14ac:dyDescent="0.3">
      <c r="A695" s="6">
        <v>882.46644370820184</v>
      </c>
    </row>
    <row r="696" spans="1:1" x14ac:dyDescent="0.3">
      <c r="A696" s="6">
        <v>729.97501217339982</v>
      </c>
    </row>
    <row r="697" spans="1:1" x14ac:dyDescent="0.3">
      <c r="A697" s="6">
        <v>546.35968988428704</v>
      </c>
    </row>
    <row r="698" spans="1:1" x14ac:dyDescent="0.3">
      <c r="A698" s="6">
        <v>793.09937252153816</v>
      </c>
    </row>
    <row r="699" spans="1:1" x14ac:dyDescent="0.3">
      <c r="A699" s="6">
        <v>640.60794098673603</v>
      </c>
    </row>
    <row r="700" spans="1:1" x14ac:dyDescent="0.3">
      <c r="A700" s="6">
        <v>754.55795340443171</v>
      </c>
    </row>
    <row r="701" spans="1:1" x14ac:dyDescent="0.3">
      <c r="A701" s="6">
        <v>704.5653215120451</v>
      </c>
    </row>
    <row r="702" spans="1:1" x14ac:dyDescent="0.3">
      <c r="A702" s="6">
        <v>798.81357261449421</v>
      </c>
    </row>
    <row r="703" spans="1:1" x14ac:dyDescent="0.3">
      <c r="A703" s="6">
        <v>823.3965138455261</v>
      </c>
    </row>
    <row r="704" spans="1:1" x14ac:dyDescent="0.3">
      <c r="A704" s="6">
        <v>813.29073454117156</v>
      </c>
    </row>
    <row r="705" spans="1:1" x14ac:dyDescent="0.3">
      <c r="A705" s="6">
        <v>723.92366335450788</v>
      </c>
    </row>
    <row r="706" spans="1:1" x14ac:dyDescent="0.3">
      <c r="A706" s="6">
        <v>837.87367577220357</v>
      </c>
    </row>
    <row r="707" spans="1:1" x14ac:dyDescent="0.3">
      <c r="A707" s="6">
        <v>685.38224423740144</v>
      </c>
    </row>
    <row r="708" spans="1:1" x14ac:dyDescent="0.3">
      <c r="A708" s="6">
        <v>882.12929498226606</v>
      </c>
    </row>
    <row r="709" spans="1:1" x14ac:dyDescent="0.3">
      <c r="A709" s="6">
        <v>843.58787586515962</v>
      </c>
    </row>
    <row r="710" spans="1:1" x14ac:dyDescent="0.3">
      <c r="A710" s="6">
        <v>754.22080467849582</v>
      </c>
    </row>
    <row r="711" spans="1:1" x14ac:dyDescent="0.3">
      <c r="A711" s="6">
        <v>868.17081709619151</v>
      </c>
    </row>
    <row r="712" spans="1:1" x14ac:dyDescent="0.3">
      <c r="A712" s="6">
        <v>801.91592243833918</v>
      </c>
    </row>
    <row r="713" spans="1:1" x14ac:dyDescent="0.3">
      <c r="A713" s="6">
        <v>712.5488512516755</v>
      </c>
    </row>
    <row r="714" spans="1:1" x14ac:dyDescent="0.3">
      <c r="A714" s="6">
        <v>826.49886366937108</v>
      </c>
    </row>
    <row r="715" spans="1:1" x14ac:dyDescent="0.3">
      <c r="A715" s="6">
        <v>674.00743213456906</v>
      </c>
    </row>
    <row r="716" spans="1:1" x14ac:dyDescent="0.3">
      <c r="A716" s="6">
        <v>870.75448287943357</v>
      </c>
    </row>
    <row r="717" spans="1:1" x14ac:dyDescent="0.3">
      <c r="A717" s="6">
        <v>832.21306376232712</v>
      </c>
    </row>
    <row r="718" spans="1:1" x14ac:dyDescent="0.3">
      <c r="A718" s="6">
        <v>895.33742411046546</v>
      </c>
    </row>
    <row r="719" spans="1:1" x14ac:dyDescent="0.3">
      <c r="A719" s="6">
        <v>742.84599257566344</v>
      </c>
    </row>
    <row r="720" spans="1:1" x14ac:dyDescent="0.3">
      <c r="A720" s="6">
        <v>856.79600499335902</v>
      </c>
    </row>
    <row r="721" spans="1:1" x14ac:dyDescent="0.3">
      <c r="A721" s="6">
        <v>619.12075351416354</v>
      </c>
    </row>
    <row r="722" spans="1:1" x14ac:dyDescent="0.3">
      <c r="A722" s="6">
        <v>733.07076593185911</v>
      </c>
    </row>
    <row r="723" spans="1:1" x14ac:dyDescent="0.3">
      <c r="A723" s="6">
        <v>580.5793343970571</v>
      </c>
    </row>
    <row r="724" spans="1:1" x14ac:dyDescent="0.3">
      <c r="A724" s="6">
        <v>827.31901703430822</v>
      </c>
    </row>
    <row r="725" spans="1:1" x14ac:dyDescent="0.3">
      <c r="A725" s="6">
        <v>643.70369474519543</v>
      </c>
    </row>
    <row r="726" spans="1:1" x14ac:dyDescent="0.3">
      <c r="A726" s="6">
        <v>491.21226321039336</v>
      </c>
    </row>
    <row r="727" spans="1:1" x14ac:dyDescent="0.3">
      <c r="A727" s="6">
        <v>737.95194584764442</v>
      </c>
    </row>
    <row r="728" spans="1:1" x14ac:dyDescent="0.3">
      <c r="A728" s="6">
        <v>605.16227562808899</v>
      </c>
    </row>
    <row r="729" spans="1:1" x14ac:dyDescent="0.3">
      <c r="A729" s="6">
        <v>851.90195826534</v>
      </c>
    </row>
    <row r="730" spans="1:1" x14ac:dyDescent="0.3">
      <c r="A730" s="6">
        <v>699.41052673053798</v>
      </c>
    </row>
    <row r="731" spans="1:1" x14ac:dyDescent="0.3">
      <c r="A731" s="6">
        <v>801.9093263729535</v>
      </c>
    </row>
    <row r="732" spans="1:1" x14ac:dyDescent="0.3">
      <c r="A732" s="6">
        <v>649.41789483815148</v>
      </c>
    </row>
    <row r="733" spans="1:1" x14ac:dyDescent="0.3">
      <c r="A733" s="6">
        <v>896.1575774754026</v>
      </c>
    </row>
    <row r="734" spans="1:1" x14ac:dyDescent="0.3">
      <c r="A734" s="6">
        <v>763.36790725584706</v>
      </c>
    </row>
    <row r="735" spans="1:1" x14ac:dyDescent="0.3">
      <c r="A735" s="6">
        <v>857.61615835829616</v>
      </c>
    </row>
    <row r="736" spans="1:1" x14ac:dyDescent="0.3">
      <c r="A736" s="6">
        <v>674.00083606918338</v>
      </c>
    </row>
    <row r="737" spans="1:1" x14ac:dyDescent="0.3">
      <c r="A737" s="6">
        <v>768.24908717163237</v>
      </c>
    </row>
    <row r="738" spans="1:1" x14ac:dyDescent="0.3">
      <c r="A738" s="6">
        <v>882.19909958932806</v>
      </c>
    </row>
    <row r="739" spans="1:1" x14ac:dyDescent="0.3">
      <c r="A739" s="6">
        <v>847.91624653488168</v>
      </c>
    </row>
    <row r="740" spans="1:1" x14ac:dyDescent="0.3">
      <c r="A740" s="6">
        <v>809.37482741777524</v>
      </c>
    </row>
    <row r="741" spans="1:1" x14ac:dyDescent="0.3">
      <c r="A741" s="6">
        <v>878.21338785886962</v>
      </c>
    </row>
    <row r="742" spans="1:1" x14ac:dyDescent="0.3">
      <c r="A742" s="6">
        <v>754.48814879736972</v>
      </c>
    </row>
    <row r="743" spans="1:1" x14ac:dyDescent="0.3">
      <c r="A743" s="6">
        <v>868.43816121506529</v>
      </c>
    </row>
    <row r="744" spans="1:1" x14ac:dyDescent="0.3">
      <c r="A744" s="6">
        <v>715.94672968026327</v>
      </c>
    </row>
    <row r="745" spans="1:1" x14ac:dyDescent="0.3">
      <c r="A745" s="6">
        <v>779.07109002840161</v>
      </c>
    </row>
    <row r="746" spans="1:1" x14ac:dyDescent="0.3">
      <c r="A746" s="6">
        <v>626.57965849359948</v>
      </c>
    </row>
    <row r="747" spans="1:1" x14ac:dyDescent="0.3">
      <c r="A747" s="6">
        <v>873.3193411308506</v>
      </c>
    </row>
    <row r="748" spans="1:1" x14ac:dyDescent="0.3">
      <c r="A748" s="6">
        <v>740.52967091129517</v>
      </c>
    </row>
    <row r="749" spans="1:1" x14ac:dyDescent="0.3">
      <c r="A749" s="6">
        <v>834.77792201374416</v>
      </c>
    </row>
    <row r="750" spans="1:1" x14ac:dyDescent="0.3">
      <c r="A750" s="6">
        <v>784.78529012135766</v>
      </c>
    </row>
    <row r="751" spans="1:1" x14ac:dyDescent="0.3">
      <c r="A751" s="6">
        <v>898.73530253905324</v>
      </c>
    </row>
    <row r="752" spans="1:1" x14ac:dyDescent="0.3">
      <c r="A752" s="6">
        <v>809.36823135238956</v>
      </c>
    </row>
    <row r="753" spans="1:1" x14ac:dyDescent="0.3">
      <c r="A753" s="6">
        <v>743.11333669453722</v>
      </c>
    </row>
    <row r="754" spans="1:1" x14ac:dyDescent="0.3">
      <c r="A754" s="6">
        <v>857.0633491122328</v>
      </c>
    </row>
    <row r="755" spans="1:1" x14ac:dyDescent="0.3">
      <c r="A755" s="6">
        <v>704.57191757743078</v>
      </c>
    </row>
    <row r="756" spans="1:1" x14ac:dyDescent="0.3">
      <c r="A756" s="6">
        <v>767.69627792556912</v>
      </c>
    </row>
    <row r="757" spans="1:1" x14ac:dyDescent="0.3">
      <c r="A757" s="6">
        <v>615.2048463907671</v>
      </c>
    </row>
    <row r="758" spans="1:1" x14ac:dyDescent="0.3">
      <c r="A758" s="6">
        <v>861.94452902801822</v>
      </c>
    </row>
    <row r="759" spans="1:1" x14ac:dyDescent="0.3">
      <c r="A759" s="6">
        <v>729.15485880846268</v>
      </c>
    </row>
    <row r="760" spans="1:1" x14ac:dyDescent="0.3">
      <c r="A760" s="6">
        <v>823.40310991091178</v>
      </c>
    </row>
    <row r="761" spans="1:1" x14ac:dyDescent="0.3">
      <c r="A761" s="6">
        <v>773.41047801852517</v>
      </c>
    </row>
    <row r="762" spans="1:1" x14ac:dyDescent="0.3">
      <c r="A762" s="6">
        <v>887.36049043622086</v>
      </c>
    </row>
    <row r="763" spans="1:1" x14ac:dyDescent="0.3">
      <c r="A763" s="6">
        <v>797.99341924955706</v>
      </c>
    </row>
    <row r="764" spans="1:1" x14ac:dyDescent="0.3">
      <c r="A764" s="6">
        <v>892.24167035200617</v>
      </c>
    </row>
    <row r="765" spans="1:1" x14ac:dyDescent="0.3">
      <c r="A765" s="6">
        <v>674.26818018805716</v>
      </c>
    </row>
    <row r="766" spans="1:1" x14ac:dyDescent="0.3">
      <c r="A766" s="6">
        <v>521.77674865325514</v>
      </c>
    </row>
    <row r="767" spans="1:1" x14ac:dyDescent="0.3">
      <c r="A767" s="6">
        <v>768.51643129050626</v>
      </c>
    </row>
    <row r="768" spans="1:1" x14ac:dyDescent="0.3">
      <c r="A768" s="6">
        <v>635.72676107095072</v>
      </c>
    </row>
    <row r="769" spans="1:1" x14ac:dyDescent="0.3">
      <c r="A769" s="6">
        <v>882.46644370820184</v>
      </c>
    </row>
    <row r="770" spans="1:1" x14ac:dyDescent="0.3">
      <c r="A770" s="6">
        <v>729.97501217339982</v>
      </c>
    </row>
    <row r="771" spans="1:1" x14ac:dyDescent="0.3">
      <c r="A771" s="6">
        <v>546.35968988428704</v>
      </c>
    </row>
    <row r="772" spans="1:1" x14ac:dyDescent="0.3">
      <c r="A772" s="6">
        <v>793.09937252153816</v>
      </c>
    </row>
    <row r="773" spans="1:1" x14ac:dyDescent="0.3">
      <c r="A773" s="6">
        <v>640.60794098673603</v>
      </c>
    </row>
    <row r="774" spans="1:1" x14ac:dyDescent="0.3">
      <c r="A774" s="6">
        <v>754.55795340443171</v>
      </c>
    </row>
    <row r="775" spans="1:1" x14ac:dyDescent="0.3">
      <c r="A775" s="6">
        <v>704.5653215120451</v>
      </c>
    </row>
    <row r="776" spans="1:1" x14ac:dyDescent="0.3">
      <c r="A776" s="6">
        <v>798.81357261449421</v>
      </c>
    </row>
    <row r="777" spans="1:1" x14ac:dyDescent="0.3">
      <c r="A777" s="6">
        <v>823.3965138455261</v>
      </c>
    </row>
    <row r="778" spans="1:1" x14ac:dyDescent="0.3">
      <c r="A778" s="6">
        <v>847.91624653488168</v>
      </c>
    </row>
    <row r="779" spans="1:1" x14ac:dyDescent="0.3">
      <c r="A779" s="6">
        <v>809.37482741777524</v>
      </c>
    </row>
    <row r="780" spans="1:1" x14ac:dyDescent="0.3">
      <c r="A780" s="6">
        <v>878.21338785886962</v>
      </c>
    </row>
    <row r="781" spans="1:1" x14ac:dyDescent="0.3">
      <c r="A781" s="6">
        <v>754.48814879736972</v>
      </c>
    </row>
    <row r="782" spans="1:1" x14ac:dyDescent="0.3">
      <c r="A782" s="6">
        <v>868.43816121506529</v>
      </c>
    </row>
    <row r="783" spans="1:1" x14ac:dyDescent="0.3">
      <c r="A783" s="6">
        <v>715.94672968026327</v>
      </c>
    </row>
    <row r="784" spans="1:1" x14ac:dyDescent="0.3">
      <c r="A784" s="6">
        <v>779.07109002840161</v>
      </c>
    </row>
    <row r="785" spans="1:1" x14ac:dyDescent="0.3">
      <c r="A785" s="6">
        <v>626.57965849359948</v>
      </c>
    </row>
    <row r="786" spans="1:1" x14ac:dyDescent="0.3">
      <c r="A786" s="6">
        <v>873.3193411308506</v>
      </c>
    </row>
    <row r="787" spans="1:1" x14ac:dyDescent="0.3">
      <c r="A787" s="6">
        <v>740.52967091129517</v>
      </c>
    </row>
    <row r="788" spans="1:1" x14ac:dyDescent="0.3">
      <c r="A788" s="6">
        <v>834.77792201374416</v>
      </c>
    </row>
    <row r="789" spans="1:1" x14ac:dyDescent="0.3">
      <c r="A789" s="6">
        <v>784.78529012135766</v>
      </c>
    </row>
    <row r="790" spans="1:1" x14ac:dyDescent="0.3">
      <c r="A790" s="6">
        <v>898.73530253905324</v>
      </c>
    </row>
    <row r="791" spans="1:1" x14ac:dyDescent="0.3">
      <c r="A791" s="6">
        <v>809.36823135238956</v>
      </c>
    </row>
    <row r="792" spans="1:1" x14ac:dyDescent="0.3">
      <c r="A792" s="6">
        <v>743.11333669453722</v>
      </c>
    </row>
    <row r="793" spans="1:1" x14ac:dyDescent="0.3">
      <c r="A793" s="6">
        <v>857.0633491122328</v>
      </c>
    </row>
    <row r="794" spans="1:1" x14ac:dyDescent="0.3">
      <c r="A794" s="6">
        <v>704.57191757743078</v>
      </c>
    </row>
    <row r="795" spans="1:1" x14ac:dyDescent="0.3">
      <c r="A795" s="6">
        <v>767.69627792556912</v>
      </c>
    </row>
    <row r="796" spans="1:1" x14ac:dyDescent="0.3">
      <c r="A796" s="6">
        <v>615.2048463907671</v>
      </c>
    </row>
    <row r="797" spans="1:1" x14ac:dyDescent="0.3">
      <c r="A797" s="6">
        <v>861.94452902801822</v>
      </c>
    </row>
    <row r="798" spans="1:1" x14ac:dyDescent="0.3">
      <c r="A798" s="6">
        <v>729.15485880846268</v>
      </c>
    </row>
    <row r="799" spans="1:1" x14ac:dyDescent="0.3">
      <c r="A799" s="6">
        <v>823.40310991091178</v>
      </c>
    </row>
    <row r="800" spans="1:1" x14ac:dyDescent="0.3">
      <c r="A800" s="6">
        <v>773.41047801852517</v>
      </c>
    </row>
    <row r="801" spans="1:1" x14ac:dyDescent="0.3">
      <c r="A801" s="6">
        <v>887.36049043622086</v>
      </c>
    </row>
    <row r="802" spans="1:1" x14ac:dyDescent="0.3">
      <c r="A802" s="6">
        <v>797.99341924955706</v>
      </c>
    </row>
    <row r="803" spans="1:1" x14ac:dyDescent="0.3">
      <c r="A803" s="6">
        <v>892.24167035200617</v>
      </c>
    </row>
    <row r="804" spans="1:1" x14ac:dyDescent="0.3">
      <c r="A804" s="6">
        <v>674.26818018805716</v>
      </c>
    </row>
    <row r="805" spans="1:1" x14ac:dyDescent="0.3">
      <c r="A805" s="6">
        <v>521.77674865325514</v>
      </c>
    </row>
    <row r="806" spans="1:1" x14ac:dyDescent="0.3">
      <c r="A806" s="6">
        <v>768.51643129050626</v>
      </c>
    </row>
    <row r="807" spans="1:1" x14ac:dyDescent="0.3">
      <c r="A807" s="6">
        <v>635.72676107095072</v>
      </c>
    </row>
    <row r="808" spans="1:1" x14ac:dyDescent="0.3">
      <c r="A808" s="6">
        <v>882.46644370820184</v>
      </c>
    </row>
    <row r="809" spans="1:1" x14ac:dyDescent="0.3">
      <c r="A809" s="6">
        <v>729.97501217339982</v>
      </c>
    </row>
    <row r="810" spans="1:1" x14ac:dyDescent="0.3">
      <c r="A810" s="6">
        <v>546.35968988428704</v>
      </c>
    </row>
    <row r="811" spans="1:1" x14ac:dyDescent="0.3">
      <c r="A811" s="6">
        <v>793.09937252153816</v>
      </c>
    </row>
    <row r="812" spans="1:1" x14ac:dyDescent="0.3">
      <c r="A812" s="6">
        <v>640.60794098673603</v>
      </c>
    </row>
    <row r="813" spans="1:1" x14ac:dyDescent="0.3">
      <c r="A813" s="6">
        <v>754.55795340443171</v>
      </c>
    </row>
    <row r="814" spans="1:1" x14ac:dyDescent="0.3">
      <c r="A814" s="6">
        <v>704.5653215120451</v>
      </c>
    </row>
    <row r="815" spans="1:1" x14ac:dyDescent="0.3">
      <c r="A815" s="6">
        <v>798.81357261449421</v>
      </c>
    </row>
    <row r="816" spans="1:1" x14ac:dyDescent="0.3">
      <c r="A816" s="6">
        <v>823.3965138455261</v>
      </c>
    </row>
    <row r="817" spans="1:1" x14ac:dyDescent="0.3">
      <c r="A817" s="6">
        <v>878.4807319777434</v>
      </c>
    </row>
    <row r="818" spans="1:1" x14ac:dyDescent="0.3">
      <c r="A818" s="6">
        <v>839.93931286063696</v>
      </c>
    </row>
    <row r="819" spans="1:1" x14ac:dyDescent="0.3">
      <c r="A819" s="6">
        <v>750.57224167397328</v>
      </c>
    </row>
    <row r="820" spans="1:1" x14ac:dyDescent="0.3">
      <c r="A820" s="6">
        <v>864.52225409166886</v>
      </c>
    </row>
    <row r="821" spans="1:1" x14ac:dyDescent="0.3">
      <c r="A821" s="6">
        <v>809.63557547126334</v>
      </c>
    </row>
    <row r="822" spans="1:1" x14ac:dyDescent="0.3">
      <c r="A822" s="6">
        <v>657.14414393646132</v>
      </c>
    </row>
    <row r="823" spans="1:1" x14ac:dyDescent="0.3">
      <c r="A823" s="6">
        <v>771.09415635415689</v>
      </c>
    </row>
    <row r="824" spans="1:1" x14ac:dyDescent="0.3">
      <c r="A824" s="6">
        <v>865.342407456606</v>
      </c>
    </row>
    <row r="825" spans="1:1" x14ac:dyDescent="0.3">
      <c r="A825" s="6">
        <v>681.72708516749321</v>
      </c>
    </row>
    <row r="826" spans="1:1" x14ac:dyDescent="0.3">
      <c r="A826" s="6">
        <v>775.9753362699422</v>
      </c>
    </row>
    <row r="827" spans="1:1" x14ac:dyDescent="0.3">
      <c r="A827" s="6">
        <v>889.92534868763789</v>
      </c>
    </row>
    <row r="828" spans="1:1" x14ac:dyDescent="0.3">
      <c r="A828" s="6">
        <v>839.93271679525128</v>
      </c>
    </row>
    <row r="829" spans="1:1" x14ac:dyDescent="0.3">
      <c r="A829" s="6">
        <v>798.26076336843096</v>
      </c>
    </row>
    <row r="830" spans="1:1" x14ac:dyDescent="0.3">
      <c r="A830" s="6">
        <v>645.76933183362883</v>
      </c>
    </row>
    <row r="831" spans="1:1" x14ac:dyDescent="0.3">
      <c r="A831" s="6">
        <v>892.50901447087995</v>
      </c>
    </row>
    <row r="832" spans="1:1" x14ac:dyDescent="0.3">
      <c r="A832" s="6">
        <v>759.71934425132451</v>
      </c>
    </row>
    <row r="833" spans="1:1" x14ac:dyDescent="0.3">
      <c r="A833" s="6">
        <v>853.9675953537735</v>
      </c>
    </row>
    <row r="834" spans="1:1" x14ac:dyDescent="0.3">
      <c r="A834" s="6">
        <v>670.35227306466072</v>
      </c>
    </row>
    <row r="835" spans="1:1" x14ac:dyDescent="0.3">
      <c r="A835" s="6">
        <v>764.60052416710982</v>
      </c>
    </row>
    <row r="836" spans="1:1" x14ac:dyDescent="0.3">
      <c r="A836" s="6">
        <v>878.5505365848054</v>
      </c>
    </row>
    <row r="837" spans="1:1" x14ac:dyDescent="0.3">
      <c r="A837" s="6">
        <v>828.5579046924189</v>
      </c>
    </row>
    <row r="838" spans="1:1" x14ac:dyDescent="0.3">
      <c r="A838" s="6">
        <v>576.92417532714876</v>
      </c>
    </row>
    <row r="839" spans="1:1" x14ac:dyDescent="0.3">
      <c r="A839" s="6">
        <v>823.66385796439988</v>
      </c>
    </row>
    <row r="840" spans="1:1" x14ac:dyDescent="0.3">
      <c r="A840" s="6">
        <v>671.17242642959786</v>
      </c>
    </row>
    <row r="841" spans="1:1" x14ac:dyDescent="0.3">
      <c r="A841" s="6">
        <v>785.12243884729344</v>
      </c>
    </row>
    <row r="842" spans="1:1" x14ac:dyDescent="0.3">
      <c r="A842" s="6">
        <v>695.75536766062976</v>
      </c>
    </row>
    <row r="843" spans="1:1" x14ac:dyDescent="0.3">
      <c r="A843" s="6">
        <v>853.96099928838782</v>
      </c>
    </row>
    <row r="844" spans="1:1" x14ac:dyDescent="0.3">
      <c r="A844" s="6">
        <v>878.92366335450788</v>
      </c>
    </row>
    <row r="845" spans="1:1" x14ac:dyDescent="0.3">
      <c r="A845" s="6">
        <v>840.38224423740144</v>
      </c>
    </row>
    <row r="846" spans="1:1" x14ac:dyDescent="0.3">
      <c r="A846" s="6">
        <v>867.5488512516755</v>
      </c>
    </row>
    <row r="847" spans="1:1" x14ac:dyDescent="0.3">
      <c r="A847" s="6">
        <v>829.00743213456906</v>
      </c>
    </row>
    <row r="848" spans="1:1" x14ac:dyDescent="0.3">
      <c r="A848" s="6">
        <v>897.84599257566344</v>
      </c>
    </row>
    <row r="849" spans="1:1" x14ac:dyDescent="0.3">
      <c r="A849" s="6">
        <v>774.12075351416354</v>
      </c>
    </row>
    <row r="850" spans="1:1" x14ac:dyDescent="0.3">
      <c r="A850" s="6">
        <v>888.07076593185911</v>
      </c>
    </row>
    <row r="851" spans="1:1" x14ac:dyDescent="0.3">
      <c r="A851" s="6">
        <v>735.5793343970571</v>
      </c>
    </row>
    <row r="852" spans="1:1" x14ac:dyDescent="0.3">
      <c r="A852" s="6">
        <v>798.70369474519543</v>
      </c>
    </row>
    <row r="853" spans="1:1" x14ac:dyDescent="0.3">
      <c r="A853" s="6">
        <v>646.2122632103933</v>
      </c>
    </row>
    <row r="854" spans="1:1" x14ac:dyDescent="0.3">
      <c r="A854" s="6">
        <v>892.95194584764442</v>
      </c>
    </row>
    <row r="855" spans="1:1" x14ac:dyDescent="0.3">
      <c r="A855" s="6">
        <v>760.16227562808899</v>
      </c>
    </row>
    <row r="856" spans="1:1" x14ac:dyDescent="0.3">
      <c r="A856" s="6">
        <v>854.41052673053798</v>
      </c>
    </row>
    <row r="857" spans="1:1" x14ac:dyDescent="0.3">
      <c r="A857" s="6">
        <v>804.41789483815148</v>
      </c>
    </row>
    <row r="858" spans="1:1" x14ac:dyDescent="0.3">
      <c r="A858" s="6">
        <v>829.00083606918338</v>
      </c>
    </row>
    <row r="859" spans="1:1" x14ac:dyDescent="0.3">
      <c r="A859" s="6">
        <v>870.94672968026327</v>
      </c>
    </row>
    <row r="860" spans="1:1" x14ac:dyDescent="0.3">
      <c r="A860" s="6">
        <v>781.57965849359948</v>
      </c>
    </row>
    <row r="861" spans="1:1" x14ac:dyDescent="0.3">
      <c r="A861" s="6">
        <v>895.52967091129517</v>
      </c>
    </row>
    <row r="862" spans="1:1" x14ac:dyDescent="0.3">
      <c r="A862" s="6">
        <v>898.11333669453722</v>
      </c>
    </row>
    <row r="863" spans="1:1" x14ac:dyDescent="0.3">
      <c r="A863" s="6">
        <v>859.57191757743078</v>
      </c>
    </row>
    <row r="864" spans="1:1" x14ac:dyDescent="0.3">
      <c r="A864" s="6">
        <v>770.2048463907671</v>
      </c>
    </row>
    <row r="865" spans="1:1" x14ac:dyDescent="0.3">
      <c r="A865" s="6">
        <v>884.15485880846268</v>
      </c>
    </row>
    <row r="866" spans="1:1" x14ac:dyDescent="0.3">
      <c r="A866" s="6">
        <v>829.26818018805716</v>
      </c>
    </row>
    <row r="867" spans="1:1" x14ac:dyDescent="0.3">
      <c r="A867" s="6">
        <v>676.77674865325514</v>
      </c>
    </row>
    <row r="868" spans="1:1" x14ac:dyDescent="0.3">
      <c r="A868" s="6">
        <v>790.72676107095072</v>
      </c>
    </row>
    <row r="869" spans="1:1" x14ac:dyDescent="0.3">
      <c r="A869" s="6">
        <v>884.97501217339982</v>
      </c>
    </row>
    <row r="870" spans="1:1" x14ac:dyDescent="0.3">
      <c r="A870" s="6">
        <v>701.35968988428704</v>
      </c>
    </row>
    <row r="871" spans="1:1" x14ac:dyDescent="0.3">
      <c r="A871" s="6">
        <v>795.60794098673603</v>
      </c>
    </row>
    <row r="872" spans="1:1" x14ac:dyDescent="0.3">
      <c r="A872" s="6">
        <v>859.5653215120451</v>
      </c>
    </row>
    <row r="873" spans="1:1" x14ac:dyDescent="0.3">
      <c r="A873" s="6">
        <v>870.94672968026327</v>
      </c>
    </row>
    <row r="874" spans="1:1" x14ac:dyDescent="0.3">
      <c r="A874" s="6">
        <v>781.57965849359948</v>
      </c>
    </row>
    <row r="875" spans="1:1" x14ac:dyDescent="0.3">
      <c r="A875" s="6">
        <v>895.52967091129517</v>
      </c>
    </row>
    <row r="876" spans="1:1" x14ac:dyDescent="0.3">
      <c r="A876" s="6">
        <v>898.11333669453722</v>
      </c>
    </row>
    <row r="877" spans="1:1" x14ac:dyDescent="0.3">
      <c r="A877" s="6">
        <v>859.57191757743078</v>
      </c>
    </row>
    <row r="878" spans="1:1" x14ac:dyDescent="0.3">
      <c r="A878" s="6">
        <v>770.2048463907671</v>
      </c>
    </row>
    <row r="879" spans="1:1" x14ac:dyDescent="0.3">
      <c r="A879" s="6">
        <v>884.15485880846268</v>
      </c>
    </row>
    <row r="880" spans="1:1" x14ac:dyDescent="0.3">
      <c r="A880" s="6">
        <v>829.26818018805716</v>
      </c>
    </row>
    <row r="881" spans="1:1" x14ac:dyDescent="0.3">
      <c r="A881" s="6">
        <v>676.77674865325514</v>
      </c>
    </row>
    <row r="882" spans="1:1" x14ac:dyDescent="0.3">
      <c r="A882" s="6">
        <v>790.72676107095072</v>
      </c>
    </row>
    <row r="883" spans="1:1" x14ac:dyDescent="0.3">
      <c r="A883" s="6">
        <v>884.97501217339982</v>
      </c>
    </row>
    <row r="884" spans="1:1" x14ac:dyDescent="0.3">
      <c r="A884" s="6">
        <v>701.35968988428704</v>
      </c>
    </row>
    <row r="885" spans="1:1" x14ac:dyDescent="0.3">
      <c r="A885" s="6">
        <v>795.60794098673603</v>
      </c>
    </row>
    <row r="886" spans="1:1" x14ac:dyDescent="0.3">
      <c r="A886" s="6">
        <v>859.5653215120451</v>
      </c>
    </row>
    <row r="887" spans="1:1" x14ac:dyDescent="0.3">
      <c r="A887" s="6">
        <v>812.14414393646132</v>
      </c>
    </row>
    <row r="888" spans="1:1" x14ac:dyDescent="0.3">
      <c r="A888" s="6">
        <v>836.72708516749321</v>
      </c>
    </row>
    <row r="889" spans="1:1" x14ac:dyDescent="0.3">
      <c r="A889" s="6">
        <v>800.76933183362883</v>
      </c>
    </row>
    <row r="890" spans="1:1" x14ac:dyDescent="0.3">
      <c r="A890" s="6">
        <v>825.35227306466072</v>
      </c>
    </row>
    <row r="891" spans="1:1" x14ac:dyDescent="0.3">
      <c r="A891" s="6">
        <v>731.92417532714876</v>
      </c>
    </row>
    <row r="892" spans="1:1" x14ac:dyDescent="0.3">
      <c r="A892" s="6">
        <v>826.17242642959786</v>
      </c>
    </row>
    <row r="893" spans="1:1" x14ac:dyDescent="0.3">
      <c r="A893" s="6">
        <v>850.75536766062976</v>
      </c>
    </row>
    <row r="894" spans="1:1" x14ac:dyDescent="0.3">
      <c r="A894" s="6">
        <v>870.94672968026327</v>
      </c>
    </row>
    <row r="895" spans="1:1" x14ac:dyDescent="0.3">
      <c r="A895" s="6">
        <v>781.57965849359948</v>
      </c>
    </row>
    <row r="896" spans="1:1" x14ac:dyDescent="0.3">
      <c r="A896" s="6">
        <v>895.52967091129517</v>
      </c>
    </row>
    <row r="897" spans="1:1" x14ac:dyDescent="0.3">
      <c r="A897" s="6">
        <v>898.11333669453722</v>
      </c>
    </row>
    <row r="898" spans="1:1" x14ac:dyDescent="0.3">
      <c r="A898" s="6">
        <v>859.57191757743078</v>
      </c>
    </row>
    <row r="899" spans="1:1" x14ac:dyDescent="0.3">
      <c r="A899" s="6">
        <v>770.2048463907671</v>
      </c>
    </row>
    <row r="900" spans="1:1" x14ac:dyDescent="0.3">
      <c r="A900" s="6">
        <v>884.15485880846268</v>
      </c>
    </row>
    <row r="901" spans="1:1" x14ac:dyDescent="0.3">
      <c r="A901" s="6">
        <v>829.26818018805716</v>
      </c>
    </row>
    <row r="902" spans="1:1" x14ac:dyDescent="0.3">
      <c r="A902" s="6">
        <v>676.77674865325514</v>
      </c>
    </row>
    <row r="903" spans="1:1" x14ac:dyDescent="0.3">
      <c r="A903" s="6">
        <v>790.72676107095072</v>
      </c>
    </row>
    <row r="904" spans="1:1" x14ac:dyDescent="0.3">
      <c r="A904" s="6">
        <v>884.97501217339982</v>
      </c>
    </row>
    <row r="905" spans="1:1" x14ac:dyDescent="0.3">
      <c r="A905" s="6">
        <v>701.35968988428704</v>
      </c>
    </row>
    <row r="906" spans="1:1" x14ac:dyDescent="0.3">
      <c r="A906" s="6">
        <v>795.60794098673603</v>
      </c>
    </row>
    <row r="907" spans="1:1" x14ac:dyDescent="0.3">
      <c r="A907" s="6">
        <v>859.5653215120451</v>
      </c>
    </row>
    <row r="908" spans="1:1" x14ac:dyDescent="0.3">
      <c r="A908" s="6">
        <v>812.14414393646132</v>
      </c>
    </row>
    <row r="909" spans="1:1" x14ac:dyDescent="0.3">
      <c r="A909" s="6">
        <v>836.72708516749321</v>
      </c>
    </row>
    <row r="910" spans="1:1" x14ac:dyDescent="0.3">
      <c r="A910" s="6">
        <v>800.76933183362883</v>
      </c>
    </row>
    <row r="911" spans="1:1" x14ac:dyDescent="0.3">
      <c r="A911" s="6">
        <v>825.35227306466072</v>
      </c>
    </row>
    <row r="912" spans="1:1" x14ac:dyDescent="0.3">
      <c r="A912" s="6">
        <v>731.92417532714876</v>
      </c>
    </row>
    <row r="913" spans="1:1" x14ac:dyDescent="0.3">
      <c r="A913" s="6">
        <v>826.17242642959786</v>
      </c>
    </row>
    <row r="914" spans="1:1" x14ac:dyDescent="0.3">
      <c r="A914" s="6">
        <v>850.75536766062976</v>
      </c>
    </row>
    <row r="915" spans="1:1" x14ac:dyDescent="0.3">
      <c r="A915" s="6">
        <v>812.14414393646132</v>
      </c>
    </row>
    <row r="916" spans="1:1" x14ac:dyDescent="0.3">
      <c r="A916" s="6">
        <v>836.72708516749321</v>
      </c>
    </row>
    <row r="917" spans="1:1" x14ac:dyDescent="0.3">
      <c r="A917" s="6">
        <v>800.76933183362883</v>
      </c>
    </row>
    <row r="918" spans="1:1" x14ac:dyDescent="0.3">
      <c r="A918" s="6">
        <v>825.35227306466072</v>
      </c>
    </row>
    <row r="919" spans="1:1" x14ac:dyDescent="0.3">
      <c r="A919" s="6">
        <v>731.92417532714876</v>
      </c>
    </row>
    <row r="920" spans="1:1" x14ac:dyDescent="0.3">
      <c r="A920" s="6">
        <v>826.17242642959786</v>
      </c>
    </row>
    <row r="921" spans="1:1" x14ac:dyDescent="0.3">
      <c r="A921" s="6">
        <v>850.75536766062976</v>
      </c>
    </row>
    <row r="922" spans="1:1" x14ac:dyDescent="0.3">
      <c r="A922" s="6">
        <v>867.29157061035494</v>
      </c>
    </row>
    <row r="923" spans="1:1" x14ac:dyDescent="0.3">
      <c r="A923" s="6">
        <v>855.91675850752256</v>
      </c>
    </row>
    <row r="924" spans="1:1" x14ac:dyDescent="0.3">
      <c r="A924" s="6">
        <v>881.31985310349148</v>
      </c>
    </row>
    <row r="925" spans="1:1" x14ac:dyDescent="0.3">
      <c r="A925" s="6">
        <v>831.77674865325514</v>
      </c>
    </row>
    <row r="926" spans="1:1" x14ac:dyDescent="0.3">
      <c r="A926" s="6">
        <v>856.35968988428704</v>
      </c>
    </row>
    <row r="927" spans="1:1" x14ac:dyDescent="0.3">
      <c r="A927" s="6">
        <v>886.92417532714876</v>
      </c>
    </row>
    <row r="928" spans="1:1" x14ac:dyDescent="0.3">
      <c r="A928" s="6">
        <v>886.92417532714876</v>
      </c>
    </row>
    <row r="929" spans="1:1" x14ac:dyDescent="0.3">
      <c r="A929" s="6">
        <v>886.92417532714876</v>
      </c>
    </row>
    <row r="930" spans="1:1" x14ac:dyDescent="0.3">
      <c r="A930" s="47">
        <v>182.31058600880081</v>
      </c>
    </row>
    <row r="931" spans="1:1" x14ac:dyDescent="0.3">
      <c r="A931" s="47">
        <v>105.7766123998009</v>
      </c>
    </row>
    <row r="932" spans="1:1" x14ac:dyDescent="0.3">
      <c r="A932" s="47">
        <v>88.209812985421578</v>
      </c>
    </row>
    <row r="933" spans="1:1" x14ac:dyDescent="0.3">
      <c r="A933" s="47">
        <v>240.63200106476299</v>
      </c>
    </row>
    <row r="934" spans="1:1" x14ac:dyDescent="0.3">
      <c r="A934" s="47">
        <v>291.04520797699013</v>
      </c>
    </row>
    <row r="935" spans="1:1" x14ac:dyDescent="0.3">
      <c r="A935" s="47">
        <v>269.09058234667941</v>
      </c>
    </row>
    <row r="936" spans="1:1" x14ac:dyDescent="0.3">
      <c r="A936" s="47">
        <v>269.76484064861296</v>
      </c>
    </row>
    <row r="937" spans="1:1" x14ac:dyDescent="0.3">
      <c r="A937" s="47">
        <v>288.08719840860169</v>
      </c>
    </row>
    <row r="938" spans="1:1" x14ac:dyDescent="0.3">
      <c r="A938" s="47">
        <v>270.52039899422238</v>
      </c>
    </row>
    <row r="939" spans="1:1" x14ac:dyDescent="0.3">
      <c r="A939" s="47">
        <v>422.9425870735638</v>
      </c>
    </row>
    <row r="940" spans="1:1" x14ac:dyDescent="0.3">
      <c r="A940" s="47">
        <v>473.35579398579091</v>
      </c>
    </row>
    <row r="941" spans="1:1" x14ac:dyDescent="0.3">
      <c r="A941" s="47">
        <v>451.40116835548019</v>
      </c>
    </row>
    <row r="942" spans="1:1" x14ac:dyDescent="0.3">
      <c r="A942" s="47">
        <v>452.0754266574138</v>
      </c>
    </row>
    <row r="943" spans="1:1" x14ac:dyDescent="0.3">
      <c r="A943" s="47">
        <v>193.98642538522247</v>
      </c>
    </row>
    <row r="944" spans="1:1" x14ac:dyDescent="0.3">
      <c r="A944" s="47">
        <v>346.40861346456387</v>
      </c>
    </row>
    <row r="945" spans="1:1" x14ac:dyDescent="0.3">
      <c r="A945" s="47">
        <v>396.82182037679104</v>
      </c>
    </row>
    <row r="946" spans="1:1" x14ac:dyDescent="0.3">
      <c r="A946" s="47">
        <v>374.86719474648032</v>
      </c>
    </row>
    <row r="947" spans="1:1" x14ac:dyDescent="0.3">
      <c r="A947" s="47">
        <v>375.54145304841387</v>
      </c>
    </row>
    <row r="948" spans="1:1" x14ac:dyDescent="0.3">
      <c r="A948" s="47">
        <v>328.84181405018455</v>
      </c>
    </row>
    <row r="949" spans="1:1" x14ac:dyDescent="0.3">
      <c r="A949" s="47">
        <v>379.25502096241172</v>
      </c>
    </row>
    <row r="950" spans="1:1" x14ac:dyDescent="0.3">
      <c r="A950" s="47">
        <v>357.300395332101</v>
      </c>
    </row>
    <row r="951" spans="1:1" x14ac:dyDescent="0.3">
      <c r="A951" s="47">
        <v>357.97465363403455</v>
      </c>
    </row>
    <row r="952" spans="1:1" x14ac:dyDescent="0.3">
      <c r="A952" s="47">
        <v>531.67720904175314</v>
      </c>
    </row>
    <row r="953" spans="1:1" x14ac:dyDescent="0.3">
      <c r="A953" s="47">
        <v>509.72258341144243</v>
      </c>
    </row>
    <row r="954" spans="1:1" x14ac:dyDescent="0.3">
      <c r="A954" s="47">
        <v>510.39684171337592</v>
      </c>
    </row>
    <row r="955" spans="1:1" x14ac:dyDescent="0.3">
      <c r="A955" s="47">
        <v>560.13579032366954</v>
      </c>
    </row>
    <row r="956" spans="1:1" x14ac:dyDescent="0.3">
      <c r="A956" s="47">
        <v>560.81004862560303</v>
      </c>
    </row>
    <row r="957" spans="1:1" x14ac:dyDescent="0.3">
      <c r="A957" s="47">
        <v>538.85542299529243</v>
      </c>
    </row>
    <row r="958" spans="1:1" x14ac:dyDescent="0.3">
      <c r="A958" s="47">
        <v>376.29701139402329</v>
      </c>
    </row>
    <row r="959" spans="1:1" x14ac:dyDescent="0.3">
      <c r="A959" s="47">
        <v>528.71919947336471</v>
      </c>
    </row>
    <row r="960" spans="1:1" x14ac:dyDescent="0.3">
      <c r="A960" s="47">
        <v>579.13240638559182</v>
      </c>
    </row>
    <row r="961" spans="1:1" x14ac:dyDescent="0.3">
      <c r="A961" s="47">
        <v>557.17778075528111</v>
      </c>
    </row>
    <row r="962" spans="1:1" x14ac:dyDescent="0.3">
      <c r="A962" s="47">
        <v>557.85203905721471</v>
      </c>
    </row>
    <row r="963" spans="1:1" x14ac:dyDescent="0.3">
      <c r="A963" s="47">
        <v>511.15240005898539</v>
      </c>
    </row>
    <row r="964" spans="1:1" x14ac:dyDescent="0.3">
      <c r="A964" s="47">
        <v>561.56560697121256</v>
      </c>
    </row>
    <row r="965" spans="1:1" x14ac:dyDescent="0.3">
      <c r="A965" s="47">
        <v>539.61098134090184</v>
      </c>
    </row>
    <row r="966" spans="1:1" x14ac:dyDescent="0.3">
      <c r="A966" s="47">
        <v>540.28523964283534</v>
      </c>
    </row>
    <row r="967" spans="1:1" x14ac:dyDescent="0.3">
      <c r="A967" s="47">
        <v>713.98779505055393</v>
      </c>
    </row>
    <row r="968" spans="1:1" x14ac:dyDescent="0.3">
      <c r="A968" s="47">
        <v>692.03316942024321</v>
      </c>
    </row>
    <row r="969" spans="1:1" x14ac:dyDescent="0.3">
      <c r="A969" s="47">
        <v>692.70742772217682</v>
      </c>
    </row>
    <row r="970" spans="1:1" x14ac:dyDescent="0.3">
      <c r="A970" s="47">
        <v>742.44637633247032</v>
      </c>
    </row>
    <row r="971" spans="1:1" x14ac:dyDescent="0.3">
      <c r="A971" s="47">
        <v>743.12063463440393</v>
      </c>
    </row>
    <row r="972" spans="1:1" x14ac:dyDescent="0.3">
      <c r="A972" s="47">
        <v>721.16600900409321</v>
      </c>
    </row>
    <row r="973" spans="1:1" x14ac:dyDescent="0.3">
      <c r="A973" s="47">
        <v>434.61842644998546</v>
      </c>
    </row>
    <row r="974" spans="1:1" x14ac:dyDescent="0.3">
      <c r="A974" s="47">
        <v>485.03163336221257</v>
      </c>
    </row>
    <row r="975" spans="1:1" x14ac:dyDescent="0.3">
      <c r="A975" s="47">
        <v>463.07700773190186</v>
      </c>
    </row>
    <row r="976" spans="1:1" x14ac:dyDescent="0.3">
      <c r="A976" s="47">
        <v>463.75126603383541</v>
      </c>
    </row>
    <row r="977" spans="1:1" x14ac:dyDescent="0.3">
      <c r="A977" s="47">
        <v>637.45382144155406</v>
      </c>
    </row>
    <row r="978" spans="1:1" x14ac:dyDescent="0.3">
      <c r="A978" s="47">
        <v>615.49919581124334</v>
      </c>
    </row>
    <row r="979" spans="1:1" x14ac:dyDescent="0.3">
      <c r="A979" s="47">
        <v>616.17345411317683</v>
      </c>
    </row>
    <row r="980" spans="1:1" x14ac:dyDescent="0.3">
      <c r="A980" s="47">
        <v>665.91240272347045</v>
      </c>
    </row>
    <row r="981" spans="1:1" x14ac:dyDescent="0.3">
      <c r="A981" s="47">
        <v>666.58666102540394</v>
      </c>
    </row>
    <row r="982" spans="1:1" x14ac:dyDescent="0.3">
      <c r="A982" s="47">
        <v>644.63203539509323</v>
      </c>
    </row>
    <row r="983" spans="1:1" x14ac:dyDescent="0.3">
      <c r="A983" s="47">
        <v>619.88702202717468</v>
      </c>
    </row>
    <row r="984" spans="1:1" x14ac:dyDescent="0.3">
      <c r="A984" s="47">
        <v>597.93239639686396</v>
      </c>
    </row>
    <row r="985" spans="1:1" x14ac:dyDescent="0.3">
      <c r="A985" s="47">
        <v>598.60665469879757</v>
      </c>
    </row>
    <row r="986" spans="1:1" x14ac:dyDescent="0.3">
      <c r="A986" s="47">
        <v>648.34560330909108</v>
      </c>
    </row>
    <row r="987" spans="1:1" x14ac:dyDescent="0.3">
      <c r="A987" s="47">
        <v>649.01986161102468</v>
      </c>
    </row>
    <row r="988" spans="1:1" x14ac:dyDescent="0.3">
      <c r="A988" s="47">
        <v>627.06523598071396</v>
      </c>
    </row>
    <row r="989" spans="1:1" x14ac:dyDescent="0.3">
      <c r="A989" s="47">
        <v>800.76779138843256</v>
      </c>
    </row>
    <row r="990" spans="1:1" x14ac:dyDescent="0.3">
      <c r="A990" s="47">
        <v>801.44204969036605</v>
      </c>
    </row>
    <row r="991" spans="1:1" x14ac:dyDescent="0.3">
      <c r="A991" s="47">
        <v>779.48742406005533</v>
      </c>
    </row>
    <row r="992" spans="1:1" x14ac:dyDescent="0.3">
      <c r="A992" s="47">
        <v>829.90063097228244</v>
      </c>
    </row>
    <row r="993" spans="1:1" x14ac:dyDescent="0.3">
      <c r="A993" s="47">
        <v>616.92901245878625</v>
      </c>
    </row>
    <row r="994" spans="1:1" x14ac:dyDescent="0.3">
      <c r="A994" s="47">
        <v>667.34221937101336</v>
      </c>
    </row>
    <row r="995" spans="1:1" x14ac:dyDescent="0.3">
      <c r="A995" s="47">
        <v>645.38759374070264</v>
      </c>
    </row>
    <row r="996" spans="1:1" x14ac:dyDescent="0.3">
      <c r="A996" s="47">
        <v>646.06185204263625</v>
      </c>
    </row>
    <row r="997" spans="1:1" x14ac:dyDescent="0.3">
      <c r="A997" s="47">
        <v>819.76440745035484</v>
      </c>
    </row>
    <row r="998" spans="1:1" x14ac:dyDescent="0.3">
      <c r="A998" s="47">
        <v>797.80978182004412</v>
      </c>
    </row>
    <row r="999" spans="1:1" x14ac:dyDescent="0.3">
      <c r="A999" s="47">
        <v>798.48404012197761</v>
      </c>
    </row>
    <row r="1000" spans="1:1" x14ac:dyDescent="0.3">
      <c r="A1000" s="47">
        <v>848.22298873227123</v>
      </c>
    </row>
    <row r="1001" spans="1:1" x14ac:dyDescent="0.3">
      <c r="A1001" s="47">
        <v>848.89724703420484</v>
      </c>
    </row>
    <row r="1002" spans="1:1" x14ac:dyDescent="0.3">
      <c r="A1002" s="47">
        <v>826.94262140389412</v>
      </c>
    </row>
    <row r="1003" spans="1:1" x14ac:dyDescent="0.3">
      <c r="A1003" s="47">
        <v>802.19760803597546</v>
      </c>
    </row>
    <row r="1004" spans="1:1" x14ac:dyDescent="0.3">
      <c r="A1004" s="47">
        <v>780.24298240566475</v>
      </c>
    </row>
    <row r="1005" spans="1:1" x14ac:dyDescent="0.3">
      <c r="A1005" s="47">
        <v>780.91724070759835</v>
      </c>
    </row>
    <row r="1006" spans="1:1" x14ac:dyDescent="0.3">
      <c r="A1006" s="47">
        <v>830.65618931789197</v>
      </c>
    </row>
    <row r="1007" spans="1:1" x14ac:dyDescent="0.3">
      <c r="A1007" s="47">
        <v>831.33044761982546</v>
      </c>
    </row>
    <row r="1008" spans="1:1" x14ac:dyDescent="0.3">
      <c r="A1008" s="47">
        <v>809.37582198951475</v>
      </c>
    </row>
    <row r="1009" spans="1:1" x14ac:dyDescent="0.3">
      <c r="A1009" s="47">
        <v>725.66363442697559</v>
      </c>
    </row>
    <row r="1010" spans="1:1" x14ac:dyDescent="0.3">
      <c r="A1010" s="47">
        <v>703.70900879666488</v>
      </c>
    </row>
    <row r="1011" spans="1:1" x14ac:dyDescent="0.3">
      <c r="A1011" s="47">
        <v>704.38326709859837</v>
      </c>
    </row>
    <row r="1012" spans="1:1" x14ac:dyDescent="0.3">
      <c r="A1012" s="47">
        <v>754.12221570889199</v>
      </c>
    </row>
    <row r="1013" spans="1:1" x14ac:dyDescent="0.3">
      <c r="A1013" s="47">
        <v>754.79647401082559</v>
      </c>
    </row>
    <row r="1014" spans="1:1" x14ac:dyDescent="0.3">
      <c r="A1014" s="47">
        <v>732.84184838051488</v>
      </c>
    </row>
    <row r="1015" spans="1:1" x14ac:dyDescent="0.3">
      <c r="A1015" s="47">
        <v>885.26403645985624</v>
      </c>
    </row>
    <row r="1016" spans="1:1" x14ac:dyDescent="0.3">
      <c r="A1016" s="47">
        <v>888.97760437385409</v>
      </c>
    </row>
    <row r="1017" spans="1:1" x14ac:dyDescent="0.3">
      <c r="A1017" s="47">
        <v>889.6518626757877</v>
      </c>
    </row>
    <row r="1018" spans="1:1" x14ac:dyDescent="0.3">
      <c r="A1018" s="47">
        <v>867.69723704547698</v>
      </c>
    </row>
    <row r="1019" spans="1:1" x14ac:dyDescent="0.3">
      <c r="A1019" s="47">
        <v>886.01959480546566</v>
      </c>
    </row>
    <row r="1020" spans="1:1" x14ac:dyDescent="0.3">
      <c r="A1020" s="47">
        <v>886.69385310739926</v>
      </c>
    </row>
    <row r="1021" spans="1:1" x14ac:dyDescent="0.3">
      <c r="A1021" s="47">
        <v>157.92278957999292</v>
      </c>
    </row>
    <row r="1022" spans="1:1" x14ac:dyDescent="0.3">
      <c r="A1022" s="47">
        <v>220.78480595896349</v>
      </c>
    </row>
    <row r="1023" spans="1:1" x14ac:dyDescent="0.3">
      <c r="A1023" s="47">
        <v>259.31323779276431</v>
      </c>
    </row>
    <row r="1024" spans="1:1" x14ac:dyDescent="0.3">
      <c r="A1024" s="47">
        <v>155</v>
      </c>
    </row>
    <row r="1025" spans="1:1" x14ac:dyDescent="0.3">
      <c r="A1025" s="47">
        <v>236.50311828350391</v>
      </c>
    </row>
    <row r="1026" spans="1:1" x14ac:dyDescent="0.3">
      <c r="A1026" s="47">
        <v>165.08096849368502</v>
      </c>
    </row>
    <row r="1027" spans="1:1" x14ac:dyDescent="0.3">
      <c r="A1027" s="47">
        <v>100.24730815672166</v>
      </c>
    </row>
    <row r="1028" spans="1:1" x14ac:dyDescent="0.3">
      <c r="A1028" s="47">
        <v>473.00623656700782</v>
      </c>
    </row>
    <row r="1029" spans="1:1" x14ac:dyDescent="0.3">
      <c r="A1029" s="47">
        <v>141.13805181087204</v>
      </c>
    </row>
    <row r="1030" spans="1:1" x14ac:dyDescent="0.3">
      <c r="A1030" s="47">
        <v>378.70759553895641</v>
      </c>
    </row>
    <row r="1031" spans="1:1" x14ac:dyDescent="0.3">
      <c r="A1031" s="47">
        <v>417.23602737275723</v>
      </c>
    </row>
    <row r="1032" spans="1:1" x14ac:dyDescent="0.3">
      <c r="A1032" s="47">
        <v>312.92278957999292</v>
      </c>
    </row>
    <row r="1033" spans="1:1" x14ac:dyDescent="0.3">
      <c r="A1033" s="47">
        <v>394.42590786349683</v>
      </c>
    </row>
    <row r="1034" spans="1:1" x14ac:dyDescent="0.3">
      <c r="A1034" s="47">
        <v>323.00375807367794</v>
      </c>
    </row>
    <row r="1035" spans="1:1" x14ac:dyDescent="0.3">
      <c r="A1035" s="47">
        <v>258.17009773671458</v>
      </c>
    </row>
    <row r="1036" spans="1:1" x14ac:dyDescent="0.3">
      <c r="A1036" s="47">
        <v>630.92902614700074</v>
      </c>
    </row>
    <row r="1037" spans="1:1" x14ac:dyDescent="0.3">
      <c r="A1037" s="47">
        <v>299.06084139086499</v>
      </c>
    </row>
    <row r="1038" spans="1:1" x14ac:dyDescent="0.3">
      <c r="A1038" s="47">
        <v>480.0980437517278</v>
      </c>
    </row>
    <row r="1039" spans="1:1" x14ac:dyDescent="0.3">
      <c r="A1039" s="47">
        <v>375.78480595896349</v>
      </c>
    </row>
    <row r="1040" spans="1:1" x14ac:dyDescent="0.3">
      <c r="A1040" s="47">
        <v>457.2879242424674</v>
      </c>
    </row>
    <row r="1041" spans="1:1" x14ac:dyDescent="0.3">
      <c r="A1041" s="47">
        <v>385.86577445264851</v>
      </c>
    </row>
    <row r="1042" spans="1:1" x14ac:dyDescent="0.3">
      <c r="A1042" s="47">
        <v>321.03211411568515</v>
      </c>
    </row>
    <row r="1043" spans="1:1" x14ac:dyDescent="0.3">
      <c r="A1043" s="47">
        <v>693.79104252597131</v>
      </c>
    </row>
    <row r="1044" spans="1:1" x14ac:dyDescent="0.3">
      <c r="A1044" s="47">
        <v>361.92285776983556</v>
      </c>
    </row>
    <row r="1045" spans="1:1" x14ac:dyDescent="0.3">
      <c r="A1045" s="47">
        <v>414.31323779276431</v>
      </c>
    </row>
    <row r="1046" spans="1:1" x14ac:dyDescent="0.3">
      <c r="A1046" s="47">
        <v>495.81635607626822</v>
      </c>
    </row>
    <row r="1047" spans="1:1" x14ac:dyDescent="0.3">
      <c r="A1047" s="47">
        <v>424.39420628644933</v>
      </c>
    </row>
    <row r="1048" spans="1:1" x14ac:dyDescent="0.3">
      <c r="A1048" s="47">
        <v>359.56054594948597</v>
      </c>
    </row>
    <row r="1049" spans="1:1" x14ac:dyDescent="0.3">
      <c r="A1049" s="47">
        <v>732.31947435977213</v>
      </c>
    </row>
    <row r="1050" spans="1:1" x14ac:dyDescent="0.3">
      <c r="A1050" s="47">
        <v>400.45128960363638</v>
      </c>
    </row>
    <row r="1051" spans="1:1" x14ac:dyDescent="0.3">
      <c r="A1051" s="47">
        <v>391.50311828350391</v>
      </c>
    </row>
    <row r="1052" spans="1:1" x14ac:dyDescent="0.3">
      <c r="A1052" s="47">
        <v>320.08096849368502</v>
      </c>
    </row>
    <row r="1053" spans="1:1" x14ac:dyDescent="0.3">
      <c r="A1053" s="47">
        <v>255.24730815672166</v>
      </c>
    </row>
    <row r="1054" spans="1:1" x14ac:dyDescent="0.3">
      <c r="A1054" s="47">
        <v>628.00623656700782</v>
      </c>
    </row>
    <row r="1055" spans="1:1" x14ac:dyDescent="0.3">
      <c r="A1055" s="47">
        <v>296.13805181087207</v>
      </c>
    </row>
    <row r="1056" spans="1:1" x14ac:dyDescent="0.3">
      <c r="A1056" s="47">
        <v>401.58408677718893</v>
      </c>
    </row>
    <row r="1057" spans="1:1" x14ac:dyDescent="0.3">
      <c r="A1057" s="47">
        <v>336.75042644022557</v>
      </c>
    </row>
    <row r="1058" spans="1:1" x14ac:dyDescent="0.3">
      <c r="A1058" s="47">
        <v>709.50935485051173</v>
      </c>
    </row>
    <row r="1059" spans="1:1" x14ac:dyDescent="0.3">
      <c r="A1059" s="47">
        <v>377.64117009437598</v>
      </c>
    </row>
    <row r="1060" spans="1:1" x14ac:dyDescent="0.3">
      <c r="A1060" s="47">
        <v>265.32827665040668</v>
      </c>
    </row>
    <row r="1061" spans="1:1" x14ac:dyDescent="0.3">
      <c r="A1061" s="47">
        <v>638.0872050606929</v>
      </c>
    </row>
    <row r="1062" spans="1:1" x14ac:dyDescent="0.3">
      <c r="A1062" s="47">
        <v>306.21902030455703</v>
      </c>
    </row>
    <row r="1063" spans="1:1" x14ac:dyDescent="0.3">
      <c r="A1063" s="47">
        <v>573.25354472372942</v>
      </c>
    </row>
    <row r="1064" spans="1:1" x14ac:dyDescent="0.3">
      <c r="A1064" s="47">
        <v>241.3853599675937</v>
      </c>
    </row>
    <row r="1065" spans="1:1" x14ac:dyDescent="0.3">
      <c r="A1065" s="47">
        <v>614.14428837787989</v>
      </c>
    </row>
    <row r="1066" spans="1:1" x14ac:dyDescent="0.3">
      <c r="A1066" s="47">
        <v>638.02083333172072</v>
      </c>
    </row>
    <row r="1067" spans="1:1" x14ac:dyDescent="0.3">
      <c r="A1067" s="47">
        <v>533.70759553895641</v>
      </c>
    </row>
    <row r="1068" spans="1:1" x14ac:dyDescent="0.3">
      <c r="A1068" s="47">
        <v>615.21071382246032</v>
      </c>
    </row>
    <row r="1069" spans="1:1" x14ac:dyDescent="0.3">
      <c r="A1069" s="47">
        <v>543.78856403264149</v>
      </c>
    </row>
    <row r="1070" spans="1:1" x14ac:dyDescent="0.3">
      <c r="A1070" s="47">
        <v>478.95490369567807</v>
      </c>
    </row>
    <row r="1071" spans="1:1" x14ac:dyDescent="0.3">
      <c r="A1071" s="47">
        <v>851.71383210596423</v>
      </c>
    </row>
    <row r="1072" spans="1:1" x14ac:dyDescent="0.3">
      <c r="A1072" s="47">
        <v>519.84564734982848</v>
      </c>
    </row>
    <row r="1073" spans="1:1" x14ac:dyDescent="0.3">
      <c r="A1073" s="47">
        <v>572.23602737275723</v>
      </c>
    </row>
    <row r="1074" spans="1:1" x14ac:dyDescent="0.3">
      <c r="A1074" s="47">
        <v>653.73914565626114</v>
      </c>
    </row>
    <row r="1075" spans="1:1" x14ac:dyDescent="0.3">
      <c r="A1075" s="47">
        <v>582.31699586644231</v>
      </c>
    </row>
    <row r="1076" spans="1:1" x14ac:dyDescent="0.3">
      <c r="A1076" s="47">
        <v>517.48333552947884</v>
      </c>
    </row>
    <row r="1077" spans="1:1" x14ac:dyDescent="0.3">
      <c r="A1077" s="47">
        <v>890.24226393976505</v>
      </c>
    </row>
    <row r="1078" spans="1:1" x14ac:dyDescent="0.3">
      <c r="A1078" s="47">
        <v>558.37407918362931</v>
      </c>
    </row>
    <row r="1079" spans="1:1" x14ac:dyDescent="0.3">
      <c r="A1079" s="47">
        <v>549.42590786349683</v>
      </c>
    </row>
    <row r="1080" spans="1:1" x14ac:dyDescent="0.3">
      <c r="A1080" s="47">
        <v>478.00375807367794</v>
      </c>
    </row>
    <row r="1081" spans="1:1" x14ac:dyDescent="0.3">
      <c r="A1081" s="47">
        <v>413.17009773671458</v>
      </c>
    </row>
    <row r="1082" spans="1:1" x14ac:dyDescent="0.3">
      <c r="A1082" s="47">
        <v>785.92902614700074</v>
      </c>
    </row>
    <row r="1083" spans="1:1" x14ac:dyDescent="0.3">
      <c r="A1083" s="47">
        <v>454.06084139086499</v>
      </c>
    </row>
    <row r="1084" spans="1:1" x14ac:dyDescent="0.3">
      <c r="A1084" s="47">
        <v>559.50687635718191</v>
      </c>
    </row>
    <row r="1085" spans="1:1" x14ac:dyDescent="0.3">
      <c r="A1085" s="47">
        <v>494.67321602021849</v>
      </c>
    </row>
    <row r="1086" spans="1:1" x14ac:dyDescent="0.3">
      <c r="A1086" s="47">
        <v>867.43214443050465</v>
      </c>
    </row>
    <row r="1087" spans="1:1" x14ac:dyDescent="0.3">
      <c r="A1087" s="47">
        <v>535.5639596743689</v>
      </c>
    </row>
    <row r="1088" spans="1:1" x14ac:dyDescent="0.3">
      <c r="A1088" s="47">
        <v>423.2510662303996</v>
      </c>
    </row>
    <row r="1089" spans="1:1" x14ac:dyDescent="0.3">
      <c r="A1089" s="47">
        <v>796.00999464068582</v>
      </c>
    </row>
    <row r="1090" spans="1:1" x14ac:dyDescent="0.3">
      <c r="A1090" s="47">
        <v>464.14180988454996</v>
      </c>
    </row>
    <row r="1091" spans="1:1" x14ac:dyDescent="0.3">
      <c r="A1091" s="47">
        <v>731.17633430372234</v>
      </c>
    </row>
    <row r="1092" spans="1:1" x14ac:dyDescent="0.3">
      <c r="A1092" s="47">
        <v>399.30814954758659</v>
      </c>
    </row>
    <row r="1093" spans="1:1" x14ac:dyDescent="0.3">
      <c r="A1093" s="47">
        <v>772.06707795787281</v>
      </c>
    </row>
    <row r="1094" spans="1:1" x14ac:dyDescent="0.3">
      <c r="A1094" s="47">
        <v>635.0980437517278</v>
      </c>
    </row>
    <row r="1095" spans="1:1" x14ac:dyDescent="0.3">
      <c r="A1095" s="47">
        <v>716.60116203523171</v>
      </c>
    </row>
    <row r="1096" spans="1:1" x14ac:dyDescent="0.3">
      <c r="A1096" s="47">
        <v>645.17901224541288</v>
      </c>
    </row>
    <row r="1097" spans="1:1" x14ac:dyDescent="0.3">
      <c r="A1097" s="47">
        <v>580.3453519084494</v>
      </c>
    </row>
    <row r="1098" spans="1:1" x14ac:dyDescent="0.3">
      <c r="A1098" s="47">
        <v>621.23609556259987</v>
      </c>
    </row>
    <row r="1099" spans="1:1" x14ac:dyDescent="0.3">
      <c r="A1099" s="47">
        <v>612.2879242424674</v>
      </c>
    </row>
    <row r="1100" spans="1:1" x14ac:dyDescent="0.3">
      <c r="A1100" s="47">
        <v>540.86577445264857</v>
      </c>
    </row>
    <row r="1101" spans="1:1" x14ac:dyDescent="0.3">
      <c r="A1101" s="47">
        <v>476.03211411568515</v>
      </c>
    </row>
    <row r="1102" spans="1:1" x14ac:dyDescent="0.3">
      <c r="A1102" s="47">
        <v>848.79104252597131</v>
      </c>
    </row>
    <row r="1103" spans="1:1" x14ac:dyDescent="0.3">
      <c r="A1103" s="47">
        <v>516.92285776983556</v>
      </c>
    </row>
    <row r="1104" spans="1:1" x14ac:dyDescent="0.3">
      <c r="A1104" s="47">
        <v>622.36889273615247</v>
      </c>
    </row>
    <row r="1105" spans="1:1" x14ac:dyDescent="0.3">
      <c r="A1105" s="47">
        <v>557.535232399189</v>
      </c>
    </row>
    <row r="1106" spans="1:1" x14ac:dyDescent="0.3">
      <c r="A1106" s="47">
        <v>598.42597605333947</v>
      </c>
    </row>
    <row r="1107" spans="1:1" x14ac:dyDescent="0.3">
      <c r="A1107" s="47">
        <v>486.11308260937017</v>
      </c>
    </row>
    <row r="1108" spans="1:1" x14ac:dyDescent="0.3">
      <c r="A1108" s="47">
        <v>858.87201101965638</v>
      </c>
    </row>
    <row r="1109" spans="1:1" x14ac:dyDescent="0.3">
      <c r="A1109" s="47">
        <v>527.00382626352052</v>
      </c>
    </row>
    <row r="1110" spans="1:1" x14ac:dyDescent="0.3">
      <c r="A1110" s="47">
        <v>794.03835068269291</v>
      </c>
    </row>
    <row r="1111" spans="1:1" x14ac:dyDescent="0.3">
      <c r="A1111" s="47">
        <v>462.17016592655716</v>
      </c>
    </row>
    <row r="1112" spans="1:1" x14ac:dyDescent="0.3">
      <c r="A1112" s="47">
        <v>834.92909433684338</v>
      </c>
    </row>
    <row r="1113" spans="1:1" x14ac:dyDescent="0.3">
      <c r="A1113" s="47">
        <v>650.81635607626822</v>
      </c>
    </row>
    <row r="1114" spans="1:1" x14ac:dyDescent="0.3">
      <c r="A1114" s="47">
        <v>579.39420628644939</v>
      </c>
    </row>
    <row r="1115" spans="1:1" x14ac:dyDescent="0.3">
      <c r="A1115" s="47">
        <v>514.56054594948591</v>
      </c>
    </row>
    <row r="1116" spans="1:1" x14ac:dyDescent="0.3">
      <c r="A1116" s="47">
        <v>887.31947435977213</v>
      </c>
    </row>
    <row r="1117" spans="1:1" x14ac:dyDescent="0.3">
      <c r="A1117" s="47">
        <v>555.45128960363638</v>
      </c>
    </row>
    <row r="1118" spans="1:1" x14ac:dyDescent="0.3">
      <c r="A1118" s="47">
        <v>660.8973245699533</v>
      </c>
    </row>
    <row r="1119" spans="1:1" x14ac:dyDescent="0.3">
      <c r="A1119" s="47">
        <v>596.06366423298982</v>
      </c>
    </row>
    <row r="1120" spans="1:1" x14ac:dyDescent="0.3">
      <c r="A1120" s="47">
        <v>636.95440788714029</v>
      </c>
    </row>
    <row r="1121" spans="1:1" x14ac:dyDescent="0.3">
      <c r="A1121" s="47">
        <v>524.64151444317099</v>
      </c>
    </row>
    <row r="1122" spans="1:1" x14ac:dyDescent="0.3">
      <c r="A1122" s="47">
        <v>897.40044285345721</v>
      </c>
    </row>
    <row r="1123" spans="1:1" x14ac:dyDescent="0.3">
      <c r="A1123" s="47">
        <v>565.53225809732135</v>
      </c>
    </row>
    <row r="1124" spans="1:1" x14ac:dyDescent="0.3">
      <c r="A1124" s="47">
        <v>832.56678251649373</v>
      </c>
    </row>
    <row r="1125" spans="1:1" x14ac:dyDescent="0.3">
      <c r="A1125" s="47">
        <v>500.69859776035798</v>
      </c>
    </row>
    <row r="1126" spans="1:1" x14ac:dyDescent="0.3">
      <c r="A1126" s="47">
        <v>873.4575261706442</v>
      </c>
    </row>
    <row r="1127" spans="1:1" x14ac:dyDescent="0.3">
      <c r="A1127" s="47">
        <v>556.58408677718899</v>
      </c>
    </row>
    <row r="1128" spans="1:1" x14ac:dyDescent="0.3">
      <c r="A1128" s="47">
        <v>491.75042644022557</v>
      </c>
    </row>
    <row r="1129" spans="1:1" x14ac:dyDescent="0.3">
      <c r="A1129" s="47">
        <v>864.50935485051173</v>
      </c>
    </row>
    <row r="1130" spans="1:1" x14ac:dyDescent="0.3">
      <c r="A1130" s="47">
        <v>532.64117009437598</v>
      </c>
    </row>
    <row r="1131" spans="1:1" x14ac:dyDescent="0.3">
      <c r="A1131" s="47">
        <v>420.32827665040668</v>
      </c>
    </row>
    <row r="1132" spans="1:1" x14ac:dyDescent="0.3">
      <c r="A1132" s="47">
        <v>793.0872050606929</v>
      </c>
    </row>
    <row r="1133" spans="1:1" x14ac:dyDescent="0.3">
      <c r="A1133" s="47">
        <v>461.21902030455703</v>
      </c>
    </row>
    <row r="1134" spans="1:1" x14ac:dyDescent="0.3">
      <c r="A1134" s="47">
        <v>728.25354472372942</v>
      </c>
    </row>
    <row r="1135" spans="1:1" x14ac:dyDescent="0.3">
      <c r="A1135" s="47">
        <v>396.38535996759367</v>
      </c>
    </row>
    <row r="1136" spans="1:1" x14ac:dyDescent="0.3">
      <c r="A1136" s="47">
        <v>769.14428837787989</v>
      </c>
    </row>
    <row r="1137" spans="1:1" x14ac:dyDescent="0.3">
      <c r="A1137" s="47">
        <v>501.83139493391059</v>
      </c>
    </row>
    <row r="1138" spans="1:1" x14ac:dyDescent="0.3">
      <c r="A1138" s="47">
        <v>874.5903233441968</v>
      </c>
    </row>
    <row r="1139" spans="1:1" x14ac:dyDescent="0.3">
      <c r="A1139" s="47">
        <v>542.72213858806094</v>
      </c>
    </row>
    <row r="1140" spans="1:1" x14ac:dyDescent="0.3">
      <c r="A1140" s="47">
        <v>809.75666300723333</v>
      </c>
    </row>
    <row r="1141" spans="1:1" x14ac:dyDescent="0.3">
      <c r="A1141" s="47">
        <v>477.88847825109758</v>
      </c>
    </row>
    <row r="1142" spans="1:1" x14ac:dyDescent="0.3">
      <c r="A1142" s="47">
        <v>850.6474066613838</v>
      </c>
    </row>
    <row r="1143" spans="1:1" x14ac:dyDescent="0.3">
      <c r="A1143" s="47">
        <v>738.3345132174145</v>
      </c>
    </row>
    <row r="1144" spans="1:1" x14ac:dyDescent="0.3">
      <c r="A1144" s="47">
        <v>406.46632846127875</v>
      </c>
    </row>
    <row r="1145" spans="1:1" x14ac:dyDescent="0.3">
      <c r="A1145" s="47">
        <v>779.22525687156485</v>
      </c>
    </row>
    <row r="1146" spans="1:1" x14ac:dyDescent="0.3">
      <c r="A1146" s="47">
        <v>714.39159653460149</v>
      </c>
    </row>
    <row r="1147" spans="1:1" x14ac:dyDescent="0.3">
      <c r="A1147" s="47">
        <v>793.02083333172072</v>
      </c>
    </row>
    <row r="1148" spans="1:1" x14ac:dyDescent="0.3">
      <c r="A1148" s="47">
        <v>874.52395161522463</v>
      </c>
    </row>
    <row r="1149" spans="1:1" x14ac:dyDescent="0.3">
      <c r="A1149" s="47">
        <v>803.1018018254058</v>
      </c>
    </row>
    <row r="1150" spans="1:1" x14ac:dyDescent="0.3">
      <c r="A1150" s="47">
        <v>738.26814148844232</v>
      </c>
    </row>
    <row r="1151" spans="1:1" x14ac:dyDescent="0.3">
      <c r="A1151" s="47">
        <v>779.15888514259279</v>
      </c>
    </row>
    <row r="1152" spans="1:1" x14ac:dyDescent="0.3">
      <c r="A1152" s="47">
        <v>770.21071382246032</v>
      </c>
    </row>
    <row r="1153" spans="1:1" x14ac:dyDescent="0.3">
      <c r="A1153" s="47">
        <v>698.78856403264149</v>
      </c>
    </row>
    <row r="1154" spans="1:1" x14ac:dyDescent="0.3">
      <c r="A1154" s="47">
        <v>633.95490369567801</v>
      </c>
    </row>
    <row r="1155" spans="1:1" x14ac:dyDescent="0.3">
      <c r="A1155" s="47">
        <v>674.84564734982848</v>
      </c>
    </row>
    <row r="1156" spans="1:1" x14ac:dyDescent="0.3">
      <c r="A1156" s="47">
        <v>780.2916823161454</v>
      </c>
    </row>
    <row r="1157" spans="1:1" x14ac:dyDescent="0.3">
      <c r="A1157" s="47">
        <v>715.45802197918192</v>
      </c>
    </row>
    <row r="1158" spans="1:1" x14ac:dyDescent="0.3">
      <c r="A1158" s="47">
        <v>756.34876563333239</v>
      </c>
    </row>
    <row r="1159" spans="1:1" x14ac:dyDescent="0.3">
      <c r="A1159" s="47">
        <v>644.03587218936309</v>
      </c>
    </row>
    <row r="1160" spans="1:1" x14ac:dyDescent="0.3">
      <c r="A1160" s="47">
        <v>684.92661584351345</v>
      </c>
    </row>
    <row r="1161" spans="1:1" x14ac:dyDescent="0.3">
      <c r="A1161" s="47">
        <v>620.09295550655008</v>
      </c>
    </row>
    <row r="1162" spans="1:1" x14ac:dyDescent="0.3">
      <c r="A1162" s="47">
        <v>808.73914565626114</v>
      </c>
    </row>
    <row r="1163" spans="1:1" x14ac:dyDescent="0.3">
      <c r="A1163" s="47">
        <v>737.31699586644231</v>
      </c>
    </row>
    <row r="1164" spans="1:1" x14ac:dyDescent="0.3">
      <c r="A1164" s="47">
        <v>672.48333552947884</v>
      </c>
    </row>
    <row r="1165" spans="1:1" x14ac:dyDescent="0.3">
      <c r="A1165" s="47">
        <v>713.37407918362931</v>
      </c>
    </row>
    <row r="1166" spans="1:1" x14ac:dyDescent="0.3">
      <c r="A1166" s="47">
        <v>818.82011414994622</v>
      </c>
    </row>
    <row r="1167" spans="1:1" x14ac:dyDescent="0.3">
      <c r="A1167" s="47">
        <v>753.98645381298275</v>
      </c>
    </row>
    <row r="1168" spans="1:1" x14ac:dyDescent="0.3">
      <c r="A1168" s="47">
        <v>794.87719746713321</v>
      </c>
    </row>
    <row r="1169" spans="1:1" x14ac:dyDescent="0.3">
      <c r="A1169" s="47">
        <v>682.56430402316391</v>
      </c>
    </row>
    <row r="1170" spans="1:1" x14ac:dyDescent="0.3">
      <c r="A1170" s="47">
        <v>723.45504767731427</v>
      </c>
    </row>
    <row r="1171" spans="1:1" x14ac:dyDescent="0.3">
      <c r="A1171" s="47">
        <v>658.62138734035091</v>
      </c>
    </row>
    <row r="1172" spans="1:1" x14ac:dyDescent="0.3">
      <c r="A1172" s="47">
        <v>714.50687635718191</v>
      </c>
    </row>
    <row r="1173" spans="1:1" x14ac:dyDescent="0.3">
      <c r="A1173" s="47">
        <v>649.67321602021843</v>
      </c>
    </row>
    <row r="1174" spans="1:1" x14ac:dyDescent="0.3">
      <c r="A1174" s="47">
        <v>690.5639596743689</v>
      </c>
    </row>
    <row r="1175" spans="1:1" x14ac:dyDescent="0.3">
      <c r="A1175" s="47">
        <v>578.2510662303996</v>
      </c>
    </row>
    <row r="1176" spans="1:1" x14ac:dyDescent="0.3">
      <c r="A1176" s="47">
        <v>619.14180988454996</v>
      </c>
    </row>
    <row r="1177" spans="1:1" x14ac:dyDescent="0.3">
      <c r="A1177" s="47">
        <v>886.17633430372234</v>
      </c>
    </row>
    <row r="1178" spans="1:1" x14ac:dyDescent="0.3">
      <c r="A1178" s="47">
        <v>554.30814954758659</v>
      </c>
    </row>
    <row r="1179" spans="1:1" x14ac:dyDescent="0.3">
      <c r="A1179" s="47">
        <v>659.75418451390351</v>
      </c>
    </row>
    <row r="1180" spans="1:1" x14ac:dyDescent="0.3">
      <c r="A1180" s="47">
        <v>700.64492816805387</v>
      </c>
    </row>
    <row r="1181" spans="1:1" x14ac:dyDescent="0.3">
      <c r="A1181" s="47">
        <v>635.8112678310905</v>
      </c>
    </row>
    <row r="1182" spans="1:1" x14ac:dyDescent="0.3">
      <c r="A1182" s="47">
        <v>896.25730279740742</v>
      </c>
    </row>
    <row r="1183" spans="1:1" x14ac:dyDescent="0.3">
      <c r="A1183" s="47">
        <v>564.38911804127167</v>
      </c>
    </row>
    <row r="1184" spans="1:1" x14ac:dyDescent="0.3">
      <c r="A1184" s="47">
        <v>872.31438611459441</v>
      </c>
    </row>
    <row r="1185" spans="1:1" x14ac:dyDescent="0.3">
      <c r="A1185" s="47">
        <v>871.60116203523171</v>
      </c>
    </row>
    <row r="1186" spans="1:1" x14ac:dyDescent="0.3">
      <c r="A1186" s="47">
        <v>800.17901224541288</v>
      </c>
    </row>
    <row r="1187" spans="1:1" x14ac:dyDescent="0.3">
      <c r="A1187" s="47">
        <v>735.3453519084494</v>
      </c>
    </row>
    <row r="1188" spans="1:1" x14ac:dyDescent="0.3">
      <c r="A1188" s="47">
        <v>776.23609556259987</v>
      </c>
    </row>
    <row r="1189" spans="1:1" x14ac:dyDescent="0.3">
      <c r="A1189" s="47">
        <v>881.68213052891679</v>
      </c>
    </row>
    <row r="1190" spans="1:1" x14ac:dyDescent="0.3">
      <c r="A1190" s="47">
        <v>816.84847019195331</v>
      </c>
    </row>
    <row r="1191" spans="1:1" x14ac:dyDescent="0.3">
      <c r="A1191" s="47">
        <v>857.73921384610378</v>
      </c>
    </row>
    <row r="1192" spans="1:1" x14ac:dyDescent="0.3">
      <c r="A1192" s="47">
        <v>745.42632040213448</v>
      </c>
    </row>
    <row r="1193" spans="1:1" x14ac:dyDescent="0.3">
      <c r="A1193" s="47">
        <v>786.31706405628483</v>
      </c>
    </row>
    <row r="1194" spans="1:1" x14ac:dyDescent="0.3">
      <c r="A1194" s="47">
        <v>721.48340371932147</v>
      </c>
    </row>
    <row r="1195" spans="1:1" x14ac:dyDescent="0.3">
      <c r="A1195" s="47">
        <v>777.36889273615247</v>
      </c>
    </row>
    <row r="1196" spans="1:1" x14ac:dyDescent="0.3">
      <c r="A1196" s="47">
        <v>712.535232399189</v>
      </c>
    </row>
    <row r="1197" spans="1:1" x14ac:dyDescent="0.3">
      <c r="A1197" s="47">
        <v>753.42597605333947</v>
      </c>
    </row>
    <row r="1198" spans="1:1" x14ac:dyDescent="0.3">
      <c r="A1198" s="47">
        <v>641.11308260937017</v>
      </c>
    </row>
    <row r="1199" spans="1:1" x14ac:dyDescent="0.3">
      <c r="A1199" s="47">
        <v>682.00382626352052</v>
      </c>
    </row>
    <row r="1200" spans="1:1" x14ac:dyDescent="0.3">
      <c r="A1200" s="47">
        <v>617.17016592655716</v>
      </c>
    </row>
    <row r="1201" spans="1:1" x14ac:dyDescent="0.3">
      <c r="A1201" s="47">
        <v>722.61620089287408</v>
      </c>
    </row>
    <row r="1202" spans="1:1" x14ac:dyDescent="0.3">
      <c r="A1202" s="47">
        <v>763.50694454702443</v>
      </c>
    </row>
    <row r="1203" spans="1:1" x14ac:dyDescent="0.3">
      <c r="A1203" s="47">
        <v>698.67328421006107</v>
      </c>
    </row>
    <row r="1204" spans="1:1" x14ac:dyDescent="0.3">
      <c r="A1204" s="47">
        <v>627.25113442024224</v>
      </c>
    </row>
    <row r="1205" spans="1:1" x14ac:dyDescent="0.3">
      <c r="A1205" s="47">
        <v>815.8973245699533</v>
      </c>
    </row>
    <row r="1206" spans="1:1" x14ac:dyDescent="0.3">
      <c r="A1206" s="47">
        <v>751.06366423298982</v>
      </c>
    </row>
    <row r="1207" spans="1:1" x14ac:dyDescent="0.3">
      <c r="A1207" s="47">
        <v>791.95440788714029</v>
      </c>
    </row>
    <row r="1208" spans="1:1" x14ac:dyDescent="0.3">
      <c r="A1208" s="47">
        <v>679.64151444317099</v>
      </c>
    </row>
    <row r="1209" spans="1:1" x14ac:dyDescent="0.3">
      <c r="A1209" s="47">
        <v>720.53225809732135</v>
      </c>
    </row>
    <row r="1210" spans="1:1" x14ac:dyDescent="0.3">
      <c r="A1210" s="47">
        <v>655.69859776035798</v>
      </c>
    </row>
    <row r="1211" spans="1:1" x14ac:dyDescent="0.3">
      <c r="A1211" s="47">
        <v>761.1446327266749</v>
      </c>
    </row>
    <row r="1212" spans="1:1" x14ac:dyDescent="0.3">
      <c r="A1212" s="47">
        <v>802.03537638082526</v>
      </c>
    </row>
    <row r="1213" spans="1:1" x14ac:dyDescent="0.3">
      <c r="A1213" s="47">
        <v>737.20171604386189</v>
      </c>
    </row>
    <row r="1214" spans="1:1" x14ac:dyDescent="0.3">
      <c r="A1214" s="47">
        <v>665.77956625404306</v>
      </c>
    </row>
    <row r="1215" spans="1:1" x14ac:dyDescent="0.3">
      <c r="A1215" s="47">
        <v>656.83139493391059</v>
      </c>
    </row>
    <row r="1216" spans="1:1" x14ac:dyDescent="0.3">
      <c r="A1216" s="47">
        <v>697.72213858806094</v>
      </c>
    </row>
    <row r="1217" spans="1:1" x14ac:dyDescent="0.3">
      <c r="A1217" s="47">
        <v>632.88847825109758</v>
      </c>
    </row>
    <row r="1218" spans="1:1" x14ac:dyDescent="0.3">
      <c r="A1218" s="47">
        <v>893.3345132174145</v>
      </c>
    </row>
    <row r="1219" spans="1:1" x14ac:dyDescent="0.3">
      <c r="A1219" s="47">
        <v>561.46632846127875</v>
      </c>
    </row>
    <row r="1220" spans="1:1" x14ac:dyDescent="0.3">
      <c r="A1220" s="47">
        <v>869.39159653460149</v>
      </c>
    </row>
    <row r="1221" spans="1:1" x14ac:dyDescent="0.3">
      <c r="A1221" s="47">
        <v>642.96944674478266</v>
      </c>
    </row>
    <row r="1222" spans="1:1" x14ac:dyDescent="0.3">
      <c r="A1222" s="47">
        <v>879.47256502828657</v>
      </c>
    </row>
    <row r="1223" spans="1:1" x14ac:dyDescent="0.3">
      <c r="A1223" s="47">
        <v>893.26814148844232</v>
      </c>
    </row>
    <row r="1224" spans="1:1" x14ac:dyDescent="0.3">
      <c r="A1224" s="47">
        <v>879.4061932993144</v>
      </c>
    </row>
    <row r="1225" spans="1:1" x14ac:dyDescent="0.3">
      <c r="A1225" s="47">
        <v>870.45802197918192</v>
      </c>
    </row>
    <row r="1226" spans="1:1" x14ac:dyDescent="0.3">
      <c r="A1226" s="47">
        <v>799.03587218936309</v>
      </c>
    </row>
    <row r="1227" spans="1:1" x14ac:dyDescent="0.3">
      <c r="A1227" s="47">
        <v>839.92661584351345</v>
      </c>
    </row>
    <row r="1228" spans="1:1" x14ac:dyDescent="0.3">
      <c r="A1228" s="47">
        <v>775.09295550655008</v>
      </c>
    </row>
    <row r="1229" spans="1:1" x14ac:dyDescent="0.3">
      <c r="A1229" s="47">
        <v>880.538990472867</v>
      </c>
    </row>
    <row r="1230" spans="1:1" x14ac:dyDescent="0.3">
      <c r="A1230" s="47">
        <v>856.59607379005399</v>
      </c>
    </row>
    <row r="1231" spans="1:1" x14ac:dyDescent="0.3">
      <c r="A1231" s="47">
        <v>785.17392400023516</v>
      </c>
    </row>
    <row r="1232" spans="1:1" x14ac:dyDescent="0.3">
      <c r="A1232" s="47">
        <v>837.56430402316391</v>
      </c>
    </row>
    <row r="1233" spans="1:1" x14ac:dyDescent="0.3">
      <c r="A1233" s="47">
        <v>878.45504767731427</v>
      </c>
    </row>
    <row r="1234" spans="1:1" x14ac:dyDescent="0.3">
      <c r="A1234" s="47">
        <v>813.62138734035091</v>
      </c>
    </row>
    <row r="1235" spans="1:1" x14ac:dyDescent="0.3">
      <c r="A1235" s="47">
        <v>895.12450562385482</v>
      </c>
    </row>
    <row r="1236" spans="1:1" x14ac:dyDescent="0.3">
      <c r="A1236" s="47">
        <v>823.70235583403598</v>
      </c>
    </row>
    <row r="1237" spans="1:1" x14ac:dyDescent="0.3">
      <c r="A1237" s="47">
        <v>814.75418451390351</v>
      </c>
    </row>
    <row r="1238" spans="1:1" x14ac:dyDescent="0.3">
      <c r="A1238" s="47">
        <v>855.64492816805387</v>
      </c>
    </row>
    <row r="1239" spans="1:1" x14ac:dyDescent="0.3">
      <c r="A1239" s="47">
        <v>790.8112678310905</v>
      </c>
    </row>
    <row r="1240" spans="1:1" x14ac:dyDescent="0.3">
      <c r="A1240" s="47">
        <v>719.38911804127167</v>
      </c>
    </row>
    <row r="1241" spans="1:1" x14ac:dyDescent="0.3">
      <c r="A1241" s="47">
        <v>800.89223632477558</v>
      </c>
    </row>
    <row r="1242" spans="1:1" x14ac:dyDescent="0.3">
      <c r="A1242" s="47">
        <v>876.48340371932147</v>
      </c>
    </row>
    <row r="1243" spans="1:1" x14ac:dyDescent="0.3">
      <c r="A1243" s="47">
        <v>886.56437221300655</v>
      </c>
    </row>
    <row r="1244" spans="1:1" x14ac:dyDescent="0.3">
      <c r="A1244" s="47">
        <v>877.61620089287408</v>
      </c>
    </row>
    <row r="1245" spans="1:1" x14ac:dyDescent="0.3">
      <c r="A1245" s="47">
        <v>853.67328421006107</v>
      </c>
    </row>
    <row r="1246" spans="1:1" x14ac:dyDescent="0.3">
      <c r="A1246" s="47">
        <v>782.25113442024224</v>
      </c>
    </row>
    <row r="1247" spans="1:1" x14ac:dyDescent="0.3">
      <c r="A1247" s="47">
        <v>863.75425270374615</v>
      </c>
    </row>
    <row r="1248" spans="1:1" x14ac:dyDescent="0.3">
      <c r="A1248" s="47">
        <v>892.20171604386189</v>
      </c>
    </row>
    <row r="1249" spans="1:1" x14ac:dyDescent="0.3">
      <c r="A1249" s="47">
        <v>820.77956625404306</v>
      </c>
    </row>
    <row r="1250" spans="1:1" x14ac:dyDescent="0.3">
      <c r="A1250" s="47">
        <v>797.96944674478266</v>
      </c>
    </row>
    <row r="1251" spans="1:1" x14ac:dyDescent="0.3">
      <c r="A1251" s="47">
        <v>270.48080963039234</v>
      </c>
    </row>
    <row r="1252" spans="1:1" x14ac:dyDescent="0.3">
      <c r="A1252" s="47">
        <v>153.37368866307943</v>
      </c>
    </row>
    <row r="1253" spans="1:1" x14ac:dyDescent="0.3">
      <c r="A1253" s="47">
        <v>217.21024133842053</v>
      </c>
    </row>
    <row r="1254" spans="1:1" x14ac:dyDescent="0.3">
      <c r="A1254" s="47">
        <v>257.99725663407816</v>
      </c>
    </row>
    <row r="1255" spans="1:1" x14ac:dyDescent="0.3">
      <c r="A1255" s="47">
        <v>221.02091728659002</v>
      </c>
    </row>
    <row r="1256" spans="1:1" x14ac:dyDescent="0.3">
      <c r="A1256" s="47">
        <v>511.39466425029991</v>
      </c>
    </row>
    <row r="1257" spans="1:1" x14ac:dyDescent="0.3">
      <c r="A1257" s="47">
        <v>48.60630097974996</v>
      </c>
    </row>
    <row r="1258" spans="1:1" x14ac:dyDescent="0.3">
      <c r="A1258" s="47">
        <v>155</v>
      </c>
    </row>
    <row r="1259" spans="1:1" x14ac:dyDescent="0.3">
      <c r="A1259" s="47">
        <v>423.85449829347181</v>
      </c>
    </row>
    <row r="1260" spans="1:1" x14ac:dyDescent="0.3">
      <c r="A1260" s="47">
        <v>487.69105096881287</v>
      </c>
    </row>
    <row r="1261" spans="1:1" x14ac:dyDescent="0.3">
      <c r="A1261" s="47">
        <v>528.4780662644705</v>
      </c>
    </row>
    <row r="1262" spans="1:1" x14ac:dyDescent="0.3">
      <c r="A1262" s="47">
        <v>491.50172691698236</v>
      </c>
    </row>
    <row r="1263" spans="1:1" x14ac:dyDescent="0.3">
      <c r="A1263" s="47">
        <v>781.8754738806922</v>
      </c>
    </row>
    <row r="1264" spans="1:1" x14ac:dyDescent="0.3">
      <c r="A1264" s="47">
        <v>319.0871106101423</v>
      </c>
    </row>
    <row r="1265" spans="1:1" x14ac:dyDescent="0.3">
      <c r="A1265" s="47">
        <v>425.48080963039234</v>
      </c>
    </row>
    <row r="1266" spans="1:1" x14ac:dyDescent="0.3">
      <c r="A1266" s="47">
        <v>370.58393000149999</v>
      </c>
    </row>
    <row r="1267" spans="1:1" x14ac:dyDescent="0.3">
      <c r="A1267" s="47">
        <v>411.37094529715762</v>
      </c>
    </row>
    <row r="1268" spans="1:1" x14ac:dyDescent="0.3">
      <c r="A1268" s="47">
        <v>374.39460594966943</v>
      </c>
    </row>
    <row r="1269" spans="1:1" x14ac:dyDescent="0.3">
      <c r="A1269" s="47">
        <v>664.76835291337932</v>
      </c>
    </row>
    <row r="1270" spans="1:1" x14ac:dyDescent="0.3">
      <c r="A1270" s="47">
        <v>201.97998964282939</v>
      </c>
    </row>
    <row r="1271" spans="1:1" x14ac:dyDescent="0.3">
      <c r="A1271" s="47">
        <v>308.37368866307941</v>
      </c>
    </row>
    <row r="1272" spans="1:1" x14ac:dyDescent="0.3">
      <c r="A1272" s="47">
        <v>475.20749797249869</v>
      </c>
    </row>
    <row r="1273" spans="1:1" x14ac:dyDescent="0.3">
      <c r="A1273" s="47">
        <v>438.23115862501055</v>
      </c>
    </row>
    <row r="1274" spans="1:1" x14ac:dyDescent="0.3">
      <c r="A1274" s="47">
        <v>728.60490558872038</v>
      </c>
    </row>
    <row r="1275" spans="1:1" x14ac:dyDescent="0.3">
      <c r="A1275" s="47">
        <v>265.81654231817049</v>
      </c>
    </row>
    <row r="1276" spans="1:1" x14ac:dyDescent="0.3">
      <c r="A1276" s="47">
        <v>372.21024133842053</v>
      </c>
    </row>
    <row r="1277" spans="1:1" x14ac:dyDescent="0.3">
      <c r="A1277" s="47">
        <v>479.01817392066818</v>
      </c>
    </row>
    <row r="1278" spans="1:1" x14ac:dyDescent="0.3">
      <c r="A1278" s="47">
        <v>769.39192088437812</v>
      </c>
    </row>
    <row r="1279" spans="1:1" x14ac:dyDescent="0.3">
      <c r="A1279" s="47">
        <v>306.60355761382812</v>
      </c>
    </row>
    <row r="1280" spans="1:1" x14ac:dyDescent="0.3">
      <c r="A1280" s="47">
        <v>412.99725663407816</v>
      </c>
    </row>
    <row r="1281" spans="1:1" x14ac:dyDescent="0.3">
      <c r="A1281" s="47">
        <v>732.41558153688993</v>
      </c>
    </row>
    <row r="1282" spans="1:1" x14ac:dyDescent="0.3">
      <c r="A1282" s="47">
        <v>269.62721826633998</v>
      </c>
    </row>
    <row r="1283" spans="1:1" x14ac:dyDescent="0.3">
      <c r="A1283" s="47">
        <v>376.02091728659002</v>
      </c>
    </row>
    <row r="1284" spans="1:1" x14ac:dyDescent="0.3">
      <c r="A1284" s="47">
        <v>560.00096523004981</v>
      </c>
    </row>
    <row r="1285" spans="1:1" x14ac:dyDescent="0.3">
      <c r="A1285" s="47">
        <v>666.39466425029991</v>
      </c>
    </row>
    <row r="1286" spans="1:1" x14ac:dyDescent="0.3">
      <c r="A1286" s="47">
        <v>203.60630097974996</v>
      </c>
    </row>
    <row r="1287" spans="1:1" x14ac:dyDescent="0.3">
      <c r="A1287" s="47">
        <v>641.06473963189228</v>
      </c>
    </row>
    <row r="1288" spans="1:1" x14ac:dyDescent="0.3">
      <c r="A1288" s="47">
        <v>681.85175492754991</v>
      </c>
    </row>
    <row r="1289" spans="1:1" x14ac:dyDescent="0.3">
      <c r="A1289" s="47">
        <v>644.87541558006183</v>
      </c>
    </row>
    <row r="1290" spans="1:1" x14ac:dyDescent="0.3">
      <c r="A1290" s="47">
        <v>472.46079927322171</v>
      </c>
    </row>
    <row r="1291" spans="1:1" x14ac:dyDescent="0.3">
      <c r="A1291" s="47">
        <v>578.85449829347181</v>
      </c>
    </row>
    <row r="1292" spans="1:1" x14ac:dyDescent="0.3">
      <c r="A1292" s="47">
        <v>745.68830760289097</v>
      </c>
    </row>
    <row r="1293" spans="1:1" x14ac:dyDescent="0.3">
      <c r="A1293" s="47">
        <v>708.71196825540289</v>
      </c>
    </row>
    <row r="1294" spans="1:1" x14ac:dyDescent="0.3">
      <c r="A1294" s="47">
        <v>536.29735194856289</v>
      </c>
    </row>
    <row r="1295" spans="1:1" x14ac:dyDescent="0.3">
      <c r="A1295" s="47">
        <v>642.69105096881287</v>
      </c>
    </row>
    <row r="1296" spans="1:1" x14ac:dyDescent="0.3">
      <c r="A1296" s="47">
        <v>749.49898355106052</v>
      </c>
    </row>
    <row r="1297" spans="1:1" x14ac:dyDescent="0.3">
      <c r="A1297" s="47">
        <v>577.0843672442204</v>
      </c>
    </row>
    <row r="1298" spans="1:1" x14ac:dyDescent="0.3">
      <c r="A1298" s="47">
        <v>683.4780662644705</v>
      </c>
    </row>
    <row r="1299" spans="1:1" x14ac:dyDescent="0.3">
      <c r="A1299" s="47">
        <v>540.10802789673232</v>
      </c>
    </row>
    <row r="1300" spans="1:1" x14ac:dyDescent="0.3">
      <c r="A1300" s="47">
        <v>646.50172691698231</v>
      </c>
    </row>
    <row r="1301" spans="1:1" x14ac:dyDescent="0.3">
      <c r="A1301" s="47">
        <v>830.48177486044221</v>
      </c>
    </row>
    <row r="1302" spans="1:1" x14ac:dyDescent="0.3">
      <c r="A1302" s="47">
        <v>474.0871106101423</v>
      </c>
    </row>
    <row r="1303" spans="1:1" x14ac:dyDescent="0.3">
      <c r="A1303" s="47">
        <v>628.58118663557809</v>
      </c>
    </row>
    <row r="1304" spans="1:1" x14ac:dyDescent="0.3">
      <c r="A1304" s="47">
        <v>591.60484728809001</v>
      </c>
    </row>
    <row r="1305" spans="1:1" x14ac:dyDescent="0.3">
      <c r="A1305" s="47">
        <v>881.9785942517999</v>
      </c>
    </row>
    <row r="1306" spans="1:1" x14ac:dyDescent="0.3">
      <c r="A1306" s="47">
        <v>419.1902309812499</v>
      </c>
    </row>
    <row r="1307" spans="1:1" x14ac:dyDescent="0.3">
      <c r="A1307" s="47">
        <v>525.58393000149999</v>
      </c>
    </row>
    <row r="1308" spans="1:1" x14ac:dyDescent="0.3">
      <c r="A1308" s="47">
        <v>632.39186258374764</v>
      </c>
    </row>
    <row r="1309" spans="1:1" x14ac:dyDescent="0.3">
      <c r="A1309" s="47">
        <v>459.97724627690752</v>
      </c>
    </row>
    <row r="1310" spans="1:1" x14ac:dyDescent="0.3">
      <c r="A1310" s="47">
        <v>566.37094529715762</v>
      </c>
    </row>
    <row r="1311" spans="1:1" x14ac:dyDescent="0.3">
      <c r="A1311" s="47">
        <v>885.78927019996934</v>
      </c>
    </row>
    <row r="1312" spans="1:1" x14ac:dyDescent="0.3">
      <c r="A1312" s="47">
        <v>423.00090692941944</v>
      </c>
    </row>
    <row r="1313" spans="1:1" x14ac:dyDescent="0.3">
      <c r="A1313" s="47">
        <v>529.39460594966943</v>
      </c>
    </row>
    <row r="1314" spans="1:1" x14ac:dyDescent="0.3">
      <c r="A1314" s="47">
        <v>713.37465389312933</v>
      </c>
    </row>
    <row r="1315" spans="1:1" x14ac:dyDescent="0.3">
      <c r="A1315" s="47">
        <v>819.76835291337932</v>
      </c>
    </row>
    <row r="1316" spans="1:1" x14ac:dyDescent="0.3">
      <c r="A1316" s="47">
        <v>356.97998964282942</v>
      </c>
    </row>
    <row r="1317" spans="1:1" x14ac:dyDescent="0.3">
      <c r="A1317" s="47">
        <v>696.22841525908871</v>
      </c>
    </row>
    <row r="1318" spans="1:1" x14ac:dyDescent="0.3">
      <c r="A1318" s="47">
        <v>523.81379895224859</v>
      </c>
    </row>
    <row r="1319" spans="1:1" x14ac:dyDescent="0.3">
      <c r="A1319" s="47">
        <v>630.20749797249869</v>
      </c>
    </row>
    <row r="1320" spans="1:1" x14ac:dyDescent="0.3">
      <c r="A1320" s="47">
        <v>486.83745960476051</v>
      </c>
    </row>
    <row r="1321" spans="1:1" x14ac:dyDescent="0.3">
      <c r="A1321" s="47">
        <v>593.23115862501049</v>
      </c>
    </row>
    <row r="1322" spans="1:1" x14ac:dyDescent="0.3">
      <c r="A1322" s="47">
        <v>777.2112065684704</v>
      </c>
    </row>
    <row r="1323" spans="1:1" x14ac:dyDescent="0.3">
      <c r="A1323" s="47">
        <v>883.60490558872038</v>
      </c>
    </row>
    <row r="1324" spans="1:1" x14ac:dyDescent="0.3">
      <c r="A1324" s="47">
        <v>420.81654231817049</v>
      </c>
    </row>
    <row r="1325" spans="1:1" x14ac:dyDescent="0.3">
      <c r="A1325" s="47">
        <v>527.62447490041814</v>
      </c>
    </row>
    <row r="1326" spans="1:1" x14ac:dyDescent="0.3">
      <c r="A1326" s="47">
        <v>634.01817392066823</v>
      </c>
    </row>
    <row r="1327" spans="1:1" x14ac:dyDescent="0.3">
      <c r="A1327" s="47">
        <v>817.99822186412803</v>
      </c>
    </row>
    <row r="1328" spans="1:1" x14ac:dyDescent="0.3">
      <c r="A1328" s="47">
        <v>461.60355761382812</v>
      </c>
    </row>
    <row r="1329" spans="1:1" x14ac:dyDescent="0.3">
      <c r="A1329" s="47">
        <v>781.02188251663983</v>
      </c>
    </row>
    <row r="1330" spans="1:1" x14ac:dyDescent="0.3">
      <c r="A1330" s="47">
        <v>887.41558153688993</v>
      </c>
    </row>
    <row r="1331" spans="1:1" x14ac:dyDescent="0.3">
      <c r="A1331" s="47">
        <v>424.62721826633998</v>
      </c>
    </row>
    <row r="1332" spans="1:1" x14ac:dyDescent="0.3">
      <c r="A1332" s="47">
        <v>715.00096523004981</v>
      </c>
    </row>
    <row r="1333" spans="1:1" x14ac:dyDescent="0.3">
      <c r="A1333" s="47">
        <v>899.06199626597049</v>
      </c>
    </row>
    <row r="1334" spans="1:1" x14ac:dyDescent="0.3">
      <c r="A1334" s="47">
        <v>862.0856569184823</v>
      </c>
    </row>
    <row r="1335" spans="1:1" x14ac:dyDescent="0.3">
      <c r="A1335" s="47">
        <v>689.6710406116423</v>
      </c>
    </row>
    <row r="1336" spans="1:1" x14ac:dyDescent="0.3">
      <c r="A1336" s="47">
        <v>796.06473963189228</v>
      </c>
    </row>
    <row r="1337" spans="1:1" x14ac:dyDescent="0.3">
      <c r="A1337" s="47">
        <v>730.45805590729992</v>
      </c>
    </row>
    <row r="1338" spans="1:1" x14ac:dyDescent="0.3">
      <c r="A1338" s="47">
        <v>836.85175492754991</v>
      </c>
    </row>
    <row r="1339" spans="1:1" x14ac:dyDescent="0.3">
      <c r="A1339" s="47">
        <v>693.48171655981173</v>
      </c>
    </row>
    <row r="1340" spans="1:1" x14ac:dyDescent="0.3">
      <c r="A1340" s="47">
        <v>799.87541558006183</v>
      </c>
    </row>
    <row r="1341" spans="1:1" x14ac:dyDescent="0.3">
      <c r="A1341" s="47">
        <v>627.46079927322171</v>
      </c>
    </row>
    <row r="1342" spans="1:1" x14ac:dyDescent="0.3">
      <c r="A1342" s="47">
        <v>794.29460858264099</v>
      </c>
    </row>
    <row r="1343" spans="1:1" x14ac:dyDescent="0.3">
      <c r="A1343" s="47">
        <v>757.31826923515291</v>
      </c>
    </row>
    <row r="1344" spans="1:1" x14ac:dyDescent="0.3">
      <c r="A1344" s="47">
        <v>863.71196825540289</v>
      </c>
    </row>
    <row r="1345" spans="1:1" x14ac:dyDescent="0.3">
      <c r="A1345" s="47">
        <v>691.29735194856289</v>
      </c>
    </row>
    <row r="1346" spans="1:1" x14ac:dyDescent="0.3">
      <c r="A1346" s="47">
        <v>798.10528453081042</v>
      </c>
    </row>
    <row r="1347" spans="1:1" x14ac:dyDescent="0.3">
      <c r="A1347" s="47">
        <v>732.0843672442204</v>
      </c>
    </row>
    <row r="1348" spans="1:1" x14ac:dyDescent="0.3">
      <c r="A1348" s="47">
        <v>695.10802789673232</v>
      </c>
    </row>
    <row r="1349" spans="1:1" x14ac:dyDescent="0.3">
      <c r="A1349" s="47">
        <v>849.60210392216811</v>
      </c>
    </row>
    <row r="1350" spans="1:1" x14ac:dyDescent="0.3">
      <c r="A1350" s="47">
        <v>677.18748761532811</v>
      </c>
    </row>
    <row r="1351" spans="1:1" x14ac:dyDescent="0.3">
      <c r="A1351" s="47">
        <v>783.58118663557809</v>
      </c>
    </row>
    <row r="1352" spans="1:1" x14ac:dyDescent="0.3">
      <c r="A1352" s="47">
        <v>640.21114826783992</v>
      </c>
    </row>
    <row r="1353" spans="1:1" x14ac:dyDescent="0.3">
      <c r="A1353" s="47">
        <v>746.60484728809001</v>
      </c>
    </row>
    <row r="1354" spans="1:1" x14ac:dyDescent="0.3">
      <c r="A1354" s="47">
        <v>574.1902309812499</v>
      </c>
    </row>
    <row r="1355" spans="1:1" x14ac:dyDescent="0.3">
      <c r="A1355" s="47">
        <v>680.99816356349754</v>
      </c>
    </row>
    <row r="1356" spans="1:1" x14ac:dyDescent="0.3">
      <c r="A1356" s="47">
        <v>787.39186258374764</v>
      </c>
    </row>
    <row r="1357" spans="1:1" x14ac:dyDescent="0.3">
      <c r="A1357" s="47">
        <v>614.97724627690752</v>
      </c>
    </row>
    <row r="1358" spans="1:1" x14ac:dyDescent="0.3">
      <c r="A1358" s="47">
        <v>578.00090692941944</v>
      </c>
    </row>
    <row r="1359" spans="1:1" x14ac:dyDescent="0.3">
      <c r="A1359" s="47">
        <v>868.37465389312933</v>
      </c>
    </row>
    <row r="1360" spans="1:1" x14ac:dyDescent="0.3">
      <c r="A1360" s="47">
        <v>744.83471623883861</v>
      </c>
    </row>
    <row r="1361" spans="1:1" x14ac:dyDescent="0.3">
      <c r="A1361" s="47">
        <v>851.22841525908871</v>
      </c>
    </row>
    <row r="1362" spans="1:1" x14ac:dyDescent="0.3">
      <c r="A1362" s="47">
        <v>678.81379895224859</v>
      </c>
    </row>
    <row r="1363" spans="1:1" x14ac:dyDescent="0.3">
      <c r="A1363" s="47">
        <v>641.83745960476051</v>
      </c>
    </row>
    <row r="1364" spans="1:1" x14ac:dyDescent="0.3">
      <c r="A1364" s="47">
        <v>682.62447490041814</v>
      </c>
    </row>
    <row r="1365" spans="1:1" x14ac:dyDescent="0.3">
      <c r="A1365" s="47">
        <v>844.6710406116423</v>
      </c>
    </row>
    <row r="1366" spans="1:1" x14ac:dyDescent="0.3">
      <c r="A1366" s="47">
        <v>885.45805590729992</v>
      </c>
    </row>
    <row r="1367" spans="1:1" x14ac:dyDescent="0.3">
      <c r="A1367" s="47">
        <v>848.48171655981173</v>
      </c>
    </row>
    <row r="1368" spans="1:1" x14ac:dyDescent="0.3">
      <c r="A1368" s="47">
        <v>898.20840490191813</v>
      </c>
    </row>
    <row r="1369" spans="1:1" x14ac:dyDescent="0.3">
      <c r="A1369" s="47">
        <v>832.18748761532811</v>
      </c>
    </row>
    <row r="1370" spans="1:1" x14ac:dyDescent="0.3">
      <c r="A1370" s="47">
        <v>795.21114826783992</v>
      </c>
    </row>
    <row r="1371" spans="1:1" x14ac:dyDescent="0.3">
      <c r="A1371" s="47">
        <v>835.99816356349754</v>
      </c>
    </row>
    <row r="1372" spans="1:1" x14ac:dyDescent="0.3">
      <c r="A1372" s="47">
        <v>899.83471623883861</v>
      </c>
    </row>
    <row r="1373" spans="1:1" x14ac:dyDescent="0.3">
      <c r="A1373" s="47">
        <v>211.53340681752402</v>
      </c>
    </row>
    <row r="1374" spans="1:1" x14ac:dyDescent="0.3">
      <c r="A1374" s="47">
        <v>364.08810064884096</v>
      </c>
    </row>
    <row r="1375" spans="1:1" x14ac:dyDescent="0.3">
      <c r="A1375" s="47">
        <v>197.82461126156434</v>
      </c>
    </row>
    <row r="1376" spans="1:1" x14ac:dyDescent="0.3">
      <c r="A1376" s="47">
        <v>104.16132807466707</v>
      </c>
    </row>
    <row r="1377" spans="1:1" x14ac:dyDescent="0.3">
      <c r="A1377" s="47">
        <v>263.73042443663246</v>
      </c>
    </row>
    <row r="1378" spans="1:1" x14ac:dyDescent="0.3">
      <c r="A1378" s="47">
        <v>341.491467583023</v>
      </c>
    </row>
    <row r="1379" spans="1:1" x14ac:dyDescent="0.3">
      <c r="A1379" s="47">
        <v>70.547877930081995</v>
      </c>
    </row>
    <row r="1380" spans="1:1" x14ac:dyDescent="0.3">
      <c r="A1380" s="47">
        <v>224.72476401833561</v>
      </c>
    </row>
    <row r="1381" spans="1:1" x14ac:dyDescent="0.3">
      <c r="A1381" s="47">
        <v>575.62150746636496</v>
      </c>
    </row>
    <row r="1382" spans="1:1" x14ac:dyDescent="0.3">
      <c r="A1382" s="47">
        <v>409.35801807908837</v>
      </c>
    </row>
    <row r="1383" spans="1:1" x14ac:dyDescent="0.3">
      <c r="A1383" s="47">
        <v>315.69473489219109</v>
      </c>
    </row>
    <row r="1384" spans="1:1" x14ac:dyDescent="0.3">
      <c r="A1384" s="47">
        <v>475.26383125415646</v>
      </c>
    </row>
    <row r="1385" spans="1:1" x14ac:dyDescent="0.3">
      <c r="A1385" s="47">
        <v>553.02487440054699</v>
      </c>
    </row>
    <row r="1386" spans="1:1" x14ac:dyDescent="0.3">
      <c r="A1386" s="47">
        <v>282.08128474760599</v>
      </c>
    </row>
    <row r="1387" spans="1:1" x14ac:dyDescent="0.3">
      <c r="A1387" s="47">
        <v>436.25817083585963</v>
      </c>
    </row>
    <row r="1388" spans="1:1" x14ac:dyDescent="0.3">
      <c r="A1388" s="47">
        <v>561.91271191040528</v>
      </c>
    </row>
    <row r="1389" spans="1:1" x14ac:dyDescent="0.3">
      <c r="A1389" s="47">
        <v>468.249428723508</v>
      </c>
    </row>
    <row r="1390" spans="1:1" x14ac:dyDescent="0.3">
      <c r="A1390" s="47">
        <v>627.81852508547342</v>
      </c>
    </row>
    <row r="1391" spans="1:1" x14ac:dyDescent="0.3">
      <c r="A1391" s="47">
        <v>705.57956823186396</v>
      </c>
    </row>
    <row r="1392" spans="1:1" x14ac:dyDescent="0.3">
      <c r="A1392" s="47">
        <v>434.63597857892296</v>
      </c>
    </row>
    <row r="1393" spans="1:1" x14ac:dyDescent="0.3">
      <c r="A1393" s="47">
        <v>588.81286466717654</v>
      </c>
    </row>
    <row r="1394" spans="1:1" x14ac:dyDescent="0.3">
      <c r="A1394" s="47">
        <v>301.98593933623141</v>
      </c>
    </row>
    <row r="1395" spans="1:1" x14ac:dyDescent="0.3">
      <c r="A1395" s="47">
        <v>461.55503569819678</v>
      </c>
    </row>
    <row r="1396" spans="1:1" x14ac:dyDescent="0.3">
      <c r="A1396" s="47">
        <v>539.31607884458731</v>
      </c>
    </row>
    <row r="1397" spans="1:1" x14ac:dyDescent="0.3">
      <c r="A1397" s="47">
        <v>268.37248919164631</v>
      </c>
    </row>
    <row r="1398" spans="1:1" x14ac:dyDescent="0.3">
      <c r="A1398" s="47">
        <v>422.54937527989995</v>
      </c>
    </row>
    <row r="1399" spans="1:1" x14ac:dyDescent="0.3">
      <c r="A1399" s="47">
        <v>367.8917525112995</v>
      </c>
    </row>
    <row r="1400" spans="1:1" x14ac:dyDescent="0.3">
      <c r="A1400" s="47">
        <v>445.65279565769004</v>
      </c>
    </row>
    <row r="1401" spans="1:1" x14ac:dyDescent="0.3">
      <c r="A1401" s="47">
        <v>174.70920600474906</v>
      </c>
    </row>
    <row r="1402" spans="1:1" x14ac:dyDescent="0.3">
      <c r="A1402" s="47">
        <v>328.88609209300267</v>
      </c>
    </row>
    <row r="1403" spans="1:1" x14ac:dyDescent="0.3">
      <c r="A1403" s="47">
        <v>605.22189201965546</v>
      </c>
    </row>
    <row r="1404" spans="1:1" x14ac:dyDescent="0.3">
      <c r="A1404" s="47">
        <v>334.27830236671446</v>
      </c>
    </row>
    <row r="1405" spans="1:1" x14ac:dyDescent="0.3">
      <c r="A1405" s="47">
        <v>488.45518845496804</v>
      </c>
    </row>
    <row r="1406" spans="1:1" x14ac:dyDescent="0.3">
      <c r="A1406" s="47">
        <v>412.03934551310499</v>
      </c>
    </row>
    <row r="1407" spans="1:1" x14ac:dyDescent="0.3">
      <c r="A1407" s="47">
        <v>566.21623160135857</v>
      </c>
    </row>
    <row r="1408" spans="1:1" x14ac:dyDescent="0.3">
      <c r="A1408" s="47">
        <v>295.27264194841757</v>
      </c>
    </row>
    <row r="1409" spans="1:1" x14ac:dyDescent="0.3">
      <c r="A1409" s="47">
        <v>773.44611872792939</v>
      </c>
    </row>
    <row r="1410" spans="1:1" x14ac:dyDescent="0.3">
      <c r="A1410" s="47">
        <v>679.782835541032</v>
      </c>
    </row>
    <row r="1411" spans="1:1" x14ac:dyDescent="0.3">
      <c r="A1411" s="47">
        <v>839.35193190299742</v>
      </c>
    </row>
    <row r="1412" spans="1:1" x14ac:dyDescent="0.3">
      <c r="A1412" s="47">
        <v>646.16938539644696</v>
      </c>
    </row>
    <row r="1413" spans="1:1" x14ac:dyDescent="0.3">
      <c r="A1413" s="47">
        <v>800.34627148470054</v>
      </c>
    </row>
    <row r="1414" spans="1:1" x14ac:dyDescent="0.3">
      <c r="A1414" s="47">
        <v>513.51934615375546</v>
      </c>
    </row>
    <row r="1415" spans="1:1" x14ac:dyDescent="0.3">
      <c r="A1415" s="47">
        <v>673.08844251572077</v>
      </c>
    </row>
    <row r="1416" spans="1:1" x14ac:dyDescent="0.3">
      <c r="A1416" s="47">
        <v>750.84948566211142</v>
      </c>
    </row>
    <row r="1417" spans="1:1" x14ac:dyDescent="0.3">
      <c r="A1417" s="47">
        <v>479.90589600917036</v>
      </c>
    </row>
    <row r="1418" spans="1:1" x14ac:dyDescent="0.3">
      <c r="A1418" s="47">
        <v>634.082782097424</v>
      </c>
    </row>
    <row r="1419" spans="1:1" x14ac:dyDescent="0.3">
      <c r="A1419" s="47">
        <v>579.42515932882361</v>
      </c>
    </row>
    <row r="1420" spans="1:1" x14ac:dyDescent="0.3">
      <c r="A1420" s="47">
        <v>657.18620247521403</v>
      </c>
    </row>
    <row r="1421" spans="1:1" x14ac:dyDescent="0.3">
      <c r="A1421" s="47">
        <v>386.24261282227309</v>
      </c>
    </row>
    <row r="1422" spans="1:1" x14ac:dyDescent="0.3">
      <c r="A1422" s="47">
        <v>540.41949891052673</v>
      </c>
    </row>
    <row r="1423" spans="1:1" x14ac:dyDescent="0.3">
      <c r="A1423" s="47">
        <v>816.75529883717945</v>
      </c>
    </row>
    <row r="1424" spans="1:1" x14ac:dyDescent="0.3">
      <c r="A1424" s="47">
        <v>545.81170918423845</v>
      </c>
    </row>
    <row r="1425" spans="1:1" x14ac:dyDescent="0.3">
      <c r="A1425" s="47">
        <v>699.98859527249215</v>
      </c>
    </row>
    <row r="1426" spans="1:1" x14ac:dyDescent="0.3">
      <c r="A1426" s="47">
        <v>623.57275233062899</v>
      </c>
    </row>
    <row r="1427" spans="1:1" x14ac:dyDescent="0.3">
      <c r="A1427" s="47">
        <v>777.74963841888257</v>
      </c>
    </row>
    <row r="1428" spans="1:1" x14ac:dyDescent="0.3">
      <c r="A1428" s="47">
        <v>506.80604876594163</v>
      </c>
    </row>
    <row r="1429" spans="1:1" x14ac:dyDescent="0.3">
      <c r="A1429" s="47">
        <v>666.07403998507243</v>
      </c>
    </row>
    <row r="1430" spans="1:1" x14ac:dyDescent="0.3">
      <c r="A1430" s="47">
        <v>825.64313634703774</v>
      </c>
    </row>
    <row r="1431" spans="1:1" x14ac:dyDescent="0.3">
      <c r="A1431" s="47">
        <v>632.46058984048727</v>
      </c>
    </row>
    <row r="1432" spans="1:1" x14ac:dyDescent="0.3">
      <c r="A1432" s="47">
        <v>786.63747592874097</v>
      </c>
    </row>
    <row r="1433" spans="1:1" x14ac:dyDescent="0.3">
      <c r="A1433" s="47">
        <v>731.97985316014046</v>
      </c>
    </row>
    <row r="1434" spans="1:1" x14ac:dyDescent="0.3">
      <c r="A1434" s="47">
        <v>809.740896306531</v>
      </c>
    </row>
    <row r="1435" spans="1:1" x14ac:dyDescent="0.3">
      <c r="A1435" s="47">
        <v>538.79730665359</v>
      </c>
    </row>
    <row r="1436" spans="1:1" x14ac:dyDescent="0.3">
      <c r="A1436" s="47">
        <v>692.97419274184358</v>
      </c>
    </row>
    <row r="1437" spans="1:1" x14ac:dyDescent="0.3">
      <c r="A1437" s="47">
        <v>698.36640301555542</v>
      </c>
    </row>
    <row r="1438" spans="1:1" x14ac:dyDescent="0.3">
      <c r="A1438" s="47">
        <v>852.543289103809</v>
      </c>
    </row>
    <row r="1439" spans="1:1" x14ac:dyDescent="0.3">
      <c r="A1439" s="47">
        <v>776.12744616194595</v>
      </c>
    </row>
    <row r="1440" spans="1:1" x14ac:dyDescent="0.3">
      <c r="A1440" s="47">
        <v>659.36074259725854</v>
      </c>
    </row>
    <row r="1441" spans="1:1" x14ac:dyDescent="0.3">
      <c r="A1441" s="47">
        <v>565.71636377286382</v>
      </c>
    </row>
    <row r="1442" spans="1:1" x14ac:dyDescent="0.3">
      <c r="A1442" s="47">
        <v>643.47740691925446</v>
      </c>
    </row>
    <row r="1443" spans="1:1" x14ac:dyDescent="0.3">
      <c r="A1443" s="47">
        <v>372.53381726631341</v>
      </c>
    </row>
    <row r="1444" spans="1:1" x14ac:dyDescent="0.3">
      <c r="A1444" s="47">
        <v>526.71070335456704</v>
      </c>
    </row>
    <row r="1445" spans="1:1" x14ac:dyDescent="0.3">
      <c r="A1445" s="47">
        <v>803.04650328121977</v>
      </c>
    </row>
    <row r="1446" spans="1:1" x14ac:dyDescent="0.3">
      <c r="A1446" s="47">
        <v>532.10291362827877</v>
      </c>
    </row>
    <row r="1447" spans="1:1" x14ac:dyDescent="0.3">
      <c r="A1447" s="47">
        <v>686.27979971653235</v>
      </c>
    </row>
    <row r="1448" spans="1:1" x14ac:dyDescent="0.3">
      <c r="A1448" s="47">
        <v>609.8639567746693</v>
      </c>
    </row>
    <row r="1449" spans="1:1" x14ac:dyDescent="0.3">
      <c r="A1449" s="47">
        <v>764.040842862923</v>
      </c>
    </row>
    <row r="1450" spans="1:1" x14ac:dyDescent="0.3">
      <c r="A1450" s="47">
        <v>493.09725320998194</v>
      </c>
    </row>
    <row r="1451" spans="1:1" x14ac:dyDescent="0.3">
      <c r="A1451" s="47">
        <v>709.3832200943225</v>
      </c>
    </row>
    <row r="1452" spans="1:1" x14ac:dyDescent="0.3">
      <c r="A1452" s="47">
        <v>438.4396304413815</v>
      </c>
    </row>
    <row r="1453" spans="1:1" x14ac:dyDescent="0.3">
      <c r="A1453" s="47">
        <v>592.61651652963519</v>
      </c>
    </row>
    <row r="1454" spans="1:1" x14ac:dyDescent="0.3">
      <c r="A1454" s="47">
        <v>516.20067358777203</v>
      </c>
    </row>
    <row r="1455" spans="1:1" x14ac:dyDescent="0.3">
      <c r="A1455" s="47">
        <v>670.37755967602561</v>
      </c>
    </row>
    <row r="1456" spans="1:1" x14ac:dyDescent="0.3">
      <c r="A1456" s="47">
        <v>399.43397002308467</v>
      </c>
    </row>
    <row r="1457" spans="1:1" x14ac:dyDescent="0.3">
      <c r="A1457" s="47">
        <v>675.76976994973745</v>
      </c>
    </row>
    <row r="1458" spans="1:1" x14ac:dyDescent="0.3">
      <c r="A1458" s="47">
        <v>829.94665603799103</v>
      </c>
    </row>
    <row r="1459" spans="1:1" x14ac:dyDescent="0.3">
      <c r="A1459" s="47">
        <v>559.00306638505003</v>
      </c>
    </row>
    <row r="1460" spans="1:1" x14ac:dyDescent="0.3">
      <c r="A1460" s="47">
        <v>636.76410953144057</v>
      </c>
    </row>
    <row r="1461" spans="1:1" x14ac:dyDescent="0.3">
      <c r="A1461" s="47">
        <v>877.60744680259643</v>
      </c>
    </row>
    <row r="1462" spans="1:1" x14ac:dyDescent="0.3">
      <c r="A1462" s="47">
        <v>843.99399665801138</v>
      </c>
    </row>
    <row r="1463" spans="1:1" x14ac:dyDescent="0.3">
      <c r="A1463" s="47">
        <v>750.330713471114</v>
      </c>
    </row>
    <row r="1464" spans="1:1" x14ac:dyDescent="0.3">
      <c r="A1464" s="47">
        <v>870.89414941478253</v>
      </c>
    </row>
    <row r="1465" spans="1:1" x14ac:dyDescent="0.3">
      <c r="A1465" s="47">
        <v>777.24977059038793</v>
      </c>
    </row>
    <row r="1466" spans="1:1" x14ac:dyDescent="0.3">
      <c r="A1466" s="47">
        <v>855.01081373677846</v>
      </c>
    </row>
    <row r="1467" spans="1:1" x14ac:dyDescent="0.3">
      <c r="A1467" s="47">
        <v>584.06722408383746</v>
      </c>
    </row>
    <row r="1468" spans="1:1" x14ac:dyDescent="0.3">
      <c r="A1468" s="47">
        <v>738.24411017209104</v>
      </c>
    </row>
    <row r="1469" spans="1:1" x14ac:dyDescent="0.3">
      <c r="A1469" s="47">
        <v>743.63632044580277</v>
      </c>
    </row>
    <row r="1470" spans="1:1" x14ac:dyDescent="0.3">
      <c r="A1470" s="47">
        <v>897.81320653405646</v>
      </c>
    </row>
    <row r="1471" spans="1:1" x14ac:dyDescent="0.3">
      <c r="A1471" s="47">
        <v>821.39736359219341</v>
      </c>
    </row>
    <row r="1472" spans="1:1" x14ac:dyDescent="0.3">
      <c r="A1472" s="47">
        <v>704.630660027506</v>
      </c>
    </row>
    <row r="1473" spans="1:1" x14ac:dyDescent="0.3">
      <c r="A1473" s="47">
        <v>649.97303725890561</v>
      </c>
    </row>
    <row r="1474" spans="1:1" x14ac:dyDescent="0.3">
      <c r="A1474" s="47">
        <v>804.14992334715919</v>
      </c>
    </row>
    <row r="1475" spans="1:1" x14ac:dyDescent="0.3">
      <c r="A1475" s="47">
        <v>727.73408040529603</v>
      </c>
    </row>
    <row r="1476" spans="1:1" x14ac:dyDescent="0.3">
      <c r="A1476" s="47">
        <v>881.91096649354972</v>
      </c>
    </row>
    <row r="1477" spans="1:1" x14ac:dyDescent="0.3">
      <c r="A1477" s="47">
        <v>610.96737684060872</v>
      </c>
    </row>
    <row r="1478" spans="1:1" x14ac:dyDescent="0.3">
      <c r="A1478" s="47">
        <v>887.30317676726145</v>
      </c>
    </row>
    <row r="1479" spans="1:1" x14ac:dyDescent="0.3">
      <c r="A1479" s="47">
        <v>770.53647320257414</v>
      </c>
    </row>
    <row r="1480" spans="1:1" x14ac:dyDescent="0.3">
      <c r="A1480" s="47">
        <v>848.29751634896456</v>
      </c>
    </row>
    <row r="1481" spans="1:1" x14ac:dyDescent="0.3">
      <c r="A1481" s="47">
        <v>736.62191791515443</v>
      </c>
    </row>
    <row r="1482" spans="1:1" x14ac:dyDescent="0.3">
      <c r="A1482" s="47">
        <v>890.79880400340801</v>
      </c>
    </row>
    <row r="1483" spans="1:1" x14ac:dyDescent="0.3">
      <c r="A1483" s="47">
        <v>896.19101427711973</v>
      </c>
    </row>
    <row r="1484" spans="1:1" x14ac:dyDescent="0.3">
      <c r="A1484" s="47">
        <v>857.18535385882296</v>
      </c>
    </row>
    <row r="1485" spans="1:1" x14ac:dyDescent="0.3">
      <c r="A1485" s="47">
        <v>802.52773109022246</v>
      </c>
    </row>
    <row r="1486" spans="1:1" x14ac:dyDescent="0.3">
      <c r="A1486" s="47">
        <v>880.28877423661299</v>
      </c>
    </row>
    <row r="1487" spans="1:1" x14ac:dyDescent="0.3">
      <c r="A1487" s="47">
        <v>763.52207067192558</v>
      </c>
    </row>
    <row r="1488" spans="1:1" x14ac:dyDescent="0.3">
      <c r="A1488" s="47">
        <v>636.26424170294581</v>
      </c>
    </row>
    <row r="1489" spans="1:1" x14ac:dyDescent="0.3">
      <c r="A1489" s="47">
        <v>790.44112779119951</v>
      </c>
    </row>
    <row r="1490" spans="1:1" x14ac:dyDescent="0.3">
      <c r="A1490" s="47">
        <v>714.02528484933646</v>
      </c>
    </row>
    <row r="1491" spans="1:1" x14ac:dyDescent="0.3">
      <c r="A1491" s="47">
        <v>868.20217093759004</v>
      </c>
    </row>
    <row r="1492" spans="1:1" x14ac:dyDescent="0.3">
      <c r="A1492" s="47">
        <v>597.25858128464904</v>
      </c>
    </row>
    <row r="1493" spans="1:1" x14ac:dyDescent="0.3">
      <c r="A1493" s="47">
        <v>873.59438121130177</v>
      </c>
    </row>
    <row r="1494" spans="1:1" x14ac:dyDescent="0.3">
      <c r="A1494" s="47">
        <v>756.82767764661435</v>
      </c>
    </row>
    <row r="1495" spans="1:1" x14ac:dyDescent="0.3">
      <c r="A1495" s="47">
        <v>834.588720793005</v>
      </c>
    </row>
    <row r="1496" spans="1:1" x14ac:dyDescent="0.3">
      <c r="A1496" s="47">
        <v>779.93109802440449</v>
      </c>
    </row>
    <row r="1497" spans="1:1" x14ac:dyDescent="0.3">
      <c r="A1497" s="47">
        <v>663.16439445971719</v>
      </c>
    </row>
    <row r="1498" spans="1:1" x14ac:dyDescent="0.3">
      <c r="A1498" s="47">
        <v>740.92543760610761</v>
      </c>
    </row>
    <row r="1499" spans="1:1" x14ac:dyDescent="0.3">
      <c r="A1499" s="47">
        <v>847.79764852046992</v>
      </c>
    </row>
    <row r="1500" spans="1:1" x14ac:dyDescent="0.3">
      <c r="A1500" s="47">
        <v>808.79198810217304</v>
      </c>
    </row>
    <row r="1501" spans="1:1" x14ac:dyDescent="0.3">
      <c r="A1501" s="47">
        <v>874.69780127724118</v>
      </c>
    </row>
    <row r="1502" spans="1:1" x14ac:dyDescent="0.3">
      <c r="A1502" s="47">
        <v>860.9890057212815</v>
      </c>
    </row>
    <row r="1503" spans="1:1" x14ac:dyDescent="0.3">
      <c r="A1503" s="47">
        <v>99.353565178501128</v>
      </c>
    </row>
    <row r="1504" spans="1:1" x14ac:dyDescent="0.3">
      <c r="A1504" s="47">
        <v>100.96468435237094</v>
      </c>
    </row>
    <row r="1505" spans="1:1" x14ac:dyDescent="0.3">
      <c r="A1505" s="47">
        <v>169.3516454756429</v>
      </c>
    </row>
    <row r="1506" spans="1:1" x14ac:dyDescent="0.3">
      <c r="A1506" s="47">
        <v>400.84350127536862</v>
      </c>
    </row>
    <row r="1507" spans="1:1" x14ac:dyDescent="0.3">
      <c r="A1507" s="47">
        <v>497.09146032949423</v>
      </c>
    </row>
    <row r="1508" spans="1:1" x14ac:dyDescent="0.3">
      <c r="A1508" s="47">
        <v>195.4263682263873</v>
      </c>
    </row>
    <row r="1509" spans="1:1" x14ac:dyDescent="0.3">
      <c r="A1509" s="47">
        <v>437.06154465065606</v>
      </c>
    </row>
    <row r="1510" spans="1:1" x14ac:dyDescent="0.3">
      <c r="A1510" s="47">
        <v>243.42490578966306</v>
      </c>
    </row>
    <row r="1511" spans="1:1" x14ac:dyDescent="0.3">
      <c r="A1511" s="47">
        <v>42.087084846232365</v>
      </c>
    </row>
    <row r="1512" spans="1:1" x14ac:dyDescent="0.3">
      <c r="A1512" s="47">
        <v>262.49840422364741</v>
      </c>
    </row>
    <row r="1513" spans="1:1" x14ac:dyDescent="0.3">
      <c r="A1513" s="47">
        <v>200.31824953087207</v>
      </c>
    </row>
    <row r="1514" spans="1:1" x14ac:dyDescent="0.3">
      <c r="A1514" s="47">
        <v>268.70521065414403</v>
      </c>
    </row>
    <row r="1515" spans="1:1" x14ac:dyDescent="0.3">
      <c r="A1515" s="47">
        <v>500.19706645386975</v>
      </c>
    </row>
    <row r="1516" spans="1:1" x14ac:dyDescent="0.3">
      <c r="A1516" s="47">
        <v>596.4450255079953</v>
      </c>
    </row>
    <row r="1517" spans="1:1" x14ac:dyDescent="0.3">
      <c r="A1517" s="47">
        <v>294.77993340488842</v>
      </c>
    </row>
    <row r="1518" spans="1:1" x14ac:dyDescent="0.3">
      <c r="A1518" s="47">
        <v>536.41510982915725</v>
      </c>
    </row>
    <row r="1519" spans="1:1" x14ac:dyDescent="0.3">
      <c r="A1519" s="47">
        <v>342.77847096816419</v>
      </c>
    </row>
    <row r="1520" spans="1:1" x14ac:dyDescent="0.3">
      <c r="A1520" s="47">
        <v>141.44065002473349</v>
      </c>
    </row>
    <row r="1521" spans="1:1" x14ac:dyDescent="0.3">
      <c r="A1521" s="47">
        <v>361.85196940214854</v>
      </c>
    </row>
    <row r="1522" spans="1:1" x14ac:dyDescent="0.3">
      <c r="A1522" s="47">
        <v>270.31632982801386</v>
      </c>
    </row>
    <row r="1523" spans="1:1" x14ac:dyDescent="0.3">
      <c r="A1523" s="47">
        <v>501.80818562773959</v>
      </c>
    </row>
    <row r="1524" spans="1:1" x14ac:dyDescent="0.3">
      <c r="A1524" s="47">
        <v>598.05614468186513</v>
      </c>
    </row>
    <row r="1525" spans="1:1" x14ac:dyDescent="0.3">
      <c r="A1525" s="47">
        <v>296.39105257875826</v>
      </c>
    </row>
    <row r="1526" spans="1:1" x14ac:dyDescent="0.3">
      <c r="A1526" s="47">
        <v>538.02622900302697</v>
      </c>
    </row>
    <row r="1527" spans="1:1" x14ac:dyDescent="0.3">
      <c r="A1527" s="47">
        <v>344.38959014203397</v>
      </c>
    </row>
    <row r="1528" spans="1:1" x14ac:dyDescent="0.3">
      <c r="A1528" s="47">
        <v>143.0517691986033</v>
      </c>
    </row>
    <row r="1529" spans="1:1" x14ac:dyDescent="0.3">
      <c r="A1529" s="47">
        <v>363.46308857601832</v>
      </c>
    </row>
    <row r="1530" spans="1:1" x14ac:dyDescent="0.3">
      <c r="A1530" s="47">
        <v>570.19514675101152</v>
      </c>
    </row>
    <row r="1531" spans="1:1" x14ac:dyDescent="0.3">
      <c r="A1531" s="47">
        <v>666.44310580513707</v>
      </c>
    </row>
    <row r="1532" spans="1:1" x14ac:dyDescent="0.3">
      <c r="A1532" s="47">
        <v>364.77801370203019</v>
      </c>
    </row>
    <row r="1533" spans="1:1" x14ac:dyDescent="0.3">
      <c r="A1533" s="47">
        <v>606.41319012629901</v>
      </c>
    </row>
    <row r="1534" spans="1:1" x14ac:dyDescent="0.3">
      <c r="A1534" s="47">
        <v>412.77655126530595</v>
      </c>
    </row>
    <row r="1535" spans="1:1" x14ac:dyDescent="0.3">
      <c r="A1535" s="47">
        <v>211.43873032187525</v>
      </c>
    </row>
    <row r="1536" spans="1:1" x14ac:dyDescent="0.3">
      <c r="A1536" s="47">
        <v>431.85004969929031</v>
      </c>
    </row>
    <row r="1537" spans="1:1" x14ac:dyDescent="0.3">
      <c r="A1537" s="47">
        <v>897.93496160486279</v>
      </c>
    </row>
    <row r="1538" spans="1:1" x14ac:dyDescent="0.3">
      <c r="A1538" s="47">
        <v>596.26986950175592</v>
      </c>
    </row>
    <row r="1539" spans="1:1" x14ac:dyDescent="0.3">
      <c r="A1539" s="47">
        <v>837.90504592602474</v>
      </c>
    </row>
    <row r="1540" spans="1:1" x14ac:dyDescent="0.3">
      <c r="A1540" s="47">
        <v>644.26840706503162</v>
      </c>
    </row>
    <row r="1541" spans="1:1" x14ac:dyDescent="0.3">
      <c r="A1541" s="47">
        <v>442.93058612160098</v>
      </c>
    </row>
    <row r="1542" spans="1:1" x14ac:dyDescent="0.3">
      <c r="A1542" s="47">
        <v>663.34190549901609</v>
      </c>
    </row>
    <row r="1543" spans="1:1" x14ac:dyDescent="0.3">
      <c r="A1543" s="47">
        <v>692.51782855588158</v>
      </c>
    </row>
    <row r="1544" spans="1:1" x14ac:dyDescent="0.3">
      <c r="A1544" s="47">
        <v>740.51636611915728</v>
      </c>
    </row>
    <row r="1545" spans="1:1" x14ac:dyDescent="0.3">
      <c r="A1545" s="47">
        <v>539.17854517572664</v>
      </c>
    </row>
    <row r="1546" spans="1:1" x14ac:dyDescent="0.3">
      <c r="A1546" s="47">
        <v>759.58986455314164</v>
      </c>
    </row>
    <row r="1547" spans="1:1" x14ac:dyDescent="0.3">
      <c r="A1547" s="47">
        <v>632.4879128770433</v>
      </c>
    </row>
    <row r="1548" spans="1:1" x14ac:dyDescent="0.3">
      <c r="A1548" s="47">
        <v>438.85127401605035</v>
      </c>
    </row>
    <row r="1549" spans="1:1" x14ac:dyDescent="0.3">
      <c r="A1549" s="47">
        <v>237.51345307261965</v>
      </c>
    </row>
    <row r="1550" spans="1:1" x14ac:dyDescent="0.3">
      <c r="A1550" s="47">
        <v>457.92477245003471</v>
      </c>
    </row>
    <row r="1551" spans="1:1" x14ac:dyDescent="0.3">
      <c r="A1551" s="47">
        <v>680.48645044031912</v>
      </c>
    </row>
    <row r="1552" spans="1:1" x14ac:dyDescent="0.3">
      <c r="A1552" s="47">
        <v>479.14862949688842</v>
      </c>
    </row>
    <row r="1553" spans="1:1" x14ac:dyDescent="0.3">
      <c r="A1553" s="47">
        <v>699.55994887430347</v>
      </c>
    </row>
    <row r="1554" spans="1:1" x14ac:dyDescent="0.3">
      <c r="A1554" s="47">
        <v>285.51199063589542</v>
      </c>
    </row>
    <row r="1555" spans="1:1" x14ac:dyDescent="0.3">
      <c r="A1555" s="47">
        <v>505.92331001331047</v>
      </c>
    </row>
    <row r="1556" spans="1:1" x14ac:dyDescent="0.3">
      <c r="A1556" s="47">
        <v>304.58548906987977</v>
      </c>
    </row>
    <row r="1557" spans="1:1" x14ac:dyDescent="0.3">
      <c r="A1557" s="47">
        <v>369.66989500651493</v>
      </c>
    </row>
    <row r="1558" spans="1:1" x14ac:dyDescent="0.3">
      <c r="A1558" s="47">
        <v>601.16175080624066</v>
      </c>
    </row>
    <row r="1559" spans="1:1" x14ac:dyDescent="0.3">
      <c r="A1559" s="47">
        <v>697.40970986036632</v>
      </c>
    </row>
    <row r="1560" spans="1:1" x14ac:dyDescent="0.3">
      <c r="A1560" s="47">
        <v>395.74461775725933</v>
      </c>
    </row>
    <row r="1561" spans="1:1" x14ac:dyDescent="0.3">
      <c r="A1561" s="47">
        <v>637.37979418152815</v>
      </c>
    </row>
    <row r="1562" spans="1:1" x14ac:dyDescent="0.3">
      <c r="A1562" s="47">
        <v>443.74315532053515</v>
      </c>
    </row>
    <row r="1563" spans="1:1" x14ac:dyDescent="0.3">
      <c r="A1563" s="47">
        <v>242.40533437710442</v>
      </c>
    </row>
    <row r="1564" spans="1:1" x14ac:dyDescent="0.3">
      <c r="A1564" s="47">
        <v>462.81665375451951</v>
      </c>
    </row>
    <row r="1565" spans="1:1" x14ac:dyDescent="0.3">
      <c r="A1565" s="47">
        <v>669.54871192951259</v>
      </c>
    </row>
    <row r="1566" spans="1:1" x14ac:dyDescent="0.3">
      <c r="A1566" s="47">
        <v>765.79667098363825</v>
      </c>
    </row>
    <row r="1567" spans="1:1" x14ac:dyDescent="0.3">
      <c r="A1567" s="47">
        <v>464.13157888053132</v>
      </c>
    </row>
    <row r="1568" spans="1:1" x14ac:dyDescent="0.3">
      <c r="A1568" s="47">
        <v>705.76675530480009</v>
      </c>
    </row>
    <row r="1569" spans="1:1" x14ac:dyDescent="0.3">
      <c r="A1569" s="47">
        <v>512.13011644380708</v>
      </c>
    </row>
    <row r="1570" spans="1:1" x14ac:dyDescent="0.3">
      <c r="A1570" s="47">
        <v>310.79229550037638</v>
      </c>
    </row>
    <row r="1571" spans="1:1" x14ac:dyDescent="0.3">
      <c r="A1571" s="47">
        <v>531.20361487779144</v>
      </c>
    </row>
    <row r="1572" spans="1:1" x14ac:dyDescent="0.3">
      <c r="A1572" s="47">
        <v>695.62343468025711</v>
      </c>
    </row>
    <row r="1573" spans="1:1" x14ac:dyDescent="0.3">
      <c r="A1573" s="47">
        <v>743.62197224353281</v>
      </c>
    </row>
    <row r="1574" spans="1:1" x14ac:dyDescent="0.3">
      <c r="A1574" s="47">
        <v>542.28415130010217</v>
      </c>
    </row>
    <row r="1575" spans="1:1" x14ac:dyDescent="0.3">
      <c r="A1575" s="47">
        <v>762.69547067751716</v>
      </c>
    </row>
    <row r="1576" spans="1:1" x14ac:dyDescent="0.3">
      <c r="A1576" s="47">
        <v>791.87139373438265</v>
      </c>
    </row>
    <row r="1577" spans="1:1" x14ac:dyDescent="0.3">
      <c r="A1577" s="47">
        <v>839.86993129765847</v>
      </c>
    </row>
    <row r="1578" spans="1:1" x14ac:dyDescent="0.3">
      <c r="A1578" s="47">
        <v>638.53211035422771</v>
      </c>
    </row>
    <row r="1579" spans="1:1" x14ac:dyDescent="0.3">
      <c r="A1579" s="47">
        <v>858.94342973164271</v>
      </c>
    </row>
    <row r="1580" spans="1:1" x14ac:dyDescent="0.3">
      <c r="A1580" s="47">
        <v>731.84147805554448</v>
      </c>
    </row>
    <row r="1581" spans="1:1" x14ac:dyDescent="0.3">
      <c r="A1581" s="47">
        <v>538.20483919455148</v>
      </c>
    </row>
    <row r="1582" spans="1:1" x14ac:dyDescent="0.3">
      <c r="A1582" s="47">
        <v>336.86701825112078</v>
      </c>
    </row>
    <row r="1583" spans="1:1" x14ac:dyDescent="0.3">
      <c r="A1583" s="47">
        <v>557.27833762853584</v>
      </c>
    </row>
    <row r="1584" spans="1:1" x14ac:dyDescent="0.3">
      <c r="A1584" s="47">
        <v>779.84001561882019</v>
      </c>
    </row>
    <row r="1585" spans="1:1" x14ac:dyDescent="0.3">
      <c r="A1585" s="47">
        <v>578.50219467538955</v>
      </c>
    </row>
    <row r="1586" spans="1:1" x14ac:dyDescent="0.3">
      <c r="A1586" s="47">
        <v>798.91351405280466</v>
      </c>
    </row>
    <row r="1587" spans="1:1" x14ac:dyDescent="0.3">
      <c r="A1587" s="47">
        <v>384.86555581439654</v>
      </c>
    </row>
    <row r="1588" spans="1:1" x14ac:dyDescent="0.3">
      <c r="A1588" s="47">
        <v>605.27687519181154</v>
      </c>
    </row>
    <row r="1589" spans="1:1" x14ac:dyDescent="0.3">
      <c r="A1589" s="47">
        <v>403.9390542483809</v>
      </c>
    </row>
    <row r="1590" spans="1:1" x14ac:dyDescent="0.3">
      <c r="A1590" s="47">
        <v>671.15983110338243</v>
      </c>
    </row>
    <row r="1591" spans="1:1" x14ac:dyDescent="0.3">
      <c r="A1591" s="47">
        <v>767.40779015750809</v>
      </c>
    </row>
    <row r="1592" spans="1:1" x14ac:dyDescent="0.3">
      <c r="A1592" s="47">
        <v>465.7426980544011</v>
      </c>
    </row>
    <row r="1593" spans="1:1" x14ac:dyDescent="0.3">
      <c r="A1593" s="47">
        <v>707.37787447866992</v>
      </c>
    </row>
    <row r="1594" spans="1:1" x14ac:dyDescent="0.3">
      <c r="A1594" s="47">
        <v>513.74123561767692</v>
      </c>
    </row>
    <row r="1595" spans="1:1" x14ac:dyDescent="0.3">
      <c r="A1595" s="47">
        <v>312.40341467424622</v>
      </c>
    </row>
    <row r="1596" spans="1:1" x14ac:dyDescent="0.3">
      <c r="A1596" s="47">
        <v>532.81473405166128</v>
      </c>
    </row>
    <row r="1597" spans="1:1" x14ac:dyDescent="0.3">
      <c r="A1597" s="47">
        <v>697.23455385412683</v>
      </c>
    </row>
    <row r="1598" spans="1:1" x14ac:dyDescent="0.3">
      <c r="A1598" s="47">
        <v>745.23309141740265</v>
      </c>
    </row>
    <row r="1599" spans="1:1" x14ac:dyDescent="0.3">
      <c r="A1599" s="47">
        <v>543.89527047397189</v>
      </c>
    </row>
    <row r="1600" spans="1:1" x14ac:dyDescent="0.3">
      <c r="A1600" s="47">
        <v>764.306589851387</v>
      </c>
    </row>
    <row r="1601" spans="1:1" x14ac:dyDescent="0.3">
      <c r="A1601" s="47">
        <v>793.48251290825249</v>
      </c>
    </row>
    <row r="1602" spans="1:1" x14ac:dyDescent="0.3">
      <c r="A1602" s="47">
        <v>841.48105047152819</v>
      </c>
    </row>
    <row r="1603" spans="1:1" x14ac:dyDescent="0.3">
      <c r="A1603" s="47">
        <v>640.14322952809755</v>
      </c>
    </row>
    <row r="1604" spans="1:1" x14ac:dyDescent="0.3">
      <c r="A1604" s="47">
        <v>860.55454890551255</v>
      </c>
    </row>
    <row r="1605" spans="1:1" x14ac:dyDescent="0.3">
      <c r="A1605" s="47">
        <v>733.45259722941432</v>
      </c>
    </row>
    <row r="1606" spans="1:1" x14ac:dyDescent="0.3">
      <c r="A1606" s="47">
        <v>539.81595836842132</v>
      </c>
    </row>
    <row r="1607" spans="1:1" x14ac:dyDescent="0.3">
      <c r="A1607" s="47">
        <v>338.47813742499062</v>
      </c>
    </row>
    <row r="1608" spans="1:1" x14ac:dyDescent="0.3">
      <c r="A1608" s="47">
        <v>558.88945680240568</v>
      </c>
    </row>
    <row r="1609" spans="1:1" x14ac:dyDescent="0.3">
      <c r="A1609" s="47">
        <v>781.45113479269003</v>
      </c>
    </row>
    <row r="1610" spans="1:1" x14ac:dyDescent="0.3">
      <c r="A1610" s="47">
        <v>580.11331384925938</v>
      </c>
    </row>
    <row r="1611" spans="1:1" x14ac:dyDescent="0.3">
      <c r="A1611" s="47">
        <v>800.52463322667438</v>
      </c>
    </row>
    <row r="1612" spans="1:1" x14ac:dyDescent="0.3">
      <c r="A1612" s="47">
        <v>386.47667498826638</v>
      </c>
    </row>
    <row r="1613" spans="1:1" x14ac:dyDescent="0.3">
      <c r="A1613" s="47">
        <v>606.88799436568138</v>
      </c>
    </row>
    <row r="1614" spans="1:1" x14ac:dyDescent="0.3">
      <c r="A1614" s="47">
        <v>405.55017342225074</v>
      </c>
    </row>
    <row r="1615" spans="1:1" x14ac:dyDescent="0.3">
      <c r="A1615" s="47">
        <v>765.62151497739887</v>
      </c>
    </row>
    <row r="1616" spans="1:1" x14ac:dyDescent="0.3">
      <c r="A1616" s="47">
        <v>813.62005254067458</v>
      </c>
    </row>
    <row r="1617" spans="1:1" x14ac:dyDescent="0.3">
      <c r="A1617" s="47">
        <v>612.28223159724394</v>
      </c>
    </row>
    <row r="1618" spans="1:1" x14ac:dyDescent="0.3">
      <c r="A1618" s="47">
        <v>832.69355097465893</v>
      </c>
    </row>
    <row r="1619" spans="1:1" x14ac:dyDescent="0.3">
      <c r="A1619" s="47">
        <v>861.86947403152442</v>
      </c>
    </row>
    <row r="1620" spans="1:1" x14ac:dyDescent="0.3">
      <c r="A1620" s="47">
        <v>708.53019065136948</v>
      </c>
    </row>
    <row r="1621" spans="1:1" x14ac:dyDescent="0.3">
      <c r="A1621" s="47">
        <v>801.83955835268625</v>
      </c>
    </row>
    <row r="1622" spans="1:1" x14ac:dyDescent="0.3">
      <c r="A1622" s="47">
        <v>608.20291949169325</v>
      </c>
    </row>
    <row r="1623" spans="1:1" x14ac:dyDescent="0.3">
      <c r="A1623" s="47">
        <v>406.86509854826255</v>
      </c>
    </row>
    <row r="1624" spans="1:1" x14ac:dyDescent="0.3">
      <c r="A1624" s="47">
        <v>627.27641792567761</v>
      </c>
    </row>
    <row r="1625" spans="1:1" x14ac:dyDescent="0.3">
      <c r="A1625" s="47">
        <v>849.83809591596196</v>
      </c>
    </row>
    <row r="1626" spans="1:1" x14ac:dyDescent="0.3">
      <c r="A1626" s="47">
        <v>648.50027497253132</v>
      </c>
    </row>
    <row r="1627" spans="1:1" x14ac:dyDescent="0.3">
      <c r="A1627" s="47">
        <v>868.91159434994643</v>
      </c>
    </row>
    <row r="1628" spans="1:1" x14ac:dyDescent="0.3">
      <c r="A1628" s="47">
        <v>454.86363611153831</v>
      </c>
    </row>
    <row r="1629" spans="1:1" x14ac:dyDescent="0.3">
      <c r="A1629" s="47">
        <v>675.27495548895331</v>
      </c>
    </row>
    <row r="1630" spans="1:1" x14ac:dyDescent="0.3">
      <c r="A1630" s="47">
        <v>473.93713454552267</v>
      </c>
    </row>
    <row r="1631" spans="1:1" x14ac:dyDescent="0.3">
      <c r="A1631" s="47">
        <v>839.69477529141898</v>
      </c>
    </row>
    <row r="1632" spans="1:1" x14ac:dyDescent="0.3">
      <c r="A1632" s="47">
        <v>638.35695434798834</v>
      </c>
    </row>
    <row r="1633" spans="1:1" x14ac:dyDescent="0.3">
      <c r="A1633" s="47">
        <v>858.76827372540333</v>
      </c>
    </row>
    <row r="1634" spans="1:1" x14ac:dyDescent="0.3">
      <c r="A1634" s="47">
        <v>879.99213077225704</v>
      </c>
    </row>
    <row r="1635" spans="1:1" x14ac:dyDescent="0.3">
      <c r="A1635" s="47">
        <v>686.35549191126404</v>
      </c>
    </row>
    <row r="1636" spans="1:1" x14ac:dyDescent="0.3">
      <c r="A1636" s="47">
        <v>705.42899034524839</v>
      </c>
    </row>
    <row r="1637" spans="1:1" x14ac:dyDescent="0.3">
      <c r="A1637" s="47">
        <v>734.60491340211388</v>
      </c>
    </row>
    <row r="1638" spans="1:1" x14ac:dyDescent="0.3">
      <c r="A1638" s="47">
        <v>782.6034509653897</v>
      </c>
    </row>
    <row r="1639" spans="1:1" x14ac:dyDescent="0.3">
      <c r="A1639" s="47">
        <v>801.67694939937405</v>
      </c>
    </row>
    <row r="1640" spans="1:1" x14ac:dyDescent="0.3">
      <c r="A1640" s="47">
        <v>875.91281866670647</v>
      </c>
    </row>
    <row r="1641" spans="1:1" x14ac:dyDescent="0.3">
      <c r="A1641" s="47">
        <v>674.57499772327571</v>
      </c>
    </row>
    <row r="1642" spans="1:1" x14ac:dyDescent="0.3">
      <c r="A1642" s="47">
        <v>894.98631710069071</v>
      </c>
    </row>
    <row r="1643" spans="1:1" x14ac:dyDescent="0.3">
      <c r="A1643" s="47">
        <v>480.93835886228271</v>
      </c>
    </row>
    <row r="1644" spans="1:1" x14ac:dyDescent="0.3">
      <c r="A1644" s="47">
        <v>701.34967823969782</v>
      </c>
    </row>
    <row r="1645" spans="1:1" x14ac:dyDescent="0.3">
      <c r="A1645" s="47">
        <v>500.01185729626707</v>
      </c>
    </row>
    <row r="1646" spans="1:1" x14ac:dyDescent="0.3">
      <c r="A1646" s="47">
        <v>722.57353528655153</v>
      </c>
    </row>
    <row r="1647" spans="1:1" x14ac:dyDescent="0.3">
      <c r="A1647" s="47">
        <v>741.64703372053589</v>
      </c>
    </row>
    <row r="1648" spans="1:1" x14ac:dyDescent="0.3">
      <c r="A1648" s="47">
        <v>548.01039485954288</v>
      </c>
    </row>
    <row r="1649" spans="1:1" x14ac:dyDescent="0.3">
      <c r="A1649" s="47">
        <v>770.51339628188362</v>
      </c>
    </row>
    <row r="1650" spans="1:1" x14ac:dyDescent="0.3">
      <c r="A1650" s="47">
        <v>866.76135533600916</v>
      </c>
    </row>
    <row r="1651" spans="1:1" x14ac:dyDescent="0.3">
      <c r="A1651" s="47">
        <v>565.09626323290229</v>
      </c>
    </row>
    <row r="1652" spans="1:1" x14ac:dyDescent="0.3">
      <c r="A1652" s="47">
        <v>806.73143965717099</v>
      </c>
    </row>
    <row r="1653" spans="1:1" x14ac:dyDescent="0.3">
      <c r="A1653" s="47">
        <v>613.09480079617799</v>
      </c>
    </row>
    <row r="1654" spans="1:1" x14ac:dyDescent="0.3">
      <c r="A1654" s="47">
        <v>411.75697985274735</v>
      </c>
    </row>
    <row r="1655" spans="1:1" x14ac:dyDescent="0.3">
      <c r="A1655" s="47">
        <v>632.16829923016235</v>
      </c>
    </row>
    <row r="1656" spans="1:1" x14ac:dyDescent="0.3">
      <c r="A1656" s="47">
        <v>796.58811903262801</v>
      </c>
    </row>
    <row r="1657" spans="1:1" x14ac:dyDescent="0.3">
      <c r="A1657" s="47">
        <v>844.58665659590372</v>
      </c>
    </row>
    <row r="1658" spans="1:1" x14ac:dyDescent="0.3">
      <c r="A1658" s="47">
        <v>643.24883565247308</v>
      </c>
    </row>
    <row r="1659" spans="1:1" x14ac:dyDescent="0.3">
      <c r="A1659" s="47">
        <v>863.66015502988807</v>
      </c>
    </row>
    <row r="1660" spans="1:1" x14ac:dyDescent="0.3">
      <c r="A1660" s="47">
        <v>892.83607808675356</v>
      </c>
    </row>
    <row r="1661" spans="1:1" x14ac:dyDescent="0.3">
      <c r="A1661" s="47">
        <v>739.49679470659862</v>
      </c>
    </row>
    <row r="1662" spans="1:1" x14ac:dyDescent="0.3">
      <c r="A1662" s="47">
        <v>832.80616240791539</v>
      </c>
    </row>
    <row r="1663" spans="1:1" x14ac:dyDescent="0.3">
      <c r="A1663" s="47">
        <v>639.16952354692239</v>
      </c>
    </row>
    <row r="1664" spans="1:1" x14ac:dyDescent="0.3">
      <c r="A1664" s="47">
        <v>437.83170260349175</v>
      </c>
    </row>
    <row r="1665" spans="1:1" x14ac:dyDescent="0.3">
      <c r="A1665" s="47">
        <v>658.24302198090675</v>
      </c>
    </row>
    <row r="1666" spans="1:1" x14ac:dyDescent="0.3">
      <c r="A1666" s="47">
        <v>880.80469997119121</v>
      </c>
    </row>
    <row r="1667" spans="1:1" x14ac:dyDescent="0.3">
      <c r="A1667" s="47">
        <v>679.46687902776046</v>
      </c>
    </row>
    <row r="1668" spans="1:1" x14ac:dyDescent="0.3">
      <c r="A1668" s="47">
        <v>899.87819840517557</v>
      </c>
    </row>
    <row r="1669" spans="1:1" x14ac:dyDescent="0.3">
      <c r="A1669" s="47">
        <v>485.83024016676751</v>
      </c>
    </row>
    <row r="1670" spans="1:1" x14ac:dyDescent="0.3">
      <c r="A1670" s="47">
        <v>706.24155954418256</v>
      </c>
    </row>
    <row r="1671" spans="1:1" x14ac:dyDescent="0.3">
      <c r="A1671" s="47">
        <v>504.90373860075186</v>
      </c>
    </row>
    <row r="1672" spans="1:1" x14ac:dyDescent="0.3">
      <c r="A1672" s="47">
        <v>864.97508015589995</v>
      </c>
    </row>
    <row r="1673" spans="1:1" x14ac:dyDescent="0.3">
      <c r="A1673" s="47">
        <v>711.63579677574501</v>
      </c>
    </row>
    <row r="1674" spans="1:1" x14ac:dyDescent="0.3">
      <c r="A1674" s="47">
        <v>807.88375582987067</v>
      </c>
    </row>
    <row r="1675" spans="1:1" x14ac:dyDescent="0.3">
      <c r="A1675" s="47">
        <v>707.55648467019432</v>
      </c>
    </row>
    <row r="1676" spans="1:1" x14ac:dyDescent="0.3">
      <c r="A1676" s="47">
        <v>506.21866372676368</v>
      </c>
    </row>
    <row r="1677" spans="1:1" x14ac:dyDescent="0.3">
      <c r="A1677" s="47">
        <v>726.62998310417879</v>
      </c>
    </row>
    <row r="1678" spans="1:1" x14ac:dyDescent="0.3">
      <c r="A1678" s="47">
        <v>747.8538401510325</v>
      </c>
    </row>
    <row r="1679" spans="1:1" x14ac:dyDescent="0.3">
      <c r="A1679" s="47">
        <v>554.2172012900395</v>
      </c>
    </row>
    <row r="1680" spans="1:1" x14ac:dyDescent="0.3">
      <c r="A1680" s="47">
        <v>774.6285206674545</v>
      </c>
    </row>
    <row r="1681" spans="1:1" x14ac:dyDescent="0.3">
      <c r="A1681" s="47">
        <v>573.29069972402385</v>
      </c>
    </row>
    <row r="1682" spans="1:1" x14ac:dyDescent="0.3">
      <c r="A1682" s="47">
        <v>737.71051952648941</v>
      </c>
    </row>
    <row r="1683" spans="1:1" x14ac:dyDescent="0.3">
      <c r="A1683" s="47">
        <v>785.70905708976522</v>
      </c>
    </row>
    <row r="1684" spans="1:1" x14ac:dyDescent="0.3">
      <c r="A1684" s="47">
        <v>804.78255552374958</v>
      </c>
    </row>
    <row r="1685" spans="1:1" x14ac:dyDescent="0.3">
      <c r="A1685" s="47">
        <v>833.95847858061506</v>
      </c>
    </row>
    <row r="1686" spans="1:1" x14ac:dyDescent="0.3">
      <c r="A1686" s="47">
        <v>881.95701614389077</v>
      </c>
    </row>
    <row r="1687" spans="1:1" x14ac:dyDescent="0.3">
      <c r="A1687" s="47">
        <v>773.9285629017769</v>
      </c>
    </row>
    <row r="1688" spans="1:1" x14ac:dyDescent="0.3">
      <c r="A1688" s="47">
        <v>580.2919240407839</v>
      </c>
    </row>
    <row r="1689" spans="1:1" x14ac:dyDescent="0.3">
      <c r="A1689" s="47">
        <v>800.70324341819889</v>
      </c>
    </row>
    <row r="1690" spans="1:1" x14ac:dyDescent="0.3">
      <c r="A1690" s="47">
        <v>599.36542247476825</v>
      </c>
    </row>
    <row r="1691" spans="1:1" x14ac:dyDescent="0.3">
      <c r="A1691" s="47">
        <v>821.9271004650526</v>
      </c>
    </row>
    <row r="1692" spans="1:1" x14ac:dyDescent="0.3">
      <c r="A1692" s="47">
        <v>841.00059889903696</v>
      </c>
    </row>
    <row r="1693" spans="1:1" x14ac:dyDescent="0.3">
      <c r="A1693" s="47">
        <v>647.36396003804396</v>
      </c>
    </row>
    <row r="1694" spans="1:1" x14ac:dyDescent="0.3">
      <c r="A1694" s="47">
        <v>866.58619932976978</v>
      </c>
    </row>
    <row r="1695" spans="1:1" x14ac:dyDescent="0.3">
      <c r="A1695" s="47">
        <v>713.24691594961484</v>
      </c>
    </row>
    <row r="1696" spans="1:1" x14ac:dyDescent="0.3">
      <c r="A1696" s="47">
        <v>809.49487500374039</v>
      </c>
    </row>
    <row r="1697" spans="1:1" x14ac:dyDescent="0.3">
      <c r="A1697" s="47">
        <v>709.16760384406416</v>
      </c>
    </row>
    <row r="1698" spans="1:1" x14ac:dyDescent="0.3">
      <c r="A1698" s="47">
        <v>507.82978290063352</v>
      </c>
    </row>
    <row r="1699" spans="1:1" x14ac:dyDescent="0.3">
      <c r="A1699" s="47">
        <v>728.24110227804852</v>
      </c>
    </row>
    <row r="1700" spans="1:1" x14ac:dyDescent="0.3">
      <c r="A1700" s="47">
        <v>749.46495932490222</v>
      </c>
    </row>
    <row r="1701" spans="1:1" x14ac:dyDescent="0.3">
      <c r="A1701" s="47">
        <v>555.82832046390922</v>
      </c>
    </row>
    <row r="1702" spans="1:1" x14ac:dyDescent="0.3">
      <c r="A1702" s="47">
        <v>776.23963984132433</v>
      </c>
    </row>
    <row r="1703" spans="1:1" x14ac:dyDescent="0.3">
      <c r="A1703" s="47">
        <v>574.90181889789358</v>
      </c>
    </row>
    <row r="1704" spans="1:1" x14ac:dyDescent="0.3">
      <c r="A1704" s="47">
        <v>739.32163870035924</v>
      </c>
    </row>
    <row r="1705" spans="1:1" x14ac:dyDescent="0.3">
      <c r="A1705" s="47">
        <v>787.32017626363495</v>
      </c>
    </row>
    <row r="1706" spans="1:1" x14ac:dyDescent="0.3">
      <c r="A1706" s="47">
        <v>806.3936746976193</v>
      </c>
    </row>
    <row r="1707" spans="1:1" x14ac:dyDescent="0.3">
      <c r="A1707" s="47">
        <v>835.56959775448479</v>
      </c>
    </row>
    <row r="1708" spans="1:1" x14ac:dyDescent="0.3">
      <c r="A1708" s="47">
        <v>883.56813531776061</v>
      </c>
    </row>
    <row r="1709" spans="1:1" x14ac:dyDescent="0.3">
      <c r="A1709" s="47">
        <v>775.53968207564662</v>
      </c>
    </row>
    <row r="1710" spans="1:1" x14ac:dyDescent="0.3">
      <c r="A1710" s="47">
        <v>581.90304321465362</v>
      </c>
    </row>
    <row r="1711" spans="1:1" x14ac:dyDescent="0.3">
      <c r="A1711" s="47">
        <v>802.31436259206873</v>
      </c>
    </row>
    <row r="1712" spans="1:1" x14ac:dyDescent="0.3">
      <c r="A1712" s="47">
        <v>600.97654164863798</v>
      </c>
    </row>
    <row r="1713" spans="1:1" x14ac:dyDescent="0.3">
      <c r="A1713" s="47">
        <v>823.53821963892244</v>
      </c>
    </row>
    <row r="1714" spans="1:1" x14ac:dyDescent="0.3">
      <c r="A1714" s="47">
        <v>842.6117180729068</v>
      </c>
    </row>
    <row r="1715" spans="1:1" x14ac:dyDescent="0.3">
      <c r="A1715" s="47">
        <v>648.97507921191379</v>
      </c>
    </row>
    <row r="1716" spans="1:1" x14ac:dyDescent="0.3">
      <c r="A1716" s="47">
        <v>807.70859982363118</v>
      </c>
    </row>
    <row r="1717" spans="1:1" x14ac:dyDescent="0.3">
      <c r="A1717" s="47">
        <v>855.70713738690699</v>
      </c>
    </row>
    <row r="1718" spans="1:1" x14ac:dyDescent="0.3">
      <c r="A1718" s="47">
        <v>874.78063582089135</v>
      </c>
    </row>
    <row r="1719" spans="1:1" x14ac:dyDescent="0.3">
      <c r="A1719" s="47">
        <v>843.92664319891867</v>
      </c>
    </row>
    <row r="1720" spans="1:1" x14ac:dyDescent="0.3">
      <c r="A1720" s="47">
        <v>650.29000433792567</v>
      </c>
    </row>
    <row r="1721" spans="1:1" x14ac:dyDescent="0.3">
      <c r="A1721" s="47">
        <v>870.70132371534066</v>
      </c>
    </row>
    <row r="1722" spans="1:1" x14ac:dyDescent="0.3">
      <c r="A1722" s="47">
        <v>669.36350277191002</v>
      </c>
    </row>
    <row r="1723" spans="1:1" x14ac:dyDescent="0.3">
      <c r="A1723" s="47">
        <v>891.92518076219437</v>
      </c>
    </row>
    <row r="1724" spans="1:1" x14ac:dyDescent="0.3">
      <c r="A1724" s="47">
        <v>717.36204033518572</v>
      </c>
    </row>
    <row r="1725" spans="1:1" x14ac:dyDescent="0.3">
      <c r="A1725" s="47">
        <v>881.78186013765139</v>
      </c>
    </row>
    <row r="1726" spans="1:1" x14ac:dyDescent="0.3">
      <c r="A1726" s="47">
        <v>743.43676308593012</v>
      </c>
    </row>
    <row r="1727" spans="1:1" x14ac:dyDescent="0.3">
      <c r="A1727" s="47">
        <v>812.60048112811592</v>
      </c>
    </row>
    <row r="1728" spans="1:1" x14ac:dyDescent="0.3">
      <c r="A1728" s="47">
        <v>808.52116902256535</v>
      </c>
    </row>
    <row r="1729" spans="1:1" x14ac:dyDescent="0.3">
      <c r="A1729" s="47">
        <v>607.18334807913459</v>
      </c>
    </row>
    <row r="1730" spans="1:1" x14ac:dyDescent="0.3">
      <c r="A1730" s="47">
        <v>827.5946674565497</v>
      </c>
    </row>
    <row r="1731" spans="1:1" x14ac:dyDescent="0.3">
      <c r="A1731" s="47">
        <v>848.81852450340341</v>
      </c>
    </row>
    <row r="1732" spans="1:1" x14ac:dyDescent="0.3">
      <c r="A1732" s="47">
        <v>655.18188564241041</v>
      </c>
    </row>
    <row r="1733" spans="1:1" x14ac:dyDescent="0.3">
      <c r="A1733" s="47">
        <v>875.5932050198254</v>
      </c>
    </row>
    <row r="1734" spans="1:1" x14ac:dyDescent="0.3">
      <c r="A1734" s="47">
        <v>674.25538407639476</v>
      </c>
    </row>
    <row r="1735" spans="1:1" x14ac:dyDescent="0.3">
      <c r="A1735" s="47">
        <v>838.67520387886032</v>
      </c>
    </row>
    <row r="1736" spans="1:1" x14ac:dyDescent="0.3">
      <c r="A1736" s="47">
        <v>886.67374144213613</v>
      </c>
    </row>
    <row r="1737" spans="1:1" x14ac:dyDescent="0.3">
      <c r="A1737" s="47">
        <v>874.89324725414781</v>
      </c>
    </row>
    <row r="1738" spans="1:1" x14ac:dyDescent="0.3">
      <c r="A1738" s="47">
        <v>681.25660839315481</v>
      </c>
    </row>
    <row r="1739" spans="1:1" x14ac:dyDescent="0.3">
      <c r="A1739" s="47">
        <v>700.33010682713916</v>
      </c>
    </row>
    <row r="1740" spans="1:1" x14ac:dyDescent="0.3">
      <c r="A1740" s="47">
        <v>748.32864439041487</v>
      </c>
    </row>
    <row r="1741" spans="1:1" x14ac:dyDescent="0.3">
      <c r="A1741" s="47">
        <v>749.64356951642674</v>
      </c>
    </row>
    <row r="1742" spans="1:1" x14ac:dyDescent="0.3">
      <c r="A1742" s="47">
        <v>768.71706795041109</v>
      </c>
    </row>
    <row r="1743" spans="1:1" x14ac:dyDescent="0.3">
      <c r="A1743" s="47">
        <v>816.71560551368691</v>
      </c>
    </row>
    <row r="1744" spans="1:1" x14ac:dyDescent="0.3">
      <c r="A1744" s="47">
        <v>842.79032826443131</v>
      </c>
    </row>
    <row r="1745" spans="1:1" x14ac:dyDescent="0.3">
      <c r="A1745" s="47">
        <v>751.25468869029658</v>
      </c>
    </row>
    <row r="1746" spans="1:1" x14ac:dyDescent="0.3">
      <c r="A1746" s="47">
        <v>770.32818712428093</v>
      </c>
    </row>
    <row r="1747" spans="1:1" x14ac:dyDescent="0.3">
      <c r="A1747" s="47">
        <v>818.32672468755663</v>
      </c>
    </row>
    <row r="1748" spans="1:1" x14ac:dyDescent="0.3">
      <c r="A1748" s="47">
        <v>844.40144743830103</v>
      </c>
    </row>
    <row r="1749" spans="1:1" x14ac:dyDescent="0.3">
      <c r="A1749" s="47">
        <v>850.60825386879765</v>
      </c>
    </row>
    <row r="1750" spans="1:1" x14ac:dyDescent="0.3">
      <c r="A1750" s="47">
        <v>869.681752302782</v>
      </c>
    </row>
    <row r="1751" spans="1:1" x14ac:dyDescent="0.3">
      <c r="A1751" s="47">
        <v>56.282984138412765</v>
      </c>
    </row>
    <row r="1752" spans="1:1" x14ac:dyDescent="0.3">
      <c r="A1752" s="47">
        <v>689.14538610130626</v>
      </c>
    </row>
    <row r="1753" spans="1:1" x14ac:dyDescent="0.3">
      <c r="A1753" s="47">
        <v>406.27303669523673</v>
      </c>
    </row>
    <row r="1754" spans="1:1" x14ac:dyDescent="0.3">
      <c r="A1754" s="47">
        <v>236.50311828350391</v>
      </c>
    </row>
    <row r="1755" spans="1:1" x14ac:dyDescent="0.3">
      <c r="A1755" s="47">
        <v>236.50311828350391</v>
      </c>
    </row>
    <row r="1756" spans="1:1" x14ac:dyDescent="0.3">
      <c r="A1756" s="47">
        <v>236.50311828350391</v>
      </c>
    </row>
    <row r="1757" spans="1:1" x14ac:dyDescent="0.3">
      <c r="A1757" s="47">
        <v>312.95113548570282</v>
      </c>
    </row>
    <row r="1758" spans="1:1" x14ac:dyDescent="0.3">
      <c r="A1758" s="47">
        <v>233.24923275704379</v>
      </c>
    </row>
    <row r="1759" spans="1:1" x14ac:dyDescent="0.3">
      <c r="A1759" s="47">
        <v>354.65328152856114</v>
      </c>
    </row>
    <row r="1760" spans="1:1" x14ac:dyDescent="0.3">
      <c r="A1760" s="47">
        <v>324.97668365254049</v>
      </c>
    </row>
    <row r="1761" spans="1:1" x14ac:dyDescent="0.3">
      <c r="A1761" s="47">
        <v>236.50311828350391</v>
      </c>
    </row>
    <row r="1762" spans="1:1" x14ac:dyDescent="0.3">
      <c r="A1762" s="47">
        <v>236.50311828350391</v>
      </c>
    </row>
    <row r="1763" spans="1:1" x14ac:dyDescent="0.3">
      <c r="A1763" s="47">
        <v>745.42837023971902</v>
      </c>
    </row>
    <row r="1764" spans="1:1" x14ac:dyDescent="0.3">
      <c r="A1764" s="47">
        <v>462.55602083364948</v>
      </c>
    </row>
    <row r="1765" spans="1:1" x14ac:dyDescent="0.3">
      <c r="A1765" s="47">
        <v>292.78610242191667</v>
      </c>
    </row>
    <row r="1766" spans="1:1" x14ac:dyDescent="0.3">
      <c r="A1766" s="47">
        <v>292.78610242191667</v>
      </c>
    </row>
    <row r="1767" spans="1:1" x14ac:dyDescent="0.3">
      <c r="A1767" s="47">
        <v>292.78610242191667</v>
      </c>
    </row>
    <row r="1768" spans="1:1" x14ac:dyDescent="0.3">
      <c r="A1768" s="47">
        <v>369.23411962411558</v>
      </c>
    </row>
    <row r="1769" spans="1:1" x14ac:dyDescent="0.3">
      <c r="A1769" s="47">
        <v>289.53221689545654</v>
      </c>
    </row>
    <row r="1770" spans="1:1" x14ac:dyDescent="0.3">
      <c r="A1770" s="47">
        <v>410.9362656669739</v>
      </c>
    </row>
    <row r="1771" spans="1:1" x14ac:dyDescent="0.3">
      <c r="A1771" s="47">
        <v>381.25966779095324</v>
      </c>
    </row>
    <row r="1772" spans="1:1" x14ac:dyDescent="0.3">
      <c r="A1772" s="47">
        <v>292.78610242191667</v>
      </c>
    </row>
    <row r="1773" spans="1:1" x14ac:dyDescent="0.3">
      <c r="A1773" s="47">
        <v>292.78610242191667</v>
      </c>
    </row>
    <row r="1774" spans="1:1" x14ac:dyDescent="0.3">
      <c r="A1774" s="47">
        <v>642.77615497874058</v>
      </c>
    </row>
    <row r="1775" spans="1:1" x14ac:dyDescent="0.3">
      <c r="A1775" s="47">
        <v>642.77615497874058</v>
      </c>
    </row>
    <row r="1776" spans="1:1" x14ac:dyDescent="0.3">
      <c r="A1776" s="47">
        <v>642.77615497874058</v>
      </c>
    </row>
    <row r="1777" spans="1:1" x14ac:dyDescent="0.3">
      <c r="A1777" s="47">
        <v>719.2241721809396</v>
      </c>
    </row>
    <row r="1778" spans="1:1" x14ac:dyDescent="0.3">
      <c r="A1778" s="47">
        <v>639.52226945228051</v>
      </c>
    </row>
    <row r="1779" spans="1:1" x14ac:dyDescent="0.3">
      <c r="A1779" s="47">
        <v>760.92631822379781</v>
      </c>
    </row>
    <row r="1780" spans="1:1" x14ac:dyDescent="0.3">
      <c r="A1780" s="47">
        <v>731.24972034777716</v>
      </c>
    </row>
    <row r="1781" spans="1:1" x14ac:dyDescent="0.3">
      <c r="A1781" s="47">
        <v>642.77615497874058</v>
      </c>
    </row>
    <row r="1782" spans="1:1" x14ac:dyDescent="0.3">
      <c r="A1782" s="47">
        <v>642.77615497874058</v>
      </c>
    </row>
    <row r="1783" spans="1:1" x14ac:dyDescent="0.3">
      <c r="A1783" s="47">
        <v>473.00623656700782</v>
      </c>
    </row>
    <row r="1784" spans="1:1" x14ac:dyDescent="0.3">
      <c r="A1784" s="47">
        <v>473.00623656700782</v>
      </c>
    </row>
    <row r="1785" spans="1:1" x14ac:dyDescent="0.3">
      <c r="A1785" s="47">
        <v>549.45425376920673</v>
      </c>
    </row>
    <row r="1786" spans="1:1" x14ac:dyDescent="0.3">
      <c r="A1786" s="47">
        <v>469.75235104054769</v>
      </c>
    </row>
    <row r="1787" spans="1:1" x14ac:dyDescent="0.3">
      <c r="A1787" s="47">
        <v>591.15639981206505</v>
      </c>
    </row>
    <row r="1788" spans="1:1" x14ac:dyDescent="0.3">
      <c r="A1788" s="47">
        <v>561.4798019360444</v>
      </c>
    </row>
    <row r="1789" spans="1:1" x14ac:dyDescent="0.3">
      <c r="A1789" s="47">
        <v>473.00623656700782</v>
      </c>
    </row>
    <row r="1790" spans="1:1" x14ac:dyDescent="0.3">
      <c r="A1790" s="47">
        <v>473.00623656700782</v>
      </c>
    </row>
    <row r="1791" spans="1:1" x14ac:dyDescent="0.3">
      <c r="A1791" s="47">
        <v>473.00623656700782</v>
      </c>
    </row>
    <row r="1792" spans="1:1" x14ac:dyDescent="0.3">
      <c r="A1792" s="47">
        <v>549.45425376920673</v>
      </c>
    </row>
    <row r="1793" spans="1:1" x14ac:dyDescent="0.3">
      <c r="A1793" s="47">
        <v>469.75235104054769</v>
      </c>
    </row>
    <row r="1794" spans="1:1" x14ac:dyDescent="0.3">
      <c r="A1794" s="47">
        <v>591.15639981206505</v>
      </c>
    </row>
    <row r="1795" spans="1:1" x14ac:dyDescent="0.3">
      <c r="A1795" s="47">
        <v>561.4798019360444</v>
      </c>
    </row>
    <row r="1796" spans="1:1" x14ac:dyDescent="0.3">
      <c r="A1796" s="47">
        <v>473.00623656700782</v>
      </c>
    </row>
    <row r="1797" spans="1:1" x14ac:dyDescent="0.3">
      <c r="A1797" s="47">
        <v>473.00623656700782</v>
      </c>
    </row>
    <row r="1798" spans="1:1" x14ac:dyDescent="0.3">
      <c r="A1798" s="47">
        <v>549.45425376920673</v>
      </c>
    </row>
    <row r="1799" spans="1:1" x14ac:dyDescent="0.3">
      <c r="A1799" s="47">
        <v>469.75235104054769</v>
      </c>
    </row>
    <row r="1800" spans="1:1" x14ac:dyDescent="0.3">
      <c r="A1800" s="47">
        <v>591.15639981206505</v>
      </c>
    </row>
    <row r="1801" spans="1:1" x14ac:dyDescent="0.3">
      <c r="A1801" s="47">
        <v>561.4798019360444</v>
      </c>
    </row>
    <row r="1802" spans="1:1" x14ac:dyDescent="0.3">
      <c r="A1802" s="47">
        <v>473.00623656700782</v>
      </c>
    </row>
    <row r="1803" spans="1:1" x14ac:dyDescent="0.3">
      <c r="A1803" s="47">
        <v>473.00623656700782</v>
      </c>
    </row>
    <row r="1804" spans="1:1" x14ac:dyDescent="0.3">
      <c r="A1804" s="47">
        <v>546.20036824274666</v>
      </c>
    </row>
    <row r="1805" spans="1:1" x14ac:dyDescent="0.3">
      <c r="A1805" s="47">
        <v>667.60441701426396</v>
      </c>
    </row>
    <row r="1806" spans="1:1" x14ac:dyDescent="0.3">
      <c r="A1806" s="47">
        <v>637.92781913824331</v>
      </c>
    </row>
    <row r="1807" spans="1:1" x14ac:dyDescent="0.3">
      <c r="A1807" s="47">
        <v>549.45425376920673</v>
      </c>
    </row>
    <row r="1808" spans="1:1" x14ac:dyDescent="0.3">
      <c r="A1808" s="47">
        <v>549.45425376920673</v>
      </c>
    </row>
    <row r="1809" spans="1:1" x14ac:dyDescent="0.3">
      <c r="A1809" s="47">
        <v>587.90251428560487</v>
      </c>
    </row>
    <row r="1810" spans="1:1" x14ac:dyDescent="0.3">
      <c r="A1810" s="47">
        <v>558.22591640958422</v>
      </c>
    </row>
    <row r="1811" spans="1:1" x14ac:dyDescent="0.3">
      <c r="A1811" s="47">
        <v>469.75235104054769</v>
      </c>
    </row>
    <row r="1812" spans="1:1" x14ac:dyDescent="0.3">
      <c r="A1812" s="47">
        <v>469.75235104054769</v>
      </c>
    </row>
    <row r="1813" spans="1:1" x14ac:dyDescent="0.3">
      <c r="A1813" s="47">
        <v>679.62996518110162</v>
      </c>
    </row>
    <row r="1814" spans="1:1" x14ac:dyDescent="0.3">
      <c r="A1814" s="47">
        <v>591.15639981206505</v>
      </c>
    </row>
    <row r="1815" spans="1:1" x14ac:dyDescent="0.3">
      <c r="A1815" s="47">
        <v>591.15639981206505</v>
      </c>
    </row>
    <row r="1816" spans="1:1" x14ac:dyDescent="0.3">
      <c r="A1816" s="47">
        <v>561.4798019360444</v>
      </c>
    </row>
    <row r="1817" spans="1:1" x14ac:dyDescent="0.3">
      <c r="A1817" s="47">
        <v>561.4798019360444</v>
      </c>
    </row>
    <row r="1818" spans="1:1" x14ac:dyDescent="0.3">
      <c r="A1818" s="47">
        <v>473.00623656700782</v>
      </c>
    </row>
    <row r="1819" spans="1:1" x14ac:dyDescent="0.3">
      <c r="A1819" s="47">
        <v>699.05913911715345</v>
      </c>
    </row>
    <row r="1820" spans="1:1" x14ac:dyDescent="0.3">
      <c r="A1820" s="47">
        <v>699.05913911715345</v>
      </c>
    </row>
    <row r="1821" spans="1:1" x14ac:dyDescent="0.3">
      <c r="A1821" s="47">
        <v>699.05913911715345</v>
      </c>
    </row>
    <row r="1822" spans="1:1" x14ac:dyDescent="0.3">
      <c r="A1822" s="47">
        <v>775.50715631935236</v>
      </c>
    </row>
    <row r="1823" spans="1:1" x14ac:dyDescent="0.3">
      <c r="A1823" s="47">
        <v>695.80525359069327</v>
      </c>
    </row>
    <row r="1824" spans="1:1" x14ac:dyDescent="0.3">
      <c r="A1824" s="47">
        <v>817.20930236221068</v>
      </c>
    </row>
    <row r="1825" spans="1:1" x14ac:dyDescent="0.3">
      <c r="A1825" s="47">
        <v>787.53270448619003</v>
      </c>
    </row>
    <row r="1826" spans="1:1" x14ac:dyDescent="0.3">
      <c r="A1826" s="47">
        <v>699.05913911715345</v>
      </c>
    </row>
    <row r="1827" spans="1:1" x14ac:dyDescent="0.3">
      <c r="A1827" s="47">
        <v>699.05913911715345</v>
      </c>
    </row>
    <row r="1828" spans="1:1" x14ac:dyDescent="0.3">
      <c r="A1828" s="47">
        <v>529.28922070542058</v>
      </c>
    </row>
    <row r="1829" spans="1:1" x14ac:dyDescent="0.3">
      <c r="A1829" s="47">
        <v>529.28922070542058</v>
      </c>
    </row>
    <row r="1830" spans="1:1" x14ac:dyDescent="0.3">
      <c r="A1830" s="47">
        <v>605.73723790761949</v>
      </c>
    </row>
    <row r="1831" spans="1:1" x14ac:dyDescent="0.3">
      <c r="A1831" s="47">
        <v>526.03533517896051</v>
      </c>
    </row>
    <row r="1832" spans="1:1" x14ac:dyDescent="0.3">
      <c r="A1832" s="47">
        <v>647.4393839504778</v>
      </c>
    </row>
    <row r="1833" spans="1:1" x14ac:dyDescent="0.3">
      <c r="A1833" s="47">
        <v>617.76278607445715</v>
      </c>
    </row>
    <row r="1834" spans="1:1" x14ac:dyDescent="0.3">
      <c r="A1834" s="47">
        <v>529.28922070542058</v>
      </c>
    </row>
    <row r="1835" spans="1:1" x14ac:dyDescent="0.3">
      <c r="A1835" s="47">
        <v>529.28922070542058</v>
      </c>
    </row>
    <row r="1836" spans="1:1" x14ac:dyDescent="0.3">
      <c r="A1836" s="47">
        <v>529.28922070542058</v>
      </c>
    </row>
    <row r="1837" spans="1:1" x14ac:dyDescent="0.3">
      <c r="A1837" s="47">
        <v>605.73723790761949</v>
      </c>
    </row>
    <row r="1838" spans="1:1" x14ac:dyDescent="0.3">
      <c r="A1838" s="47">
        <v>526.03533517896051</v>
      </c>
    </row>
    <row r="1839" spans="1:1" x14ac:dyDescent="0.3">
      <c r="A1839" s="47">
        <v>647.4393839504778</v>
      </c>
    </row>
    <row r="1840" spans="1:1" x14ac:dyDescent="0.3">
      <c r="A1840" s="47">
        <v>617.76278607445715</v>
      </c>
    </row>
    <row r="1841" spans="1:1" x14ac:dyDescent="0.3">
      <c r="A1841" s="47">
        <v>529.28922070542058</v>
      </c>
    </row>
    <row r="1842" spans="1:1" x14ac:dyDescent="0.3">
      <c r="A1842" s="47">
        <v>529.28922070542058</v>
      </c>
    </row>
    <row r="1843" spans="1:1" x14ac:dyDescent="0.3">
      <c r="A1843" s="47">
        <v>605.73723790761949</v>
      </c>
    </row>
    <row r="1844" spans="1:1" x14ac:dyDescent="0.3">
      <c r="A1844" s="47">
        <v>526.03533517896051</v>
      </c>
    </row>
    <row r="1845" spans="1:1" x14ac:dyDescent="0.3">
      <c r="A1845" s="47">
        <v>647.4393839504778</v>
      </c>
    </row>
    <row r="1846" spans="1:1" x14ac:dyDescent="0.3">
      <c r="A1846" s="47">
        <v>617.76278607445715</v>
      </c>
    </row>
    <row r="1847" spans="1:1" x14ac:dyDescent="0.3">
      <c r="A1847" s="47">
        <v>529.28922070542058</v>
      </c>
    </row>
    <row r="1848" spans="1:1" x14ac:dyDescent="0.3">
      <c r="A1848" s="47">
        <v>529.28922070542058</v>
      </c>
    </row>
    <row r="1849" spans="1:1" x14ac:dyDescent="0.3">
      <c r="A1849" s="47">
        <v>602.48335238115942</v>
      </c>
    </row>
    <row r="1850" spans="1:1" x14ac:dyDescent="0.3">
      <c r="A1850" s="47">
        <v>723.88740115267672</v>
      </c>
    </row>
    <row r="1851" spans="1:1" x14ac:dyDescent="0.3">
      <c r="A1851" s="47">
        <v>694.21080327665607</v>
      </c>
    </row>
    <row r="1852" spans="1:1" x14ac:dyDescent="0.3">
      <c r="A1852" s="47">
        <v>605.73723790761949</v>
      </c>
    </row>
    <row r="1853" spans="1:1" x14ac:dyDescent="0.3">
      <c r="A1853" s="47">
        <v>605.73723790761949</v>
      </c>
    </row>
    <row r="1854" spans="1:1" x14ac:dyDescent="0.3">
      <c r="A1854" s="47">
        <v>644.18549842401774</v>
      </c>
    </row>
    <row r="1855" spans="1:1" x14ac:dyDescent="0.3">
      <c r="A1855" s="47">
        <v>614.50890054799709</v>
      </c>
    </row>
    <row r="1856" spans="1:1" x14ac:dyDescent="0.3">
      <c r="A1856" s="47">
        <v>526.03533517896051</v>
      </c>
    </row>
    <row r="1857" spans="1:1" x14ac:dyDescent="0.3">
      <c r="A1857" s="47">
        <v>526.03533517896051</v>
      </c>
    </row>
    <row r="1858" spans="1:1" x14ac:dyDescent="0.3">
      <c r="A1858" s="47">
        <v>735.91294931951438</v>
      </c>
    </row>
    <row r="1859" spans="1:1" x14ac:dyDescent="0.3">
      <c r="A1859" s="47">
        <v>647.4393839504778</v>
      </c>
    </row>
    <row r="1860" spans="1:1" x14ac:dyDescent="0.3">
      <c r="A1860" s="47">
        <v>647.4393839504778</v>
      </c>
    </row>
    <row r="1861" spans="1:1" x14ac:dyDescent="0.3">
      <c r="A1861" s="47">
        <v>617.76278607445715</v>
      </c>
    </row>
    <row r="1862" spans="1:1" x14ac:dyDescent="0.3">
      <c r="A1862" s="47">
        <v>617.76278607445715</v>
      </c>
    </row>
    <row r="1863" spans="1:1" x14ac:dyDescent="0.3">
      <c r="A1863" s="47">
        <v>529.28922070542058</v>
      </c>
    </row>
    <row r="1864" spans="1:1" x14ac:dyDescent="0.3">
      <c r="A1864" s="47">
        <v>879.27927326224449</v>
      </c>
    </row>
    <row r="1865" spans="1:1" x14ac:dyDescent="0.3">
      <c r="A1865" s="47">
        <v>879.27927326224449</v>
      </c>
    </row>
    <row r="1866" spans="1:1" x14ac:dyDescent="0.3">
      <c r="A1866" s="47">
        <v>876.02538773578442</v>
      </c>
    </row>
    <row r="1867" spans="1:1" x14ac:dyDescent="0.3">
      <c r="A1867" s="47">
        <v>879.27927326224449</v>
      </c>
    </row>
    <row r="1868" spans="1:1" x14ac:dyDescent="0.3">
      <c r="A1868" s="47">
        <v>879.27927326224449</v>
      </c>
    </row>
    <row r="1869" spans="1:1" x14ac:dyDescent="0.3">
      <c r="A1869" s="47">
        <v>879.27927326224449</v>
      </c>
    </row>
    <row r="1870" spans="1:1" x14ac:dyDescent="0.3">
      <c r="A1870" s="47">
        <v>876.02538773578442</v>
      </c>
    </row>
    <row r="1871" spans="1:1" x14ac:dyDescent="0.3">
      <c r="A1871" s="47">
        <v>879.27927326224449</v>
      </c>
    </row>
    <row r="1872" spans="1:1" x14ac:dyDescent="0.3">
      <c r="A1872" s="47">
        <v>879.27927326224449</v>
      </c>
    </row>
    <row r="1873" spans="1:1" x14ac:dyDescent="0.3">
      <c r="A1873" s="47">
        <v>876.02538773578442</v>
      </c>
    </row>
    <row r="1874" spans="1:1" x14ac:dyDescent="0.3">
      <c r="A1874" s="47">
        <v>879.27927326224449</v>
      </c>
    </row>
    <row r="1875" spans="1:1" x14ac:dyDescent="0.3">
      <c r="A1875" s="47">
        <v>879.27927326224449</v>
      </c>
    </row>
    <row r="1876" spans="1:1" x14ac:dyDescent="0.3">
      <c r="A1876" s="47">
        <v>876.02538773578442</v>
      </c>
    </row>
    <row r="1877" spans="1:1" x14ac:dyDescent="0.3">
      <c r="A1877" s="47">
        <v>876.02538773578442</v>
      </c>
    </row>
    <row r="1878" spans="1:1" x14ac:dyDescent="0.3">
      <c r="A1878" s="47">
        <v>879.27927326224449</v>
      </c>
    </row>
    <row r="1879" spans="1:1" x14ac:dyDescent="0.3">
      <c r="A1879" s="47">
        <v>709.50935485051173</v>
      </c>
    </row>
    <row r="1880" spans="1:1" x14ac:dyDescent="0.3">
      <c r="A1880" s="47">
        <v>785.95737205271064</v>
      </c>
    </row>
    <row r="1881" spans="1:1" x14ac:dyDescent="0.3">
      <c r="A1881" s="47">
        <v>706.25546932405155</v>
      </c>
    </row>
    <row r="1882" spans="1:1" x14ac:dyDescent="0.3">
      <c r="A1882" s="47">
        <v>827.65951809556896</v>
      </c>
    </row>
    <row r="1883" spans="1:1" x14ac:dyDescent="0.3">
      <c r="A1883" s="47">
        <v>797.9829202195483</v>
      </c>
    </row>
    <row r="1884" spans="1:1" x14ac:dyDescent="0.3">
      <c r="A1884" s="47">
        <v>709.50935485051173</v>
      </c>
    </row>
    <row r="1885" spans="1:1" x14ac:dyDescent="0.3">
      <c r="A1885" s="47">
        <v>709.50935485051173</v>
      </c>
    </row>
    <row r="1886" spans="1:1" x14ac:dyDescent="0.3">
      <c r="A1886" s="47">
        <v>785.95737205271064</v>
      </c>
    </row>
    <row r="1887" spans="1:1" x14ac:dyDescent="0.3">
      <c r="A1887" s="47">
        <v>706.25546932405155</v>
      </c>
    </row>
    <row r="1888" spans="1:1" x14ac:dyDescent="0.3">
      <c r="A1888" s="47">
        <v>827.65951809556896</v>
      </c>
    </row>
    <row r="1889" spans="1:1" x14ac:dyDescent="0.3">
      <c r="A1889" s="47">
        <v>797.9829202195483</v>
      </c>
    </row>
    <row r="1890" spans="1:1" x14ac:dyDescent="0.3">
      <c r="A1890" s="47">
        <v>709.50935485051173</v>
      </c>
    </row>
    <row r="1891" spans="1:1" x14ac:dyDescent="0.3">
      <c r="A1891" s="47">
        <v>709.50935485051173</v>
      </c>
    </row>
    <row r="1892" spans="1:1" x14ac:dyDescent="0.3">
      <c r="A1892" s="47">
        <v>782.70348652625057</v>
      </c>
    </row>
    <row r="1893" spans="1:1" x14ac:dyDescent="0.3">
      <c r="A1893" s="47">
        <v>874.43093742174722</v>
      </c>
    </row>
    <row r="1894" spans="1:1" x14ac:dyDescent="0.3">
      <c r="A1894" s="47">
        <v>785.95737205271064</v>
      </c>
    </row>
    <row r="1895" spans="1:1" x14ac:dyDescent="0.3">
      <c r="A1895" s="47">
        <v>785.95737205271064</v>
      </c>
    </row>
    <row r="1896" spans="1:1" x14ac:dyDescent="0.3">
      <c r="A1896" s="47">
        <v>824.40563256910877</v>
      </c>
    </row>
    <row r="1897" spans="1:1" x14ac:dyDescent="0.3">
      <c r="A1897" s="47">
        <v>794.72903469308812</v>
      </c>
    </row>
    <row r="1898" spans="1:1" x14ac:dyDescent="0.3">
      <c r="A1898" s="47">
        <v>706.25546932405155</v>
      </c>
    </row>
    <row r="1899" spans="1:1" x14ac:dyDescent="0.3">
      <c r="A1899" s="47">
        <v>706.25546932405155</v>
      </c>
    </row>
    <row r="1900" spans="1:1" x14ac:dyDescent="0.3">
      <c r="A1900" s="47">
        <v>827.65951809556896</v>
      </c>
    </row>
    <row r="1901" spans="1:1" x14ac:dyDescent="0.3">
      <c r="A1901" s="47">
        <v>827.65951809556896</v>
      </c>
    </row>
    <row r="1902" spans="1:1" x14ac:dyDescent="0.3">
      <c r="A1902" s="47">
        <v>797.9829202195483</v>
      </c>
    </row>
    <row r="1903" spans="1:1" x14ac:dyDescent="0.3">
      <c r="A1903" s="47">
        <v>797.9829202195483</v>
      </c>
    </row>
    <row r="1904" spans="1:1" x14ac:dyDescent="0.3">
      <c r="A1904" s="47">
        <v>709.50935485051173</v>
      </c>
    </row>
    <row r="1905" spans="1:1" x14ac:dyDescent="0.3">
      <c r="A1905" s="47">
        <v>785.95737205271064</v>
      </c>
    </row>
    <row r="1906" spans="1:1" x14ac:dyDescent="0.3">
      <c r="A1906" s="47">
        <v>706.25546932405155</v>
      </c>
    </row>
    <row r="1907" spans="1:1" x14ac:dyDescent="0.3">
      <c r="A1907" s="47">
        <v>827.65951809556896</v>
      </c>
    </row>
    <row r="1908" spans="1:1" x14ac:dyDescent="0.3">
      <c r="A1908" s="47">
        <v>797.9829202195483</v>
      </c>
    </row>
    <row r="1909" spans="1:1" x14ac:dyDescent="0.3">
      <c r="A1909" s="47">
        <v>709.50935485051173</v>
      </c>
    </row>
    <row r="1910" spans="1:1" x14ac:dyDescent="0.3">
      <c r="A1910" s="47">
        <v>709.50935485051173</v>
      </c>
    </row>
    <row r="1911" spans="1:1" x14ac:dyDescent="0.3">
      <c r="A1911" s="47">
        <v>782.70348652625057</v>
      </c>
    </row>
    <row r="1912" spans="1:1" x14ac:dyDescent="0.3">
      <c r="A1912" s="47">
        <v>874.43093742174722</v>
      </c>
    </row>
    <row r="1913" spans="1:1" x14ac:dyDescent="0.3">
      <c r="A1913" s="47">
        <v>785.95737205271064</v>
      </c>
    </row>
    <row r="1914" spans="1:1" x14ac:dyDescent="0.3">
      <c r="A1914" s="47">
        <v>785.95737205271064</v>
      </c>
    </row>
    <row r="1915" spans="1:1" x14ac:dyDescent="0.3">
      <c r="A1915" s="47">
        <v>824.40563256910877</v>
      </c>
    </row>
    <row r="1916" spans="1:1" x14ac:dyDescent="0.3">
      <c r="A1916" s="47">
        <v>794.72903469308812</v>
      </c>
    </row>
    <row r="1917" spans="1:1" x14ac:dyDescent="0.3">
      <c r="A1917" s="47">
        <v>706.25546932405155</v>
      </c>
    </row>
    <row r="1918" spans="1:1" x14ac:dyDescent="0.3">
      <c r="A1918" s="47">
        <v>706.25546932405155</v>
      </c>
    </row>
    <row r="1919" spans="1:1" x14ac:dyDescent="0.3">
      <c r="A1919" s="47">
        <v>827.65951809556896</v>
      </c>
    </row>
    <row r="1920" spans="1:1" x14ac:dyDescent="0.3">
      <c r="A1920" s="47">
        <v>827.65951809556896</v>
      </c>
    </row>
    <row r="1921" spans="1:1" x14ac:dyDescent="0.3">
      <c r="A1921" s="47">
        <v>797.9829202195483</v>
      </c>
    </row>
    <row r="1922" spans="1:1" x14ac:dyDescent="0.3">
      <c r="A1922" s="47">
        <v>797.9829202195483</v>
      </c>
    </row>
    <row r="1923" spans="1:1" x14ac:dyDescent="0.3">
      <c r="A1923" s="47">
        <v>709.50935485051173</v>
      </c>
    </row>
    <row r="1924" spans="1:1" x14ac:dyDescent="0.3">
      <c r="A1924" s="47">
        <v>782.70348652625057</v>
      </c>
    </row>
    <row r="1925" spans="1:1" x14ac:dyDescent="0.3">
      <c r="A1925" s="47">
        <v>874.43093742174722</v>
      </c>
    </row>
    <row r="1926" spans="1:1" x14ac:dyDescent="0.3">
      <c r="A1926" s="47">
        <v>785.95737205271064</v>
      </c>
    </row>
    <row r="1927" spans="1:1" x14ac:dyDescent="0.3">
      <c r="A1927" s="47">
        <v>785.95737205271064</v>
      </c>
    </row>
    <row r="1928" spans="1:1" x14ac:dyDescent="0.3">
      <c r="A1928" s="47">
        <v>824.40563256910877</v>
      </c>
    </row>
    <row r="1929" spans="1:1" x14ac:dyDescent="0.3">
      <c r="A1929" s="47">
        <v>794.72903469308812</v>
      </c>
    </row>
    <row r="1930" spans="1:1" x14ac:dyDescent="0.3">
      <c r="A1930" s="47">
        <v>706.25546932405155</v>
      </c>
    </row>
    <row r="1931" spans="1:1" x14ac:dyDescent="0.3">
      <c r="A1931" s="47">
        <v>706.25546932405155</v>
      </c>
    </row>
    <row r="1932" spans="1:1" x14ac:dyDescent="0.3">
      <c r="A1932" s="47">
        <v>827.65951809556896</v>
      </c>
    </row>
    <row r="1933" spans="1:1" x14ac:dyDescent="0.3">
      <c r="A1933" s="47">
        <v>827.65951809556896</v>
      </c>
    </row>
    <row r="1934" spans="1:1" x14ac:dyDescent="0.3">
      <c r="A1934" s="47">
        <v>797.9829202195483</v>
      </c>
    </row>
    <row r="1935" spans="1:1" x14ac:dyDescent="0.3">
      <c r="A1935" s="47">
        <v>797.9829202195483</v>
      </c>
    </row>
    <row r="1936" spans="1:1" x14ac:dyDescent="0.3">
      <c r="A1936" s="47">
        <v>709.50935485051173</v>
      </c>
    </row>
    <row r="1937" spans="1:1" x14ac:dyDescent="0.3">
      <c r="A1937" s="47">
        <v>871.17705189528715</v>
      </c>
    </row>
    <row r="1938" spans="1:1" x14ac:dyDescent="0.3">
      <c r="A1938" s="47">
        <v>782.70348652625057</v>
      </c>
    </row>
    <row r="1939" spans="1:1" x14ac:dyDescent="0.3">
      <c r="A1939" s="47">
        <v>782.70348652625057</v>
      </c>
    </row>
    <row r="1940" spans="1:1" x14ac:dyDescent="0.3">
      <c r="A1940" s="47">
        <v>874.43093742174722</v>
      </c>
    </row>
    <row r="1941" spans="1:1" x14ac:dyDescent="0.3">
      <c r="A1941" s="47">
        <v>874.43093742174722</v>
      </c>
    </row>
    <row r="1942" spans="1:1" x14ac:dyDescent="0.3">
      <c r="A1942" s="47">
        <v>785.95737205271064</v>
      </c>
    </row>
    <row r="1943" spans="1:1" x14ac:dyDescent="0.3">
      <c r="A1943" s="47">
        <v>824.40563256910877</v>
      </c>
    </row>
    <row r="1944" spans="1:1" x14ac:dyDescent="0.3">
      <c r="A1944" s="47">
        <v>824.40563256910877</v>
      </c>
    </row>
    <row r="1945" spans="1:1" x14ac:dyDescent="0.3">
      <c r="A1945" s="47">
        <v>794.72903469308812</v>
      </c>
    </row>
    <row r="1946" spans="1:1" x14ac:dyDescent="0.3">
      <c r="A1946" s="47">
        <v>794.72903469308812</v>
      </c>
    </row>
    <row r="1947" spans="1:1" x14ac:dyDescent="0.3">
      <c r="A1947" s="47">
        <v>706.25546932405155</v>
      </c>
    </row>
    <row r="1948" spans="1:1" x14ac:dyDescent="0.3">
      <c r="A1948" s="47">
        <v>827.65951809556896</v>
      </c>
    </row>
    <row r="1949" spans="1:1" x14ac:dyDescent="0.3">
      <c r="A1949" s="47">
        <v>797.9829202195483</v>
      </c>
    </row>
    <row r="1950" spans="1:1" x14ac:dyDescent="0.3">
      <c r="A1950" s="47">
        <v>765.79233898892448</v>
      </c>
    </row>
    <row r="1951" spans="1:1" x14ac:dyDescent="0.3">
      <c r="A1951" s="47">
        <v>842.2403561911234</v>
      </c>
    </row>
    <row r="1952" spans="1:1" x14ac:dyDescent="0.3">
      <c r="A1952" s="47">
        <v>762.53845346246442</v>
      </c>
    </row>
    <row r="1953" spans="1:1" x14ac:dyDescent="0.3">
      <c r="A1953" s="47">
        <v>883.94250223398171</v>
      </c>
    </row>
    <row r="1954" spans="1:1" x14ac:dyDescent="0.3">
      <c r="A1954" s="47">
        <v>854.26590435796106</v>
      </c>
    </row>
    <row r="1955" spans="1:1" x14ac:dyDescent="0.3">
      <c r="A1955" s="47">
        <v>765.79233898892448</v>
      </c>
    </row>
    <row r="1956" spans="1:1" x14ac:dyDescent="0.3">
      <c r="A1956" s="47">
        <v>765.79233898892448</v>
      </c>
    </row>
    <row r="1957" spans="1:1" x14ac:dyDescent="0.3">
      <c r="A1957" s="47">
        <v>842.2403561911234</v>
      </c>
    </row>
    <row r="1958" spans="1:1" x14ac:dyDescent="0.3">
      <c r="A1958" s="47">
        <v>762.53845346246442</v>
      </c>
    </row>
    <row r="1959" spans="1:1" x14ac:dyDescent="0.3">
      <c r="A1959" s="47">
        <v>883.94250223398171</v>
      </c>
    </row>
    <row r="1960" spans="1:1" x14ac:dyDescent="0.3">
      <c r="A1960" s="47">
        <v>854.26590435796106</v>
      </c>
    </row>
    <row r="1961" spans="1:1" x14ac:dyDescent="0.3">
      <c r="A1961" s="47">
        <v>765.79233898892448</v>
      </c>
    </row>
    <row r="1962" spans="1:1" x14ac:dyDescent="0.3">
      <c r="A1962" s="47">
        <v>765.79233898892448</v>
      </c>
    </row>
    <row r="1963" spans="1:1" x14ac:dyDescent="0.3">
      <c r="A1963" s="47">
        <v>838.98647066466333</v>
      </c>
    </row>
    <row r="1964" spans="1:1" x14ac:dyDescent="0.3">
      <c r="A1964" s="47">
        <v>842.2403561911234</v>
      </c>
    </row>
    <row r="1965" spans="1:1" x14ac:dyDescent="0.3">
      <c r="A1965" s="47">
        <v>842.2403561911234</v>
      </c>
    </row>
    <row r="1966" spans="1:1" x14ac:dyDescent="0.3">
      <c r="A1966" s="47">
        <v>880.68861670752165</v>
      </c>
    </row>
    <row r="1967" spans="1:1" x14ac:dyDescent="0.3">
      <c r="A1967" s="47">
        <v>851.012018831501</v>
      </c>
    </row>
    <row r="1968" spans="1:1" x14ac:dyDescent="0.3">
      <c r="A1968" s="47">
        <v>762.53845346246442</v>
      </c>
    </row>
    <row r="1969" spans="1:1" x14ac:dyDescent="0.3">
      <c r="A1969" s="47">
        <v>762.53845346246442</v>
      </c>
    </row>
    <row r="1970" spans="1:1" x14ac:dyDescent="0.3">
      <c r="A1970" s="47">
        <v>883.94250223398171</v>
      </c>
    </row>
    <row r="1971" spans="1:1" x14ac:dyDescent="0.3">
      <c r="A1971" s="47">
        <v>883.94250223398171</v>
      </c>
    </row>
    <row r="1972" spans="1:1" x14ac:dyDescent="0.3">
      <c r="A1972" s="47">
        <v>854.26590435796106</v>
      </c>
    </row>
    <row r="1973" spans="1:1" x14ac:dyDescent="0.3">
      <c r="A1973" s="47">
        <v>854.26590435796106</v>
      </c>
    </row>
    <row r="1974" spans="1:1" x14ac:dyDescent="0.3">
      <c r="A1974" s="47">
        <v>765.79233898892448</v>
      </c>
    </row>
    <row r="1975" spans="1:1" x14ac:dyDescent="0.3">
      <c r="A1975" s="47">
        <v>842.2403561911234</v>
      </c>
    </row>
    <row r="1976" spans="1:1" x14ac:dyDescent="0.3">
      <c r="A1976" s="47">
        <v>762.53845346246442</v>
      </c>
    </row>
    <row r="1977" spans="1:1" x14ac:dyDescent="0.3">
      <c r="A1977" s="47">
        <v>883.94250223398171</v>
      </c>
    </row>
    <row r="1978" spans="1:1" x14ac:dyDescent="0.3">
      <c r="A1978" s="47">
        <v>854.26590435796106</v>
      </c>
    </row>
    <row r="1979" spans="1:1" x14ac:dyDescent="0.3">
      <c r="A1979" s="47">
        <v>765.79233898892448</v>
      </c>
    </row>
    <row r="1980" spans="1:1" x14ac:dyDescent="0.3">
      <c r="A1980" s="47">
        <v>765.79233898892448</v>
      </c>
    </row>
    <row r="1981" spans="1:1" x14ac:dyDescent="0.3">
      <c r="A1981" s="47">
        <v>838.98647066466333</v>
      </c>
    </row>
    <row r="1982" spans="1:1" x14ac:dyDescent="0.3">
      <c r="A1982" s="47">
        <v>842.2403561911234</v>
      </c>
    </row>
    <row r="1983" spans="1:1" x14ac:dyDescent="0.3">
      <c r="A1983" s="47">
        <v>842.2403561911234</v>
      </c>
    </row>
    <row r="1984" spans="1:1" x14ac:dyDescent="0.3">
      <c r="A1984" s="47">
        <v>880.68861670752165</v>
      </c>
    </row>
    <row r="1985" spans="1:1" x14ac:dyDescent="0.3">
      <c r="A1985" s="47">
        <v>851.012018831501</v>
      </c>
    </row>
    <row r="1986" spans="1:1" x14ac:dyDescent="0.3">
      <c r="A1986" s="47">
        <v>762.53845346246442</v>
      </c>
    </row>
    <row r="1987" spans="1:1" x14ac:dyDescent="0.3">
      <c r="A1987" s="47">
        <v>762.53845346246442</v>
      </c>
    </row>
    <row r="1988" spans="1:1" x14ac:dyDescent="0.3">
      <c r="A1988" s="47">
        <v>883.94250223398171</v>
      </c>
    </row>
    <row r="1989" spans="1:1" x14ac:dyDescent="0.3">
      <c r="A1989" s="47">
        <v>883.94250223398171</v>
      </c>
    </row>
    <row r="1990" spans="1:1" x14ac:dyDescent="0.3">
      <c r="A1990" s="47">
        <v>854.26590435796106</v>
      </c>
    </row>
    <row r="1991" spans="1:1" x14ac:dyDescent="0.3">
      <c r="A1991" s="47">
        <v>854.26590435796106</v>
      </c>
    </row>
    <row r="1992" spans="1:1" x14ac:dyDescent="0.3">
      <c r="A1992" s="47">
        <v>765.79233898892448</v>
      </c>
    </row>
    <row r="1993" spans="1:1" x14ac:dyDescent="0.3">
      <c r="A1993" s="47">
        <v>838.98647066466333</v>
      </c>
    </row>
    <row r="1994" spans="1:1" x14ac:dyDescent="0.3">
      <c r="A1994" s="47">
        <v>842.2403561911234</v>
      </c>
    </row>
    <row r="1995" spans="1:1" x14ac:dyDescent="0.3">
      <c r="A1995" s="47">
        <v>842.2403561911234</v>
      </c>
    </row>
    <row r="1996" spans="1:1" x14ac:dyDescent="0.3">
      <c r="A1996" s="47">
        <v>880.68861670752165</v>
      </c>
    </row>
    <row r="1997" spans="1:1" x14ac:dyDescent="0.3">
      <c r="A1997" s="47">
        <v>851.012018831501</v>
      </c>
    </row>
    <row r="1998" spans="1:1" x14ac:dyDescent="0.3">
      <c r="A1998" s="47">
        <v>762.53845346246442</v>
      </c>
    </row>
    <row r="1999" spans="1:1" x14ac:dyDescent="0.3">
      <c r="A1999" s="47">
        <v>762.53845346246442</v>
      </c>
    </row>
    <row r="2000" spans="1:1" x14ac:dyDescent="0.3">
      <c r="A2000" s="47">
        <v>883.94250223398171</v>
      </c>
    </row>
    <row r="2001" spans="1:1" x14ac:dyDescent="0.3">
      <c r="A2001" s="47">
        <v>883.94250223398171</v>
      </c>
    </row>
    <row r="2002" spans="1:1" x14ac:dyDescent="0.3">
      <c r="A2002" s="47">
        <v>854.26590435796106</v>
      </c>
    </row>
    <row r="2003" spans="1:1" x14ac:dyDescent="0.3">
      <c r="A2003" s="47">
        <v>854.26590435796106</v>
      </c>
    </row>
    <row r="2004" spans="1:1" x14ac:dyDescent="0.3">
      <c r="A2004" s="47">
        <v>765.79233898892448</v>
      </c>
    </row>
    <row r="2005" spans="1:1" x14ac:dyDescent="0.3">
      <c r="A2005" s="47">
        <v>838.98647066466333</v>
      </c>
    </row>
    <row r="2006" spans="1:1" x14ac:dyDescent="0.3">
      <c r="A2006" s="47">
        <v>838.98647066466333</v>
      </c>
    </row>
    <row r="2007" spans="1:1" x14ac:dyDescent="0.3">
      <c r="A2007" s="47">
        <v>842.2403561911234</v>
      </c>
    </row>
    <row r="2008" spans="1:1" x14ac:dyDescent="0.3">
      <c r="A2008" s="47">
        <v>880.68861670752165</v>
      </c>
    </row>
    <row r="2009" spans="1:1" x14ac:dyDescent="0.3">
      <c r="A2009" s="47">
        <v>880.68861670752165</v>
      </c>
    </row>
    <row r="2010" spans="1:1" x14ac:dyDescent="0.3">
      <c r="A2010" s="47">
        <v>851.012018831501</v>
      </c>
    </row>
    <row r="2011" spans="1:1" x14ac:dyDescent="0.3">
      <c r="A2011" s="47">
        <v>851.012018831501</v>
      </c>
    </row>
    <row r="2012" spans="1:1" x14ac:dyDescent="0.3">
      <c r="A2012" s="47">
        <v>762.53845346246442</v>
      </c>
    </row>
    <row r="2013" spans="1:1" x14ac:dyDescent="0.3">
      <c r="A2013" s="47">
        <v>883.94250223398171</v>
      </c>
    </row>
    <row r="2014" spans="1:1" x14ac:dyDescent="0.3">
      <c r="A2014" s="47">
        <v>854.26590435796106</v>
      </c>
    </row>
    <row r="2015" spans="1:1" x14ac:dyDescent="0.3">
      <c r="A2015" s="47">
        <v>57.655995139091623</v>
      </c>
    </row>
    <row r="2016" spans="1:1" x14ac:dyDescent="0.3">
      <c r="A2016" s="47">
        <v>303.05135811492471</v>
      </c>
    </row>
    <row r="2017" spans="1:1" x14ac:dyDescent="0.3">
      <c r="A2017" s="47">
        <v>128.33892814918858</v>
      </c>
    </row>
    <row r="2018" spans="1:1" x14ac:dyDescent="0.3">
      <c r="A2018" s="47">
        <v>221.36043010799847</v>
      </c>
    </row>
    <row r="2019" spans="1:1" x14ac:dyDescent="0.3">
      <c r="A2019" s="47">
        <v>236.50311828350391</v>
      </c>
    </row>
    <row r="2020" spans="1:1" x14ac:dyDescent="0.3">
      <c r="A2020" s="47">
        <v>215.29992769227658</v>
      </c>
    </row>
    <row r="2021" spans="1:1" x14ac:dyDescent="0.3">
      <c r="A2021" s="47">
        <v>236.50311828350391</v>
      </c>
    </row>
    <row r="2022" spans="1:1" x14ac:dyDescent="0.3">
      <c r="A2022" s="47">
        <v>236.50311828350391</v>
      </c>
    </row>
    <row r="2023" spans="1:1" x14ac:dyDescent="0.3">
      <c r="A2023" s="47">
        <v>360.70735325401631</v>
      </c>
    </row>
    <row r="2024" spans="1:1" x14ac:dyDescent="0.3">
      <c r="A2024" s="47">
        <v>185.99492328828021</v>
      </c>
    </row>
    <row r="2025" spans="1:1" x14ac:dyDescent="0.3">
      <c r="A2025" s="47">
        <v>279.01642524709007</v>
      </c>
    </row>
    <row r="2026" spans="1:1" x14ac:dyDescent="0.3">
      <c r="A2026" s="47">
        <v>294.15911342259551</v>
      </c>
    </row>
    <row r="2027" spans="1:1" x14ac:dyDescent="0.3">
      <c r="A2027" s="47">
        <v>272.95592283136818</v>
      </c>
    </row>
    <row r="2028" spans="1:1" x14ac:dyDescent="0.3">
      <c r="A2028" s="47">
        <v>294.15911342259551</v>
      </c>
    </row>
    <row r="2029" spans="1:1" x14ac:dyDescent="0.3">
      <c r="A2029" s="47">
        <v>294.15911342259551</v>
      </c>
    </row>
    <row r="2030" spans="1:1" x14ac:dyDescent="0.3">
      <c r="A2030" s="47">
        <v>431.39028626411329</v>
      </c>
    </row>
    <row r="2031" spans="1:1" x14ac:dyDescent="0.3">
      <c r="A2031" s="47">
        <v>524.41178822292318</v>
      </c>
    </row>
    <row r="2032" spans="1:1" x14ac:dyDescent="0.3">
      <c r="A2032" s="47">
        <v>539.55447639842862</v>
      </c>
    </row>
    <row r="2033" spans="1:1" x14ac:dyDescent="0.3">
      <c r="A2033" s="47">
        <v>518.35128580720129</v>
      </c>
    </row>
    <row r="2034" spans="1:1" x14ac:dyDescent="0.3">
      <c r="A2034" s="47">
        <v>539.55447639842862</v>
      </c>
    </row>
    <row r="2035" spans="1:1" x14ac:dyDescent="0.3">
      <c r="A2035" s="47">
        <v>539.55447639842862</v>
      </c>
    </row>
    <row r="2036" spans="1:1" x14ac:dyDescent="0.3">
      <c r="A2036" s="47">
        <v>349.69935825718704</v>
      </c>
    </row>
    <row r="2037" spans="1:1" x14ac:dyDescent="0.3">
      <c r="A2037" s="47">
        <v>364.84204643269248</v>
      </c>
    </row>
    <row r="2038" spans="1:1" x14ac:dyDescent="0.3">
      <c r="A2038" s="47">
        <v>343.63885584146516</v>
      </c>
    </row>
    <row r="2039" spans="1:1" x14ac:dyDescent="0.3">
      <c r="A2039" s="47">
        <v>364.84204643269248</v>
      </c>
    </row>
    <row r="2040" spans="1:1" x14ac:dyDescent="0.3">
      <c r="A2040" s="47">
        <v>364.84204643269248</v>
      </c>
    </row>
    <row r="2041" spans="1:1" x14ac:dyDescent="0.3">
      <c r="A2041" s="47">
        <v>457.86354839150238</v>
      </c>
    </row>
    <row r="2042" spans="1:1" x14ac:dyDescent="0.3">
      <c r="A2042" s="47">
        <v>436.66035780027505</v>
      </c>
    </row>
    <row r="2043" spans="1:1" x14ac:dyDescent="0.3">
      <c r="A2043" s="47">
        <v>457.86354839150238</v>
      </c>
    </row>
    <row r="2044" spans="1:1" x14ac:dyDescent="0.3">
      <c r="A2044" s="47">
        <v>457.86354839150238</v>
      </c>
    </row>
    <row r="2045" spans="1:1" x14ac:dyDescent="0.3">
      <c r="A2045" s="47">
        <v>451.80304597578049</v>
      </c>
    </row>
    <row r="2046" spans="1:1" x14ac:dyDescent="0.3">
      <c r="A2046" s="47">
        <v>473.00623656700782</v>
      </c>
    </row>
    <row r="2047" spans="1:1" x14ac:dyDescent="0.3">
      <c r="A2047" s="47">
        <v>473.00623656700782</v>
      </c>
    </row>
    <row r="2048" spans="1:1" x14ac:dyDescent="0.3">
      <c r="A2048" s="47">
        <v>451.80304597578049</v>
      </c>
    </row>
    <row r="2049" spans="1:1" x14ac:dyDescent="0.3">
      <c r="A2049" s="47">
        <v>451.80304597578049</v>
      </c>
    </row>
    <row r="2050" spans="1:1" x14ac:dyDescent="0.3">
      <c r="A2050" s="47">
        <v>473.00623656700782</v>
      </c>
    </row>
    <row r="2051" spans="1:1" x14ac:dyDescent="0.3">
      <c r="A2051" s="47">
        <v>489.04628140320489</v>
      </c>
    </row>
    <row r="2052" spans="1:1" x14ac:dyDescent="0.3">
      <c r="A2052" s="47">
        <v>582.06778336201478</v>
      </c>
    </row>
    <row r="2053" spans="1:1" x14ac:dyDescent="0.3">
      <c r="A2053" s="47">
        <v>597.21047153752022</v>
      </c>
    </row>
    <row r="2054" spans="1:1" x14ac:dyDescent="0.3">
      <c r="A2054" s="47">
        <v>576.00728094629289</v>
      </c>
    </row>
    <row r="2055" spans="1:1" x14ac:dyDescent="0.3">
      <c r="A2055" s="47">
        <v>597.21047153752022</v>
      </c>
    </row>
    <row r="2056" spans="1:1" x14ac:dyDescent="0.3">
      <c r="A2056" s="47">
        <v>597.21047153752022</v>
      </c>
    </row>
    <row r="2057" spans="1:1" x14ac:dyDescent="0.3">
      <c r="A2057" s="47">
        <v>407.35535339627864</v>
      </c>
    </row>
    <row r="2058" spans="1:1" x14ac:dyDescent="0.3">
      <c r="A2058" s="47">
        <v>422.49804157178409</v>
      </c>
    </row>
    <row r="2059" spans="1:1" x14ac:dyDescent="0.3">
      <c r="A2059" s="47">
        <v>401.29485098055676</v>
      </c>
    </row>
    <row r="2060" spans="1:1" x14ac:dyDescent="0.3">
      <c r="A2060" s="47">
        <v>422.49804157178409</v>
      </c>
    </row>
    <row r="2061" spans="1:1" x14ac:dyDescent="0.3">
      <c r="A2061" s="47">
        <v>422.49804157178409</v>
      </c>
    </row>
    <row r="2062" spans="1:1" x14ac:dyDescent="0.3">
      <c r="A2062" s="47">
        <v>515.51954353059398</v>
      </c>
    </row>
    <row r="2063" spans="1:1" x14ac:dyDescent="0.3">
      <c r="A2063" s="47">
        <v>494.31635293936665</v>
      </c>
    </row>
    <row r="2064" spans="1:1" x14ac:dyDescent="0.3">
      <c r="A2064" s="47">
        <v>515.51954353059398</v>
      </c>
    </row>
    <row r="2065" spans="1:1" x14ac:dyDescent="0.3">
      <c r="A2065" s="47">
        <v>515.51954353059398</v>
      </c>
    </row>
    <row r="2066" spans="1:1" x14ac:dyDescent="0.3">
      <c r="A2066" s="47">
        <v>509.45904111487209</v>
      </c>
    </row>
    <row r="2067" spans="1:1" x14ac:dyDescent="0.3">
      <c r="A2067" s="47">
        <v>530.66223170609942</v>
      </c>
    </row>
    <row r="2068" spans="1:1" x14ac:dyDescent="0.3">
      <c r="A2068" s="47">
        <v>530.66223170609942</v>
      </c>
    </row>
    <row r="2069" spans="1:1" x14ac:dyDescent="0.3">
      <c r="A2069" s="47">
        <v>509.45904111487209</v>
      </c>
    </row>
    <row r="2070" spans="1:1" x14ac:dyDescent="0.3">
      <c r="A2070" s="47">
        <v>509.45904111487209</v>
      </c>
    </row>
    <row r="2071" spans="1:1" x14ac:dyDescent="0.3">
      <c r="A2071" s="47">
        <v>530.66223170609942</v>
      </c>
    </row>
    <row r="2072" spans="1:1" x14ac:dyDescent="0.3">
      <c r="A2072" s="47">
        <v>652.75071637211181</v>
      </c>
    </row>
    <row r="2073" spans="1:1" x14ac:dyDescent="0.3">
      <c r="A2073" s="47">
        <v>667.89340454761714</v>
      </c>
    </row>
    <row r="2074" spans="1:1" x14ac:dyDescent="0.3">
      <c r="A2074" s="47">
        <v>646.69021395638993</v>
      </c>
    </row>
    <row r="2075" spans="1:1" x14ac:dyDescent="0.3">
      <c r="A2075" s="47">
        <v>667.89340454761714</v>
      </c>
    </row>
    <row r="2076" spans="1:1" x14ac:dyDescent="0.3">
      <c r="A2076" s="47">
        <v>667.89340454761714</v>
      </c>
    </row>
    <row r="2077" spans="1:1" x14ac:dyDescent="0.3">
      <c r="A2077" s="47">
        <v>760.91490650642709</v>
      </c>
    </row>
    <row r="2078" spans="1:1" x14ac:dyDescent="0.3">
      <c r="A2078" s="47">
        <v>739.71171591519976</v>
      </c>
    </row>
    <row r="2079" spans="1:1" x14ac:dyDescent="0.3">
      <c r="A2079" s="47">
        <v>760.91490650642709</v>
      </c>
    </row>
    <row r="2080" spans="1:1" x14ac:dyDescent="0.3">
      <c r="A2080" s="47">
        <v>760.91490650642709</v>
      </c>
    </row>
    <row r="2081" spans="1:1" x14ac:dyDescent="0.3">
      <c r="A2081" s="47">
        <v>754.8544040907052</v>
      </c>
    </row>
    <row r="2082" spans="1:1" x14ac:dyDescent="0.3">
      <c r="A2082" s="47">
        <v>776.05759468193253</v>
      </c>
    </row>
    <row r="2083" spans="1:1" x14ac:dyDescent="0.3">
      <c r="A2083" s="47">
        <v>776.05759468193253</v>
      </c>
    </row>
    <row r="2084" spans="1:1" x14ac:dyDescent="0.3">
      <c r="A2084" s="47">
        <v>754.8544040907052</v>
      </c>
    </row>
    <row r="2085" spans="1:1" x14ac:dyDescent="0.3">
      <c r="A2085" s="47">
        <v>754.8544040907052</v>
      </c>
    </row>
    <row r="2086" spans="1:1" x14ac:dyDescent="0.3">
      <c r="A2086" s="47">
        <v>776.05759468193253</v>
      </c>
    </row>
    <row r="2087" spans="1:1" x14ac:dyDescent="0.3">
      <c r="A2087" s="47">
        <v>586.2024765406909</v>
      </c>
    </row>
    <row r="2088" spans="1:1" x14ac:dyDescent="0.3">
      <c r="A2088" s="47">
        <v>564.99928594946368</v>
      </c>
    </row>
    <row r="2089" spans="1:1" x14ac:dyDescent="0.3">
      <c r="A2089" s="47">
        <v>586.2024765406909</v>
      </c>
    </row>
    <row r="2090" spans="1:1" x14ac:dyDescent="0.3">
      <c r="A2090" s="47">
        <v>586.2024765406909</v>
      </c>
    </row>
    <row r="2091" spans="1:1" x14ac:dyDescent="0.3">
      <c r="A2091" s="47">
        <v>580.14197412496901</v>
      </c>
    </row>
    <row r="2092" spans="1:1" x14ac:dyDescent="0.3">
      <c r="A2092" s="47">
        <v>601.34516471619645</v>
      </c>
    </row>
    <row r="2093" spans="1:1" x14ac:dyDescent="0.3">
      <c r="A2093" s="47">
        <v>601.34516471619645</v>
      </c>
    </row>
    <row r="2094" spans="1:1" x14ac:dyDescent="0.3">
      <c r="A2094" s="47">
        <v>580.14197412496901</v>
      </c>
    </row>
    <row r="2095" spans="1:1" x14ac:dyDescent="0.3">
      <c r="A2095" s="47">
        <v>580.14197412496901</v>
      </c>
    </row>
    <row r="2096" spans="1:1" x14ac:dyDescent="0.3">
      <c r="A2096" s="47">
        <v>601.34516471619645</v>
      </c>
    </row>
    <row r="2097" spans="1:1" x14ac:dyDescent="0.3">
      <c r="A2097" s="47">
        <v>673.16347608377896</v>
      </c>
    </row>
    <row r="2098" spans="1:1" x14ac:dyDescent="0.3">
      <c r="A2098" s="47">
        <v>694.36666667500629</v>
      </c>
    </row>
    <row r="2099" spans="1:1" x14ac:dyDescent="0.3">
      <c r="A2099" s="47">
        <v>694.36666667500629</v>
      </c>
    </row>
    <row r="2100" spans="1:1" x14ac:dyDescent="0.3">
      <c r="A2100" s="47">
        <v>673.16347608377896</v>
      </c>
    </row>
    <row r="2101" spans="1:1" x14ac:dyDescent="0.3">
      <c r="A2101" s="47">
        <v>673.16347608377896</v>
      </c>
    </row>
    <row r="2102" spans="1:1" x14ac:dyDescent="0.3">
      <c r="A2102" s="47">
        <v>694.36666667500629</v>
      </c>
    </row>
    <row r="2103" spans="1:1" x14ac:dyDescent="0.3">
      <c r="A2103" s="47">
        <v>688.3061642592844</v>
      </c>
    </row>
    <row r="2104" spans="1:1" x14ac:dyDescent="0.3">
      <c r="A2104" s="47">
        <v>688.3061642592844</v>
      </c>
    </row>
    <row r="2105" spans="1:1" x14ac:dyDescent="0.3">
      <c r="A2105" s="47">
        <v>709.50935485051173</v>
      </c>
    </row>
    <row r="2106" spans="1:1" x14ac:dyDescent="0.3">
      <c r="A2106" s="47">
        <v>688.3061642592844</v>
      </c>
    </row>
    <row r="2107" spans="1:1" x14ac:dyDescent="0.3">
      <c r="A2107" s="47">
        <v>710.40671151120341</v>
      </c>
    </row>
    <row r="2108" spans="1:1" x14ac:dyDescent="0.3">
      <c r="A2108" s="47">
        <v>725.54939968670885</v>
      </c>
    </row>
    <row r="2109" spans="1:1" x14ac:dyDescent="0.3">
      <c r="A2109" s="47">
        <v>704.34620909548153</v>
      </c>
    </row>
    <row r="2110" spans="1:1" x14ac:dyDescent="0.3">
      <c r="A2110" s="47">
        <v>725.54939968670885</v>
      </c>
    </row>
    <row r="2111" spans="1:1" x14ac:dyDescent="0.3">
      <c r="A2111" s="47">
        <v>725.54939968670885</v>
      </c>
    </row>
    <row r="2112" spans="1:1" x14ac:dyDescent="0.3">
      <c r="A2112" s="47">
        <v>818.57090164551869</v>
      </c>
    </row>
    <row r="2113" spans="1:1" x14ac:dyDescent="0.3">
      <c r="A2113" s="47">
        <v>797.36771105429136</v>
      </c>
    </row>
    <row r="2114" spans="1:1" x14ac:dyDescent="0.3">
      <c r="A2114" s="47">
        <v>818.57090164551869</v>
      </c>
    </row>
    <row r="2115" spans="1:1" x14ac:dyDescent="0.3">
      <c r="A2115" s="47">
        <v>818.57090164551869</v>
      </c>
    </row>
    <row r="2116" spans="1:1" x14ac:dyDescent="0.3">
      <c r="A2116" s="47">
        <v>812.5103992297968</v>
      </c>
    </row>
    <row r="2117" spans="1:1" x14ac:dyDescent="0.3">
      <c r="A2117" s="47">
        <v>833.71358982102413</v>
      </c>
    </row>
    <row r="2118" spans="1:1" x14ac:dyDescent="0.3">
      <c r="A2118" s="47">
        <v>833.71358982102413</v>
      </c>
    </row>
    <row r="2119" spans="1:1" x14ac:dyDescent="0.3">
      <c r="A2119" s="47">
        <v>812.5103992297968</v>
      </c>
    </row>
    <row r="2120" spans="1:1" x14ac:dyDescent="0.3">
      <c r="A2120" s="47">
        <v>812.5103992297968</v>
      </c>
    </row>
    <row r="2121" spans="1:1" x14ac:dyDescent="0.3">
      <c r="A2121" s="47">
        <v>833.71358982102413</v>
      </c>
    </row>
    <row r="2122" spans="1:1" x14ac:dyDescent="0.3">
      <c r="A2122" s="47">
        <v>643.85847167978261</v>
      </c>
    </row>
    <row r="2123" spans="1:1" x14ac:dyDescent="0.3">
      <c r="A2123" s="47">
        <v>622.65528108855528</v>
      </c>
    </row>
    <row r="2124" spans="1:1" x14ac:dyDescent="0.3">
      <c r="A2124" s="47">
        <v>643.85847167978261</v>
      </c>
    </row>
    <row r="2125" spans="1:1" x14ac:dyDescent="0.3">
      <c r="A2125" s="47">
        <v>643.85847167978261</v>
      </c>
    </row>
    <row r="2126" spans="1:1" x14ac:dyDescent="0.3">
      <c r="A2126" s="47">
        <v>637.79796926406073</v>
      </c>
    </row>
    <row r="2127" spans="1:1" x14ac:dyDescent="0.3">
      <c r="A2127" s="47">
        <v>659.00115985528805</v>
      </c>
    </row>
    <row r="2128" spans="1:1" x14ac:dyDescent="0.3">
      <c r="A2128" s="47">
        <v>659.00115985528805</v>
      </c>
    </row>
    <row r="2129" spans="1:1" x14ac:dyDescent="0.3">
      <c r="A2129" s="47">
        <v>637.79796926406073</v>
      </c>
    </row>
    <row r="2130" spans="1:1" x14ac:dyDescent="0.3">
      <c r="A2130" s="47">
        <v>637.79796926406073</v>
      </c>
    </row>
    <row r="2131" spans="1:1" x14ac:dyDescent="0.3">
      <c r="A2131" s="47">
        <v>659.00115985528805</v>
      </c>
    </row>
    <row r="2132" spans="1:1" x14ac:dyDescent="0.3">
      <c r="A2132" s="47">
        <v>730.81947122287056</v>
      </c>
    </row>
    <row r="2133" spans="1:1" x14ac:dyDescent="0.3">
      <c r="A2133" s="47">
        <v>752.02266181409789</v>
      </c>
    </row>
    <row r="2134" spans="1:1" x14ac:dyDescent="0.3">
      <c r="A2134" s="47">
        <v>752.02266181409789</v>
      </c>
    </row>
    <row r="2135" spans="1:1" x14ac:dyDescent="0.3">
      <c r="A2135" s="47">
        <v>730.81947122287056</v>
      </c>
    </row>
    <row r="2136" spans="1:1" x14ac:dyDescent="0.3">
      <c r="A2136" s="47">
        <v>730.81947122287056</v>
      </c>
    </row>
    <row r="2137" spans="1:1" x14ac:dyDescent="0.3">
      <c r="A2137" s="47">
        <v>752.02266181409789</v>
      </c>
    </row>
    <row r="2138" spans="1:1" x14ac:dyDescent="0.3">
      <c r="A2138" s="47">
        <v>745.962159398376</v>
      </c>
    </row>
    <row r="2139" spans="1:1" x14ac:dyDescent="0.3">
      <c r="A2139" s="47">
        <v>745.962159398376</v>
      </c>
    </row>
    <row r="2140" spans="1:1" x14ac:dyDescent="0.3">
      <c r="A2140" s="47">
        <v>767.16534998960333</v>
      </c>
    </row>
    <row r="2141" spans="1:1" x14ac:dyDescent="0.3">
      <c r="A2141" s="47">
        <v>745.962159398376</v>
      </c>
    </row>
    <row r="2142" spans="1:1" x14ac:dyDescent="0.3">
      <c r="A2142" s="47">
        <v>889.25383465561572</v>
      </c>
    </row>
    <row r="2143" spans="1:1" x14ac:dyDescent="0.3">
      <c r="A2143" s="47">
        <v>868.05064406438828</v>
      </c>
    </row>
    <row r="2144" spans="1:1" x14ac:dyDescent="0.3">
      <c r="A2144" s="47">
        <v>889.25383465561572</v>
      </c>
    </row>
    <row r="2145" spans="1:1" x14ac:dyDescent="0.3">
      <c r="A2145" s="47">
        <v>889.25383465561572</v>
      </c>
    </row>
    <row r="2146" spans="1:1" x14ac:dyDescent="0.3">
      <c r="A2146" s="47">
        <v>883.19333223989383</v>
      </c>
    </row>
    <row r="2147" spans="1:1" x14ac:dyDescent="0.3">
      <c r="A2147" s="47">
        <v>883.19333223989383</v>
      </c>
    </row>
    <row r="2148" spans="1:1" x14ac:dyDescent="0.3">
      <c r="A2148" s="47">
        <v>883.19333223989383</v>
      </c>
    </row>
    <row r="2149" spans="1:1" x14ac:dyDescent="0.3">
      <c r="A2149" s="47">
        <v>801.50240423296759</v>
      </c>
    </row>
    <row r="2150" spans="1:1" x14ac:dyDescent="0.3">
      <c r="A2150" s="47">
        <v>822.7055948241948</v>
      </c>
    </row>
    <row r="2151" spans="1:1" x14ac:dyDescent="0.3">
      <c r="A2151" s="47">
        <v>822.7055948241948</v>
      </c>
    </row>
    <row r="2152" spans="1:1" x14ac:dyDescent="0.3">
      <c r="A2152" s="47">
        <v>801.50240423296759</v>
      </c>
    </row>
    <row r="2153" spans="1:1" x14ac:dyDescent="0.3">
      <c r="A2153" s="47">
        <v>801.50240423296759</v>
      </c>
    </row>
    <row r="2154" spans="1:1" x14ac:dyDescent="0.3">
      <c r="A2154" s="47">
        <v>822.7055948241948</v>
      </c>
    </row>
    <row r="2155" spans="1:1" x14ac:dyDescent="0.3">
      <c r="A2155" s="47">
        <v>816.64509240847292</v>
      </c>
    </row>
    <row r="2156" spans="1:1" x14ac:dyDescent="0.3">
      <c r="A2156" s="47">
        <v>816.64509240847292</v>
      </c>
    </row>
    <row r="2157" spans="1:1" x14ac:dyDescent="0.3">
      <c r="A2157" s="47">
        <v>837.84828299970036</v>
      </c>
    </row>
    <row r="2158" spans="1:1" x14ac:dyDescent="0.3">
      <c r="A2158" s="47">
        <v>816.64509240847292</v>
      </c>
    </row>
    <row r="2159" spans="1:1" x14ac:dyDescent="0.3">
      <c r="A2159" s="47">
        <v>859.15839937205919</v>
      </c>
    </row>
    <row r="2160" spans="1:1" x14ac:dyDescent="0.3">
      <c r="A2160" s="47">
        <v>880.36158996328652</v>
      </c>
    </row>
    <row r="2161" spans="1:1" x14ac:dyDescent="0.3">
      <c r="A2161" s="47">
        <v>880.36158996328652</v>
      </c>
    </row>
    <row r="2162" spans="1:1" x14ac:dyDescent="0.3">
      <c r="A2162" s="47">
        <v>859.15839937205919</v>
      </c>
    </row>
    <row r="2163" spans="1:1" x14ac:dyDescent="0.3">
      <c r="A2163" s="47">
        <v>859.15839937205919</v>
      </c>
    </row>
    <row r="2164" spans="1:1" x14ac:dyDescent="0.3">
      <c r="A2164" s="47">
        <v>880.36158996328652</v>
      </c>
    </row>
    <row r="2165" spans="1:1" x14ac:dyDescent="0.3">
      <c r="A2165" s="47">
        <v>874.30108754756463</v>
      </c>
    </row>
    <row r="2166" spans="1:1" x14ac:dyDescent="0.3">
      <c r="A2166" s="47">
        <v>874.30108754756463</v>
      </c>
    </row>
    <row r="2167" spans="1:1" x14ac:dyDescent="0.3">
      <c r="A2167" s="47">
        <v>895.50427813879196</v>
      </c>
    </row>
    <row r="2168" spans="1:1" x14ac:dyDescent="0.3">
      <c r="A2168" s="47">
        <v>874.30108754756463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Navio</vt:lpstr>
      <vt:lpstr>CombVisita</vt:lpstr>
      <vt:lpstr>PC</vt:lpstr>
      <vt:lpstr>Resumo</vt:lpstr>
      <vt:lpstr>Planilha1</vt:lpstr>
      <vt:lpstr>GPC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EDWARD CRUZ</dc:creator>
  <cp:lastModifiedBy>João Pedro Maluf</cp:lastModifiedBy>
  <dcterms:created xsi:type="dcterms:W3CDTF">2016-05-13T18:25:13Z</dcterms:created>
  <dcterms:modified xsi:type="dcterms:W3CDTF">2023-11-10T18:55:05Z</dcterms:modified>
</cp:coreProperties>
</file>